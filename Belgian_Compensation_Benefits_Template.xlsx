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7fc63efab4d44" 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8d74eaaa77e84748"/>
    <sheet name="Settings" sheetId="2" r:id="R93639066c1b04264"/>
    <sheet name="Employees" sheetId="3" r:id="R06985aff075043f9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&quot;€&quot;#,##0.00;(&quot;€&quot;#,##0.00);&quot;–&quot;"/>
    <x:numFmt numFmtId="202" formatCode="&quot;€&quot;#,##0;(&quot;€&quot;#,##0);&quot;–&quot;"/>
    <x:numFmt numFmtId="203" formatCode="0.00"/>
    <x:numFmt numFmtId="204" formatCode="0.0%"/>
    <x:numFmt numFmtId="205" formatCode="0"/>
    <x:numFmt numFmtId="206" formatCode="0.0"/>
  </x:numFmts>
  <x:fonts count="9">
    <x:font>
      <x:sz val="11"/>
      <x:name val="Carlito"/>
    </x:font>
    <x:font>
      <x:sz val="11"/>
      <x:color rgb="FF17324D"/>
      <x:name val="Aptos"/>
    </x:font>
    <x:font>
      <x:b/>
      <x:sz val="22"/>
      <x:color rgb="FF17324D"/>
      <x:name val="Aptos"/>
    </x:font>
    <x:font>
      <x:b/>
      <x:sz val="20"/>
      <x:color rgb="FF17324D"/>
      <x:name val="Aptos"/>
    </x:font>
    <x:font>
      <x:b/>
      <x:sz val="11"/>
      <x:color rgb="FFFFFFFF"/>
      <x:name val="Aptos"/>
    </x:font>
    <x:font>
      <x:sz val="11"/>
      <x:color rgb="FF215CB4"/>
      <x:name val="Aptos"/>
    </x:font>
    <x:font>
      <x:sz val="11"/>
      <x:color rgb="FF000000"/>
      <x:name val="Aptos"/>
    </x:font>
    <x:font>
      <x:sz val="11"/>
      <x:color rgb="FF24715D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4FB"/>
      </x:patternFill>
    </x:fill>
    <x:fill>
      <x:patternFill patternType="solid">
        <x:fgColor rgb="FFF3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4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202" fontId="8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A12424"/>
      </x:font>
      <x:fill>
        <x:patternFill patternType="solid">
          <x:bgColor rgb="FFFCE5E5"/>
        </x:patternFill>
      </x:fill>
    </x:dxf>
    <x:dxf>
      <x:fill>
        <x:patternFill patternType="solid">
          <x:bgColor rgb="FFFFF3D8"/>
        </x:patternFill>
      </x:fill>
    </x:dxf>
    <x:dxf>
      <x:font>
        <x:color rgb="FFA12424"/>
      </x:font>
      <x:fill>
        <x:patternFill patternType="solid">
          <x:bgColor rgb="FFFCE5E5"/>
        </x:patternFill>
      </x:fill>
    </x:dxf>
    <x:dxf>
      <x:font>
        <x:b/>
        <x:color rgb="FF9A6410"/>
      </x:font>
      <x:fill>
        <x:patternFill patternType="solid">
          <x:bgColor rgb="FFFFF3D8"/>
        </x:patternFill>
      </x:fill>
    </x:dxf>
    <x:dxf>
      <x:font>
        <x:color rgb="FFA12424"/>
      </x:font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1ac0586c649dc" /><Relationship Type="http://schemas.openxmlformats.org/officeDocument/2006/relationships/theme" Target="/xl/theme/theme1.xml" Id="Rab52ec071cf64d81" /><Relationship Type="http://schemas.openxmlformats.org/officeDocument/2006/relationships/sharedStrings" Target="/xl/sharedStrings.xml" Id="R07e64e81169c4000" /><Relationship Type="http://schemas.openxmlformats.org/officeDocument/2006/relationships/worksheet" Target="/xl/worksheets/sheet1.xml" Id="R8d74eaaa77e84748" /><Relationship Type="http://schemas.openxmlformats.org/officeDocument/2006/relationships/worksheet" Target="/xl/worksheets/sheet2.xml" Id="R93639066c1b04264" /><Relationship Type="http://schemas.openxmlformats.org/officeDocument/2006/relationships/worksheet" Target="/xl/worksheets/sheet3.xml" Id="R06985aff075043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967ada5ea24f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Employer cost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Review-year cost</c:v>
          </c:tx>
          <c:cat>
            <c:strRef>
              <c:f>'Overview'!$A$21:$A$26</c:f>
              <c:strCache>
                <c:ptCount val="0"/>
              </c:strCache>
            </c:strRef>
          </c:cat>
          <c:val>
            <c:numRef>
              <c:f>'Overview'!$E$21:$E$26</c:f>
              <c:numCache>
                <c:formatCode>"€"#,##0;("€"#,##0);"–"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€&quot;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19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967ada5ea24f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Plan" displayName="EmployeePlan" ref="A8:AT508" headerRowCount="1" totalsRowCount="0" totalsRowShown="0">
  <x:autoFilter ref="A8:AT508"/>
  <x:tableColumns count="46">
    <x:tableColumn id="1" name="Employee ID"/>
    <x:tableColumn id="2" name="Department"/>
    <x:tableColumn id="3" name="Location"/>
    <x:tableColumn id="4" name="Job title"/>
    <x:tableColumn id="5" name="Grade"/>
    <x:tableColumn id="6" name="FTE"/>
    <x:tableColumn id="7" name="FT monthly gross EUR"/>
    <x:tableColumn id="8" name="Bonus target %"/>
    <x:tableColumn id="9" name="Bonus payout factor"/>
    <x:tableColumn id="10" name="Year-end premium months"/>
    <x:tableColumn id="11" name="Holiday entitlement factor"/>
    <x:tableColumn id="12" name="Holiday FT basis EUR"/>
    <x:tableColumn id="13" name="Meal worked days"/>
    <x:tableColumn id="14" name="Eco grant EUR"/>
    <x:tableColumn id="15" name="Bicycle commute km"/>
    <x:tableColumn id="16" name="Home months Jan–Aug"/>
    <x:tableColumn id="17" name="Home months Sep–Dec"/>
    <x:tableColumn id="18" name="Private internet months"/>
    <x:tableColumn id="19" name="Private PC months"/>
    <x:tableColumn id="20" name="Gift granted 0/1"/>
    <x:tableColumn id="21" name="Other all-in benefits EUR"/>
    <x:tableColumn id="22" name="Sickness absence days"/>
    <x:tableColumn id="23" name="Scheduled days"/>
    <x:tableColumn id="24" name="Annual budget EUR"/>
    <x:tableColumn id="25" name="Raise override %"/>
    <x:tableColumn id="26" name="Grade midpoint EUR"/>
    <x:tableColumn id="27" name="Current compa-ratio"/>
    <x:tableColumn id="28" name="Applied raise %"/>
    <x:tableColumn id="29" name="Revised FT gross EUR"/>
    <x:tableColumn id="30" name="Annual regular pay EUR"/>
    <x:tableColumn id="31" name="Year-end premium EUR"/>
    <x:tableColumn id="32" name="Double holiday pay EUR"/>
    <x:tableColumn id="33" name="Annual cash bonus EUR"/>
    <x:tableColumn id="34" name="Employer load EUR"/>
    <x:tableColumn id="35" name="Employer meal cost EUR"/>
    <x:tableColumn id="36" name="Employee meal share EUR"/>
    <x:tableColumn id="37" name="Bicycle allowance EUR"/>
    <x:tableColumn id="38" name="Home / internet / PC EUR"/>
    <x:tableColumn id="39" name="Year-end gift EUR"/>
    <x:tableColumn id="40" name="Total employer benefits EUR"/>
    <x:tableColumn id="41" name="Baseline employer cost EUR"/>
    <x:tableColumn id="42" name="Review incremental cost EUR"/>
    <x:tableColumn id="43" name="Review-year employer cost EUR"/>
    <x:tableColumn id="44" name="Over/(under) budget EUR"/>
    <x:tableColumn id="45" name="Sickness absence %"/>
    <x:tableColumn id="46" name="Input / ceiling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2417253bec44bb" /></Relationships>
</file>

<file path=xl/worksheets/_rels/sheet2.xml.rels><?xml version='1.0' encoding='utf-8'?>
<ns0:Relationships xmlns:ns0="http://schemas.openxmlformats.org/package/2006/relationships"><ns0:Relationship Id="rIdSource1" Type="http://schemas.openxmlformats.org/officeDocument/2006/relationships/hyperlink" Target="https://www.socialsecurity.be/site_fr/employer/infos/employers_nsso/which-contributions.htm" TargetMode="External" /><ns0:Relationship Id="rIdSource2" Type="http://schemas.openxmlformats.org/officeDocument/2006/relationships/hyperlink" Target="https://www.socialsecurity.be/citizen/fr/conges-credit-temps-et-interruption-de-carriere/vacances-annuelles" TargetMode="External" /><ns0:Relationship Id="rIdSource3" Type="http://schemas.openxmlformats.org/officeDocument/2006/relationships/hyperlink" Target="https://www.socialsecurity.be/employer/instructions/dmfa/fr/latest/instructions/salary/particularcases/lunchcheques/salaryfeatures.html" TargetMode="External" /><ns0:Relationship Id="rIdSource4" Type="http://schemas.openxmlformats.org/officeDocument/2006/relationships/hyperlink" Target="https://www.socialsecurity.be/employer/instructions/dmfa/fr/latest/instructions/salary/particularcases/lunchcheques/salaryfeatures.html" TargetMode="External" /><ns0:Relationship Id="rIdSource5" Type="http://schemas.openxmlformats.org/officeDocument/2006/relationships/hyperlink" Target="https://www.socialsecurity.be/employer/instructions/dmfa/fr/latest/instructions/salary/particularcases/lunchcheques/salaryfeatures.html" TargetMode="External" /><ns0:Relationship Id="rIdSource6" Type="http://schemas.openxmlformats.org/officeDocument/2006/relationships/hyperlink" Target="https://www.socialsecurity.be/employer/instructions/dmfa/fr/latest/instructions/salary/particularcases/ecocheques.html" TargetMode="External" /><ns0:Relationship Id="rIdSource7" Type="http://schemas.openxmlformats.org/officeDocument/2006/relationships/hyperlink" Target="https://www.socialsecurity.be/employer/instructions/dmfa/fr/latest/instructions/salary/particularcases/expensesreimbursement.html" TargetMode="External" /><ns0:Relationship Id="rIdSource8" Type="http://schemas.openxmlformats.org/officeDocument/2006/relationships/hyperlink" Target="https://www.socialsecurity.be/employer/instructions/dmfa/fr/latest/instructions/salary/particularcases/expensesreimbursement.html" TargetMode="External" /><ns0:Relationship Id="rIdSource9" Type="http://schemas.openxmlformats.org/officeDocument/2006/relationships/hyperlink" Target="https://www.socialsecurity.be/employer/instructions/dmfa/fr/latest/instructions/salary/particularcases/expensesreimbursement.html" TargetMode="External" /><ns0:Relationship Id="rIdSource10" Type="http://schemas.openxmlformats.org/officeDocument/2006/relationships/hyperlink" Target="https://www.socialsecurity.be/employer/instructions/dmfa/fr/latest/instructions/salary/particularcases/expensesreimbursement.html" TargetMode="External" /><ns0:Relationship Id="rIdSource11" Type="http://schemas.openxmlformats.org/officeDocument/2006/relationships/hyperlink" Target="https://www.socialsecurity.be/employer/instructions/dmfa/fr/latest/instructions/salary/particularcases/expensesreimbursement.html" TargetMode="External" /><ns0:Relationship Id="rIdSource12" Type="http://schemas.openxmlformats.org/officeDocument/2006/relationships/hyperlink" Target="https://www.socialsecurity.be/employer/instructions/dmfa/fr/latest/instructions/salary/particularcases/expensesreimbursement.html" TargetMode="External" /><ns0:Relationship Id="rIdSource13" Type="http://schemas.openxmlformats.org/officeDocument/2006/relationships/hyperlink" Target="https://www.socialsecurity.be/employer/instructions/dmfa/fr/latest/instructions/salary/particularcases/giftcheques.html" TargetMode="External" /></ns0: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09afb5521ac409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6" customHeight="1">
      <x:c r="A2" s="3" t="str">
        <x:v>Belgium | Compensation &amp; benefits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2" t="str">
        <x:v>2026 annual planning template · 250 synthetic employees · capacity for 500 · EUR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 t="str">
        <x:v>White-collar employees in the private profit sector. Stable full-year workforce; replace demo inputs before use.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6" t="str">
        <x:v>Workforce &amp; annual cost</x:v>
      </x:c>
      <x:c r="B6" s="6"/>
      <x:c r="C6" s="6"/>
      <x:c r="D6" s="6"/>
      <x:c r="E6" s="6"/>
      <x:c r="F6" s="6"/>
      <x:c r="G6" s="2"/>
      <x:c r="H6" s="6" t="str">
        <x:v>Use the template</x:v>
      </x:c>
      <x:c r="I6" s="6"/>
      <x:c r="J6" s="6"/>
      <x:c r="K6" s="6"/>
      <x:c r="L6" s="6"/>
      <x:c r="M6" s="6"/>
      <x:c r="N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3" customHeight="1">
      <x:c r="A8" s="2" t="str">
        <x:v>Employee headcount</x:v>
      </x:c>
      <x:c r="B8" s="2"/>
      <x:c r="C8" s="2"/>
      <x:c r="D8" s="2"/>
      <x:c r="E8" s="27" t="n">
        <x:f>COUNTA(Employees!$A$9:$A$508)</x:f>
        <x:v>250</x:v>
      </x:c>
      <x:c r="F8" s="27"/>
      <x:c r="G8" s="2"/>
      <x:c r="H8" s="15" t="str">
        <x:v>1  Confirm the joint committee, benefits and contribution rate on Settings.</x:v>
      </x:c>
      <x:c r="I8" s="15"/>
      <x:c r="J8" s="15"/>
      <x:c r="K8" s="15"/>
      <x:c r="L8" s="15"/>
      <x:c r="M8" s="15"/>
      <x:c r="N8" s="15"/>
    </x:row>
    <x:row r="9" ht="23" customHeight="1">
      <x:c r="A9" s="2" t="str">
        <x:v>Total FTE</x:v>
      </x:c>
      <x:c r="B9" s="2"/>
      <x:c r="C9" s="2"/>
      <x:c r="D9" s="2"/>
      <x:c r="E9" s="28" t="n">
        <x:f>SUM(Employees!$F$9:$F$508)</x:f>
        <x:v>232.40000000000003</x:v>
      </x:c>
      <x:c r="F9" s="28"/>
      <x:c r="G9" s="2"/>
      <x:c r="H9" s="15"/>
      <x:c r="I9" s="15"/>
      <x:c r="J9" s="15"/>
      <x:c r="K9" s="15"/>
      <x:c r="L9" s="15"/>
      <x:c r="M9" s="15"/>
      <x:c r="N9" s="15"/>
    </x:row>
    <x:row r="10" ht="23" customHeight="1">
      <x:c r="A10" s="18" t="str">
        <x:v>Baseline employer cost</x:v>
      </x:c>
      <x:c r="B10" s="18"/>
      <x:c r="C10" s="18"/>
      <x:c r="D10" s="18"/>
      <x:c r="E10" s="31" t="n">
        <x:f>SUM(Employees!$AO$9:$AO$508)</x:f>
        <x:v>17027107.889999997</x:v>
      </x:c>
      <x:c r="F10" s="31"/>
      <x:c r="G10" s="2"/>
      <x:c r="H10" s="15" t="str">
        <x:v>2  Clear A9:Y258 on Employees, then paste anonymized company inputs.</x:v>
      </x:c>
      <x:c r="I10" s="15"/>
      <x:c r="J10" s="15"/>
      <x:c r="K10" s="15"/>
      <x:c r="L10" s="15"/>
      <x:c r="M10" s="15"/>
      <x:c r="N10" s="15"/>
    </x:row>
    <x:row r="11" ht="23" customHeight="1">
      <x:c r="A11" s="2" t="str">
        <x:v>Salary review uplift</x:v>
      </x:c>
      <x:c r="B11" s="2"/>
      <x:c r="C11" s="2"/>
      <x:c r="D11" s="2"/>
      <x:c r="E11" s="29" t="n">
        <x:f>SUM(Employees!$AP$9:$AP$508)</x:f>
        <x:v>321269.6576999999</x:v>
      </x:c>
      <x:c r="F11" s="29"/>
      <x:c r="G11" s="2"/>
      <x:c r="H11" s="15"/>
      <x:c r="I11" s="15"/>
      <x:c r="J11" s="15"/>
      <x:c r="K11" s="15"/>
      <x:c r="L11" s="15"/>
      <x:c r="M11" s="15"/>
      <x:c r="N11" s="15"/>
    </x:row>
    <x:row r="12" ht="23" customHeight="1">
      <x:c r="A12" s="18" t="str">
        <x:v>Review-year cost</x:v>
      </x:c>
      <x:c r="B12" s="18"/>
      <x:c r="C12" s="18"/>
      <x:c r="D12" s="18"/>
      <x:c r="E12" s="31" t="n">
        <x:f>SUM(Employees!$AQ$9:$AQ$508)</x:f>
        <x:v>17348377.547700003</x:v>
      </x:c>
      <x:c r="F12" s="31"/>
      <x:c r="G12" s="2"/>
      <x:c r="H12" s="15" t="str">
        <x:v>3  Keep formulas Z:AT; prepared capacity is 500 employee rows.</x:v>
      </x:c>
      <x:c r="I12" s="15"/>
      <x:c r="J12" s="15"/>
      <x:c r="K12" s="15"/>
      <x:c r="L12" s="15"/>
      <x:c r="M12" s="15"/>
      <x:c r="N12" s="15"/>
    </x:row>
    <x:row r="13" ht="23" customHeight="1">
      <x:c r="A13" s="2" t="str">
        <x:v>Annual budget</x:v>
      </x:c>
      <x:c r="B13" s="2"/>
      <x:c r="C13" s="2"/>
      <x:c r="D13" s="2"/>
      <x:c r="E13" s="29" t="n">
        <x:f>SUM(Employees!$X$9:$X$508)</x:f>
        <x:v>17517100</x:v>
      </x:c>
      <x:c r="F13" s="29"/>
      <x:c r="G13" s="2"/>
      <x:c r="H13" s="15"/>
      <x:c r="I13" s="15"/>
      <x:c r="J13" s="15"/>
      <x:c r="K13" s="15"/>
      <x:c r="L13" s="15"/>
      <x:c r="M13" s="15"/>
      <x:c r="N13" s="15"/>
    </x:row>
    <x:row r="14" ht="23" customHeight="1">
      <x:c r="A14" s="2" t="str">
        <x:v>Over/(under) budget</x:v>
      </x:c>
      <x:c r="B14" s="2"/>
      <x:c r="C14" s="2"/>
      <x:c r="D14" s="2"/>
      <x:c r="E14" s="29" t="n">
        <x:f>SUM(Employees!$AR$9:$AR$508)</x:f>
        <x:v>-168722.45229999995</x:v>
      </x:c>
      <x:c r="F14" s="29"/>
      <x:c r="G14" s="2"/>
      <x:c r="H14" s="15" t="str">
        <x:v>4  Filter Input / ceiling check to resolve entries other than OK.</x:v>
      </x:c>
      <x:c r="I14" s="15"/>
      <x:c r="J14" s="15"/>
      <x:c r="K14" s="15"/>
      <x:c r="L14" s="15"/>
      <x:c r="M14" s="15"/>
      <x:c r="N14" s="15"/>
    </x:row>
    <x:row r="15" ht="23" customHeight="1">
      <x:c r="A15" s="18" t="str">
        <x:v>Employer benefits</x:v>
      </x:c>
      <x:c r="B15" s="18"/>
      <x:c r="C15" s="18"/>
      <x:c r="D15" s="18"/>
      <x:c r="E15" s="31" t="n">
        <x:f>SUM(Employees!$AN$9:$AN$508)</x:f>
        <x:v>961670.0299999999</x:v>
      </x:c>
      <x:c r="F15" s="31"/>
      <x:c r="G15" s="2"/>
      <x:c r="H15" s="15"/>
      <x:c r="I15" s="15"/>
      <x:c r="J15" s="15"/>
      <x:c r="K15" s="15"/>
      <x:c r="L15" s="15"/>
      <x:c r="M15" s="15"/>
      <x:c r="N15" s="15"/>
    </x:row>
    <x:row r="16" ht="23" customHeight="1">
      <x:c r="A16" s="2" t="str">
        <x:v>Weighted sickness absence</x:v>
      </x:c>
      <x:c r="B16" s="2"/>
      <x:c r="C16" s="2"/>
      <x:c r="D16" s="2"/>
      <x:c r="E16" s="30" t="n">
        <x:f>IF(SUM(Employees!$W$9:$W$508)=0,"n.a.",SUM(Employees!$V$9:$V$508)/SUM(Employees!$W$9:$W$508))</x:f>
        <x:v>0.025536930330015715</x:v>
      </x:c>
      <x:c r="F16" s="30"/>
      <x:c r="G16" s="2"/>
      <x:c r="H16" s="15" t="str">
        <x:v>5  Review cost, benefit spend, salary position and annual budget here.</x:v>
      </x:c>
      <x:c r="I16" s="15"/>
      <x:c r="J16" s="15"/>
      <x:c r="K16" s="15"/>
      <x:c r="L16" s="15"/>
      <x:c r="M16" s="15"/>
      <x:c r="N16" s="15"/>
    </x:row>
    <x:row r="17" ht="23" customHeight="1">
      <x:c r="A17" s="2"/>
      <x:c r="B17" s="2"/>
      <x:c r="C17" s="2"/>
      <x:c r="D17" s="2"/>
      <x:c r="E17" s="2"/>
      <x:c r="F17" s="2"/>
      <x:c r="G17" s="2"/>
      <x:c r="H17" s="15"/>
      <x:c r="I17" s="15"/>
      <x:c r="J17" s="15"/>
      <x:c r="K17" s="15"/>
      <x:c r="L17" s="15"/>
      <x:c r="M17" s="15"/>
      <x:c r="N17" s="15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5" customHeight="1">
      <x:c r="A19" s="6" t="str">
        <x:v>Department budget | annual EUR · positive variance means over budget</x:v>
      </x:c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 ht="36" customHeight="1">
      <x:c r="A20" s="33" t="str">
        <x:v>Department</x:v>
      </x:c>
      <x:c r="B20" s="33" t="str">
        <x:v>Headcount</x:v>
      </x:c>
      <x:c r="C20" s="33" t="str">
        <x:v>FTE</x:v>
      </x:c>
      <x:c r="D20" s="33" t="str">
        <x:v>Baseline cost</x:v>
      </x:c>
      <x:c r="E20" s="33" t="str">
        <x:v>Review-year cost</x:v>
      </x:c>
      <x:c r="F20" s="33" t="str">
        <x:v>Annual budget</x:v>
      </x:c>
      <x:c r="G20" s="33" t="str">
        <x:v>Variance EUR</x:v>
      </x:c>
      <x:c r="H20" s="33" t="str">
        <x:v>Benefits EUR</x:v>
      </x:c>
      <x:c r="I20" s="2"/>
      <x:c r="J20" s="2"/>
      <x:c r="K20" s="2"/>
      <x:c r="L20" s="2"/>
      <x:c r="M20" s="2"/>
      <x:c r="N20" s="2"/>
    </x:row>
    <x:row r="21" ht="23" customHeight="1">
      <x:c r="A21" s="2" t="str">
        <x:f>Settings!A59</x:f>
        <x:v>Finance</x:v>
      </x:c>
      <x:c r="B21" s="2" t="n">
        <x:f>COUNTIFS(Employees!$B$9:$B$508,$A21,Employees!$F$9:$F$508,"&gt;0")</x:f>
        <x:v>42</x:v>
      </x:c>
      <x:c r="C21" s="28" t="n">
        <x:f>SUMIFS(Employees!$F$9:$F$508,Employees!$B$9:$B$508,$A21)</x:f>
        <x:v>35.60000000000001</x:v>
      </x:c>
      <x:c r="D21" s="29" t="n">
        <x:f>SUMIFS(Employees!$AO$9:$AO$508,Employees!$B$9:$B$508,$A21)</x:f>
        <x:v>2438594.1800000006</x:v>
      </x:c>
      <x:c r="E21" s="29" t="n">
        <x:f>SUMIFS(Employees!$AQ$9:$AQ$508,Employees!$B$9:$B$508,$A21)</x:f>
        <x:v>2484185.9606</x:v>
      </x:c>
      <x:c r="F21" s="29" t="n">
        <x:f>SUMIFS(Employees!$X$9:$X$508,Employees!$B$9:$B$508,$A21)</x:f>
        <x:v>2508400</x:v>
      </x:c>
      <x:c r="G21" s="29" t="n">
        <x:f>SUMIFS(Employees!$AR$9:$AR$508,Employees!$B$9:$B$508,$A21)</x:f>
        <x:v>-24214.03939999997</x:v>
      </x:c>
      <x:c r="H21" s="29" t="n">
        <x:f>SUMIFS(Employees!$AN$9:$AN$508,Employees!$B$9:$B$508,$A21)</x:f>
        <x:v>144166.82</x:v>
      </x:c>
      <x:c r="I21" s="2"/>
      <x:c r="J21" s="2"/>
      <x:c r="K21" s="2"/>
      <x:c r="L21" s="2"/>
      <x:c r="M21" s="2"/>
      <x:c r="N21" s="2"/>
    </x:row>
    <x:row r="22" ht="23" customHeight="1">
      <x:c r="A22" s="2" t="str">
        <x:f>Settings!A60</x:f>
        <x:v>People &amp; Culture</x:v>
      </x:c>
      <x:c r="B22" s="2" t="n">
        <x:f>COUNTIFS(Employees!$B$9:$B$508,$A22,Employees!$F$9:$F$508,"&gt;0")</x:f>
        <x:v>42</x:v>
      </x:c>
      <x:c r="C22" s="28" t="n">
        <x:f>SUMIFS(Employees!$F$9:$F$508,Employees!$B$9:$B$508,$A22)</x:f>
        <x:v>40.8</x:v>
      </x:c>
      <x:c r="D22" s="29" t="n">
        <x:f>SUMIFS(Employees!$AO$9:$AO$508,Employees!$B$9:$B$508,$A22)</x:f>
        <x:v>3133698.1199999996</x:v>
      </x:c>
      <x:c r="E22" s="29" t="n">
        <x:f>SUMIFS(Employees!$AQ$9:$AQ$508,Employees!$B$9:$B$508,$A22)</x:f>
        <x:v>3194185.9125</x:v>
      </x:c>
      <x:c r="F22" s="29" t="n">
        <x:f>SUMIFS(Employees!$X$9:$X$508,Employees!$B$9:$B$508,$A22)</x:f>
        <x:v>3224800</x:v>
      </x:c>
      <x:c r="G22" s="29" t="n">
        <x:f>SUMIFS(Employees!$AR$9:$AR$508,Employees!$B$9:$B$508,$A22)</x:f>
        <x:v>-30614.08750000001</x:v>
      </x:c>
      <x:c r="H22" s="29" t="n">
        <x:f>SUMIFS(Employees!$AN$9:$AN$508,Employees!$B$9:$B$508,$A22)</x:f>
        <x:v>182221.55999999997</x:v>
      </x:c>
      <x:c r="I22" s="2"/>
      <x:c r="J22" s="2"/>
      <x:c r="K22" s="2"/>
      <x:c r="L22" s="2"/>
      <x:c r="M22" s="2"/>
      <x:c r="N22" s="2"/>
    </x:row>
    <x:row r="23" ht="23" customHeight="1">
      <x:c r="A23" s="2" t="str">
        <x:f>Settings!A61</x:f>
        <x:v>Technology</x:v>
      </x:c>
      <x:c r="B23" s="2" t="n">
        <x:f>COUNTIFS(Employees!$B$9:$B$508,$A23,Employees!$F$9:$F$508,"&gt;0")</x:f>
        <x:v>42</x:v>
      </x:c>
      <x:c r="C23" s="28" t="n">
        <x:f>SUMIFS(Employees!$F$9:$F$508,Employees!$B$9:$B$508,$A23)</x:f>
        <x:v>40.8</x:v>
      </x:c>
      <x:c r="D23" s="29" t="n">
        <x:f>SUMIFS(Employees!$AO$9:$AO$508,Employees!$B$9:$B$508,$A23)</x:f>
        <x:v>2752940.4099999997</x:v>
      </x:c>
      <x:c r="E23" s="29" t="n">
        <x:f>SUMIFS(Employees!$AQ$9:$AQ$508,Employees!$B$9:$B$508,$A23)</x:f>
        <x:v>2805289.4401750006</x:v>
      </x:c>
      <x:c r="F23" s="29" t="n">
        <x:f>SUMIFS(Employees!$X$9:$X$508,Employees!$B$9:$B$508,$A23)</x:f>
        <x:v>2833900</x:v>
      </x:c>
      <x:c r="G23" s="29" t="n">
        <x:f>SUMIFS(Employees!$AR$9:$AR$508,Employees!$B$9:$B$508,$A23)</x:f>
        <x:v>-28610.559824999997</x:v>
      </x:c>
      <x:c r="H23" s="29" t="n">
        <x:f>SUMIFS(Employees!$AN$9:$AN$508,Employees!$B$9:$B$508,$A23)</x:f>
        <x:v>135381.59999999998</x:v>
      </x:c>
      <x:c r="I23" s="2"/>
      <x:c r="J23" s="2"/>
      <x:c r="K23" s="2"/>
      <x:c r="L23" s="2"/>
      <x:c r="M23" s="2"/>
      <x:c r="N23" s="2"/>
    </x:row>
    <x:row r="24" ht="23" customHeight="1">
      <x:c r="A24" s="2" t="str">
        <x:f>Settings!A62</x:f>
        <x:v>Sales</x:v>
      </x:c>
      <x:c r="B24" s="2" t="n">
        <x:f>COUNTIFS(Employees!$B$9:$B$508,$A24,Employees!$F$9:$F$508,"&gt;0")</x:f>
        <x:v>42</x:v>
      </x:c>
      <x:c r="C24" s="28" t="n">
        <x:f>SUMIFS(Employees!$F$9:$F$508,Employees!$B$9:$B$508,$A24)</x:f>
        <x:v>35.60000000000001</x:v>
      </x:c>
      <x:c r="D24" s="29" t="n">
        <x:f>SUMIFS(Employees!$AO$9:$AO$508,Employees!$B$9:$B$508,$A24)</x:f>
        <x:v>2776525.4599999995</x:v>
      </x:c>
      <x:c r="E24" s="29" t="n">
        <x:f>SUMIFS(Employees!$AQ$9:$AQ$508,Employees!$B$9:$B$508,$A24)</x:f>
        <x:v>2827079.1848</x:v>
      </x:c>
      <x:c r="F24" s="29" t="n">
        <x:f>SUMIFS(Employees!$X$9:$X$508,Employees!$B$9:$B$508,$A24)</x:f>
        <x:v>2854500</x:v>
      </x:c>
      <x:c r="G24" s="29" t="n">
        <x:f>SUMIFS(Employees!$AR$9:$AR$508,Employees!$B$9:$B$508,$A24)</x:f>
        <x:v>-27420.815199999968</x:v>
      </x:c>
      <x:c r="H24" s="29" t="n">
        <x:f>SUMIFS(Employees!$AN$9:$AN$508,Employees!$B$9:$B$508,$A24)</x:f>
        <x:v>190721.88</x:v>
      </x:c>
      <x:c r="I24" s="2"/>
      <x:c r="J24" s="2"/>
      <x:c r="K24" s="2"/>
      <x:c r="L24" s="2"/>
      <x:c r="M24" s="2"/>
      <x:c r="N24" s="2"/>
    </x:row>
    <x:row r="25" ht="23" customHeight="1">
      <x:c r="A25" s="2" t="str">
        <x:f>Settings!A63</x:f>
        <x:v>Customer Operations</x:v>
      </x:c>
      <x:c r="B25" s="2" t="n">
        <x:f>COUNTIFS(Employees!$B$9:$B$508,$A25,Employees!$F$9:$F$508,"&gt;0")</x:f>
        <x:v>41</x:v>
      </x:c>
      <x:c r="C25" s="28" t="n">
        <x:f>SUMIFS(Employees!$F$9:$F$508,Employees!$B$9:$B$508,$A25)</x:f>
        <x:v>39.8</x:v>
      </x:c>
      <x:c r="D25" s="29" t="n">
        <x:f>SUMIFS(Employees!$AO$9:$AO$508,Employees!$B$9:$B$508,$A25)</x:f>
        <x:v>2714573.109999999</x:v>
      </x:c>
      <x:c r="E25" s="29" t="n">
        <x:f>SUMIFS(Employees!$AQ$9:$AQ$508,Employees!$B$9:$B$508,$A25)</x:f>
        <x:v>2766041.9732499993</x:v>
      </x:c>
      <x:c r="F25" s="29" t="n">
        <x:f>SUMIFS(Employees!$X$9:$X$508,Employees!$B$9:$B$508,$A25)</x:f>
        <x:v>2794100</x:v>
      </x:c>
      <x:c r="G25" s="29" t="n">
        <x:f>SUMIFS(Employees!$AR$9:$AR$508,Employees!$B$9:$B$508,$A25)</x:f>
        <x:v>-28058.02675000001</x:v>
      </x:c>
      <x:c r="H25" s="29" t="n">
        <x:f>SUMIFS(Employees!$AN$9:$AN$508,Employees!$B$9:$B$508,$A25)</x:f>
        <x:v>131044.64999999998</x:v>
      </x:c>
      <x:c r="I25" s="2"/>
      <x:c r="J25" s="2"/>
      <x:c r="K25" s="2"/>
      <x:c r="L25" s="2"/>
      <x:c r="M25" s="2"/>
      <x:c r="N25" s="2"/>
    </x:row>
    <x:row r="26" ht="23" customHeight="1">
      <x:c r="A26" s="2" t="str">
        <x:f>Settings!A64</x:f>
        <x:v>Business Support</x:v>
      </x:c>
      <x:c r="B26" s="2" t="n">
        <x:f>COUNTIFS(Employees!$B$9:$B$508,$A26,Employees!$F$9:$F$508,"&gt;0")</x:f>
        <x:v>41</x:v>
      </x:c>
      <x:c r="C26" s="28" t="n">
        <x:f>SUMIFS(Employees!$F$9:$F$508,Employees!$B$9:$B$508,$A26)</x:f>
        <x:v>39.8</x:v>
      </x:c>
      <x:c r="D26" s="29" t="n">
        <x:f>SUMIFS(Employees!$AO$9:$AO$508,Employees!$B$9:$B$508,$A26)</x:f>
        <x:v>3210776.6100000003</x:v>
      </x:c>
      <x:c r="E26" s="29" t="n">
        <x:f>SUMIFS(Employees!$AQ$9:$AQ$508,Employees!$B$9:$B$508,$A26)</x:f>
        <x:v>3271595.076375</x:v>
      </x:c>
      <x:c r="F26" s="29" t="n">
        <x:f>SUMIFS(Employees!$X$9:$X$508,Employees!$B$9:$B$508,$A26)</x:f>
        <x:v>3301400</x:v>
      </x:c>
      <x:c r="G26" s="29" t="n">
        <x:f>SUMIFS(Employees!$AR$9:$AR$508,Employees!$B$9:$B$508,$A26)</x:f>
        <x:v>-29804.923625000025</x:v>
      </x:c>
      <x:c r="H26" s="29" t="n">
        <x:f>SUMIFS(Employees!$AN$9:$AN$508,Employees!$B$9:$B$508,$A26)</x:f>
        <x:v>178133.51999999996</x:v>
      </x:c>
      <x:c r="I26" s="2"/>
      <x:c r="J26" s="2"/>
      <x:c r="K26" s="2"/>
      <x:c r="L26" s="2"/>
      <x:c r="M26" s="2"/>
      <x:c r="N26" s="2"/>
    </x:row>
    <x:row r="27" ht="23" customHeight="1">
      <x:c r="A27" s="32" t="str">
        <x:v>Total</x:v>
      </x:c>
      <x:c r="B27" s="32" t="n">
        <x:f>SUM(B21:B26)</x:f>
        <x:v>250</x:v>
      </x:c>
      <x:c r="C27" s="32" t="n">
        <x:f>SUM(C21:C26)</x:f>
        <x:v>232.40000000000003</x:v>
      </x:c>
      <x:c r="D27" s="34" t="n">
        <x:f>SUM(D21:D26)</x:f>
        <x:v>17027107.89</x:v>
      </x:c>
      <x:c r="E27" s="34" t="n">
        <x:f>SUM(E21:E26)</x:f>
        <x:v>17348377.547700003</x:v>
      </x:c>
      <x:c r="F27" s="34" t="n">
        <x:f>SUM(F21:F26)</x:f>
        <x:v>17517100</x:v>
      </x:c>
      <x:c r="G27" s="34" t="n">
        <x:f>SUM(G21:G26)</x:f>
        <x:v>-168722.45229999998</x:v>
      </x:c>
      <x:c r="H27" s="34" t="n">
        <x:f>SUM(H21:H26)</x:f>
        <x:v>961670.03</x:v>
      </x:c>
      <x:c r="I27" s="2"/>
      <x:c r="J27" s="2"/>
      <x:c r="K27" s="2"/>
      <x:c r="L27" s="2"/>
      <x:c r="M27" s="2"/>
      <x:c r="N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5" customHeight="1">
      <x:c r="A30" s="6" t="str">
        <x:v>Benefit spend | annual employer EUR</x:v>
      </x:c>
      <x:c r="B30" s="6"/>
      <x:c r="C30" s="6"/>
      <x:c r="D30" s="6"/>
      <x:c r="E30" s="6"/>
      <x:c r="F30" s="6"/>
      <x:c r="G30" s="2"/>
      <x:c r="H30" s="6" t="str">
        <x:v>Salary position | monthly full-time gross</x:v>
      </x:c>
      <x:c r="I30" s="6"/>
      <x:c r="J30" s="6"/>
      <x:c r="K30" s="6"/>
      <x:c r="L30" s="6"/>
      <x:c r="M30" s="6"/>
      <x:c r="N30" s="6"/>
    </x:row>
    <x:row r="31" ht="33" customHeight="1">
      <x:c r="A31" s="33" t="str">
        <x:v>Benefit</x:v>
      </x:c>
      <x:c r="B31" s="33" t="str">
        <x:v>Recipients</x:v>
      </x:c>
      <x:c r="C31" s="33" t="str">
        <x:v>Employer EUR</x:v>
      </x:c>
      <x:c r="D31" s="33" t="str">
        <x:v>Per recipient</x:v>
      </x:c>
      <x:c r="E31" s="2"/>
      <x:c r="F31" s="2"/>
      <x:c r="G31" s="2"/>
      <x:c r="H31" s="33" t="str">
        <x:v>Grade</x:v>
      </x:c>
      <x:c r="I31" s="33" t="str">
        <x:v>Headcount</x:v>
      </x:c>
      <x:c r="J31" s="33" t="str">
        <x:v>Avg gross EUR</x:v>
      </x:c>
      <x:c r="K31" s="33" t="str">
        <x:v>Midpoint EUR</x:v>
      </x:c>
      <x:c r="L31" s="33" t="str">
        <x:v>Compa-ratio</x:v>
      </x:c>
      <x:c r="M31" s="2"/>
      <x:c r="N31" s="2"/>
    </x:row>
    <x:row r="32" ht="23" customHeight="1">
      <x:c r="A32" s="2" t="str">
        <x:v>Meal vouchers</x:v>
      </x:c>
      <x:c r="B32" s="2" t="n">
        <x:f>COUNTIFS(Employees!$M$9:$M$508,"&gt;0")</x:f>
        <x:v>250</x:v>
      </x:c>
      <x:c r="C32" s="29" t="n">
        <x:f>SUM(Employees!$AI$9:$AI$508)</x:f>
        <x:v>436331.61</x:v>
      </x:c>
      <x:c r="D32" s="29" t="n">
        <x:f>IF(B32=0,"n.a.",C32/B32)</x:f>
        <x:v>1745.32644</x:v>
      </x:c>
      <x:c r="E32" s="2"/>
      <x:c r="F32" s="2"/>
      <x:c r="G32" s="2"/>
      <x:c r="H32" s="2" t="str">
        <x:f>Settings!A29</x:f>
        <x:v>G1</x:v>
      </x:c>
      <x:c r="I32" s="2" t="n">
        <x:f>COUNTIFS(Employees!$E$9:$E$508,H32,Employees!$F$9:$F$508,"&gt;0")</x:f>
        <x:v>65</x:v>
      </x:c>
      <x:c r="J32" s="29" t="n">
        <x:f>IF(I32=0,"n.a.",SUMIFS(Employees!$G$9:$G$508,Employees!$E$9:$E$508,H32)/I32)</x:f>
        <x:v>2732.769230769231</x:v>
      </x:c>
      <x:c r="K32" s="29" t="n">
        <x:f>Settings!C29</x:f>
        <x:v>2700</x:v>
      </x:c>
      <x:c r="L32" s="30" t="n">
        <x:f>IF(I32=0,"n.a.",J32/K32)</x:f>
        <x:v>1.0121367521367521</x:v>
      </x:c>
      <x:c r="M32" s="2"/>
      <x:c r="N32" s="2"/>
    </x:row>
    <x:row r="33" ht="23" customHeight="1">
      <x:c r="A33" s="2" t="str">
        <x:v>Eco vouchers</x:v>
      </x:c>
      <x:c r="B33" s="2" t="n">
        <x:f>COUNTIFS(Employees!$N$9:$N$508,"&gt;0")</x:f>
        <x:v>250</x:v>
      </x:c>
      <x:c r="C33" s="29" t="n">
        <x:f>SUM(Employees!$N$9:$N$508)</x:f>
        <x:v>58100</x:v>
      </x:c>
      <x:c r="D33" s="29" t="n">
        <x:f>IF(B33=0,"n.a.",C33/B33)</x:f>
        <x:v>232.4</x:v>
      </x:c>
      <x:c r="E33" s="2"/>
      <x:c r="F33" s="2"/>
      <x:c r="G33" s="2"/>
      <x:c r="H33" s="2" t="str">
        <x:f>Settings!A30</x:f>
        <x:v>G2</x:v>
      </x:c>
      <x:c r="I33" s="2" t="n">
        <x:f>COUNTIFS(Employees!$E$9:$E$508,H33,Employees!$F$9:$F$508,"&gt;0")</x:f>
        <x:v>89</x:v>
      </x:c>
      <x:c r="J33" s="29" t="n">
        <x:f>IF(I33=0,"n.a.",SUMIFS(Employees!$G$9:$G$508,Employees!$E$9:$E$508,H33)/I33)</x:f>
        <x:v>3337.9775280898875</x:v>
      </x:c>
      <x:c r="K33" s="29" t="n">
        <x:f>Settings!C30</x:f>
        <x:v>3300</x:v>
      </x:c>
      <x:c r="L33" s="30" t="n">
        <x:f>IF(I33=0,"n.a.",J33/K33)</x:f>
        <x:v>1.0115083418454205</x:v>
      </x:c>
      <x:c r="M33" s="2"/>
      <x:c r="N33" s="2"/>
    </x:row>
    <x:row r="34" ht="23" customHeight="1">
      <x:c r="A34" s="2" t="str">
        <x:v>Bicycle commute</x:v>
      </x:c>
      <x:c r="B34" s="2" t="n">
        <x:f>COUNTIFS(Employees!$O$9:$O$508,"&gt;0")</x:f>
        <x:v>84</x:v>
      </x:c>
      <x:c r="C34" s="29" t="n">
        <x:f>SUM(Employees!$AK$9:$AK$508)</x:f>
        <x:v>39808.299999999996</x:v>
      </x:c>
      <x:c r="D34" s="29" t="n">
        <x:f>IF(B34=0,"n.a.",C34/B34)</x:f>
        <x:v>473.9083333333333</x:v>
      </x:c>
      <x:c r="E34" s="2"/>
      <x:c r="F34" s="2"/>
      <x:c r="G34" s="2"/>
      <x:c r="H34" s="2" t="str">
        <x:f>Settings!A31</x:f>
        <x:v>G3</x:v>
      </x:c>
      <x:c r="I34" s="2" t="n">
        <x:f>COUNTIFS(Employees!$E$9:$E$508,H34,Employees!$F$9:$F$508,"&gt;0")</x:f>
        <x:v>60</x:v>
      </x:c>
      <x:c r="J34" s="29" t="n">
        <x:f>IF(I34=0,"n.a.",SUMIFS(Employees!$G$9:$G$508,Employees!$E$9:$E$508,H34)/I34)</x:f>
        <x:v>4178.166666666667</x:v>
      </x:c>
      <x:c r="K34" s="29" t="n">
        <x:f>Settings!C31</x:f>
        <x:v>4200</x:v>
      </x:c>
      <x:c r="L34" s="30" t="n">
        <x:f>IF(I34=0,"n.a.",J34/K34)</x:f>
        <x:v>0.9948015873015874</x:v>
      </x:c>
      <x:c r="M34" s="2"/>
      <x:c r="N34" s="2"/>
    </x:row>
    <x:row r="35" ht="23" customHeight="1">
      <x:c r="A35" s="2" t="str">
        <x:v>Home / internet / PC</x:v>
      </x:c>
      <x:c r="B35" s="2" t="n">
        <x:f>COUNTIFS(Employees!$AL$9:$AL$508,"&gt;0")</x:f>
        <x:v>187</x:v>
      </x:c>
      <x:c r="C35" s="29" t="n">
        <x:f>SUM(Employees!$AL$9:$AL$508)</x:f>
        <x:v>417430.1200000011</x:v>
      </x:c>
      <x:c r="D35" s="29" t="n">
        <x:f>IF(B35=0,"n.a.",C35/B35)</x:f>
        <x:v>2232.2466310160485</x:v>
      </x:c>
      <x:c r="E35" s="2"/>
      <x:c r="F35" s="2"/>
      <x:c r="G35" s="2"/>
      <x:c r="H35" s="2" t="str">
        <x:f>Settings!A32</x:f>
        <x:v>G4</x:v>
      </x:c>
      <x:c r="I35" s="2" t="n">
        <x:f>COUNTIFS(Employees!$E$9:$E$508,H35,Employees!$F$9:$F$508,"&gt;0")</x:f>
        <x:v>24</x:v>
      </x:c>
      <x:c r="J35" s="29" t="n">
        <x:f>IF(I35=0,"n.a.",SUMIFS(Employees!$G$9:$G$508,Employees!$E$9:$E$508,H35)/I35)</x:f>
        <x:v>5382.5</x:v>
      </x:c>
      <x:c r="K35" s="29" t="n">
        <x:f>Settings!C32</x:f>
        <x:v>5400</x:v>
      </x:c>
      <x:c r="L35" s="30" t="n">
        <x:f>IF(I35=0,"n.a.",J35/K35)</x:f>
        <x:v>0.9967592592592592</x:v>
      </x:c>
      <x:c r="M35" s="2"/>
      <x:c r="N35" s="2"/>
    </x:row>
    <x:row r="36" ht="23" customHeight="1">
      <x:c r="A36" s="2" t="str">
        <x:v>Year-end gift</x:v>
      </x:c>
      <x:c r="B36" s="2" t="n">
        <x:f>COUNTIFS(Employees!$T$9:$T$508,"&gt;0")</x:f>
        <x:v>250</x:v>
      </x:c>
      <x:c r="C36" s="29" t="n">
        <x:f>SUM(Employees!$AM$9:$AM$508)</x:f>
        <x:v>10000</x:v>
      </x:c>
      <x:c r="D36" s="29" t="n">
        <x:f>IF(B36=0,"n.a.",C36/B36)</x:f>
        <x:v>40</x:v>
      </x:c>
      <x:c r="E36" s="2"/>
      <x:c r="F36" s="2"/>
      <x:c r="G36" s="2"/>
      <x:c r="H36" s="2" t="str">
        <x:f>Settings!A33</x:f>
        <x:v>G5</x:v>
      </x:c>
      <x:c r="I36" s="2" t="n">
        <x:f>COUNTIFS(Employees!$E$9:$E$508,H36,Employees!$F$9:$F$508,"&gt;0")</x:f>
        <x:v>12</x:v>
      </x:c>
      <x:c r="J36" s="29" t="n">
        <x:f>IF(I36=0,"n.a.",SUMIFS(Employees!$G$9:$G$508,Employees!$E$9:$E$508,H36)/I36)</x:f>
        <x:v>7530.833333333333</x:v>
      </x:c>
      <x:c r="K36" s="29" t="n">
        <x:f>Settings!C33</x:f>
        <x:v>7500</x:v>
      </x:c>
      <x:c r="L36" s="30" t="n">
        <x:f>IF(I36=0,"n.a.",J36/K36)</x:f>
        <x:v>1.0041111111111112</x:v>
      </x:c>
      <x:c r="M36" s="2"/>
      <x:c r="N36" s="2"/>
    </x:row>
    <x:row r="37" ht="23" customHeight="1">
      <x:c r="A37" s="2" t="str">
        <x:v>Other invoice costs</x:v>
      </x:c>
      <x:c r="B37" s="2" t="n">
        <x:f>COUNTIFS(Employees!$U$9:$U$508,"&gt;0")</x:f>
        <x:v>0</x:v>
      </x:c>
      <x:c r="C37" s="29" t="n">
        <x:f>SUM(Employees!$U$9:$U$508)</x:f>
        <x:v>0</x:v>
      </x:c>
      <x:c r="D37" s="29" t="str">
        <x:f>IF(B37=0,"n.a.",C37/B37)</x:f>
        <x:v>n.a.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3" customHeight="1">
      <x:c r="A38" s="32" t="str">
        <x:v>Total benefits</x:v>
      </x:c>
      <x:c r="B38" s="32"/>
      <x:c r="C38" s="34" t="n">
        <x:f>SUM(C32:C37)</x:f>
        <x:v>961670.0300000012</x:v>
      </x:c>
      <x:c r="D38" s="34"/>
      <x:c r="E38" s="2"/>
      <x:c r="F38" s="2"/>
      <x:c r="G38" s="2"/>
      <x:c r="H38" s="15" t="str">
        <x:v>Compa-ratio = full-time monthly salary ÷ grade midpoint. Bands are illustrative company inputs.</x:v>
      </x:c>
      <x:c r="I38" s="15"/>
      <x:c r="J38" s="15"/>
      <x:c r="K38" s="15"/>
      <x:c r="L38" s="15"/>
      <x:c r="M38" s="15"/>
      <x:c r="N38" s="15"/>
    </x:row>
    <x:row r="39" ht="23" customHeight="1">
      <x:c r="A39" s="2"/>
      <x:c r="B39" s="2"/>
      <x:c r="C39" s="2"/>
      <x:c r="D39" s="2"/>
      <x:c r="E39" s="2"/>
      <x:c r="F39" s="2"/>
      <x:c r="G39" s="2"/>
      <x:c r="H39" s="15"/>
      <x:c r="I39" s="15"/>
      <x:c r="J39" s="15"/>
      <x:c r="K39" s="15"/>
      <x:c r="L39" s="15"/>
      <x:c r="M39" s="15"/>
      <x:c r="N39" s="15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5" customHeight="1">
      <x:c r="A41" s="6" t="str">
        <x:v>Review checks | resolve before using totals</x:v>
      </x:c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3" customHeight="1">
      <x:c r="A43" s="2" t="str">
        <x:v>Employee issues</x:v>
      </x:c>
      <x:c r="B43" s="2"/>
      <x:c r="C43" s="2" t="n">
        <x:f>COUNTIFS(Employees!$AT$9:$AT$508,"Duplicate ID")+COUNTIFS(Employees!$AT$9:$AT$508,"Missing ID")+COUNTIFS(Employees!$AT$9:$AT$508,"Missing / text input")+COUNTIFS(Employees!$AT$9:$AT$508,"Unknown department / grade")+COUNTIFS(Employees!$AT$9:$AT$508,"Review quantity / rate")+COUNTIFS(Employees!$AT$9:$AT$508,"Review benefit ceiling")</x:f>
        <x:v>0</x:v>
      </x:c>
      <x:c r="D43" s="2" t="str">
        <x:v>Filter Employees AT to see the specific issue.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2" t="str">
        <x:v>Settings issues</x:v>
      </x:c>
      <x:c r="B44" s="2"/>
      <x:c r="C44" s="2" t="n">
        <x:f>IF(OR(Settings!B7&lt;&gt;2026,Settings!B8="Confirm before use",Settings!B8="",Settings!B9&lt;1,Settings!B9&gt;12,Settings!B16&gt;Settings!C16,Settings!B16&lt;0,Settings!B15&lt;Settings!C15,Settings!B14&gt;Settings!C14,Settings!B18&gt;Settings!C18,Settings!B20&gt;Settings!C20,Settings!B21&gt;Settings!C21,Settings!B22&gt;Settings!C22,Settings!B23&gt;Settings!C23,Settings!B24&gt;Settings!C24),1,0)</x:f>
        <x:v>1</x:v>
      </x:c>
      <x:c r="D44" s="2" t="str">
        <x:v>Confirm joint committee / policy on Settings B8; check year, rates and limits.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3" customHeight="1">
      <x:c r="A45" s="2" t="str">
        <x:v>Benefit reconciliation</x:v>
      </x:c>
      <x:c r="B45" s="2"/>
      <x:c r="C45" s="13" t="n">
        <x:f>C38-E15</x:f>
        <x:v>1.280568540096283e-9</x:v>
      </x:c>
      <x:c r="D45" s="2" t="str">
        <x:v>Expected difference: €0.00.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15" t="str">
        <x:v>Portfolio example: all employee records, salaries and budgets are synthetic. Belgian benefit values are sourced; eligibility and employer policy must be confirmed.</x:v>
      </x:c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</x:row>
    <x:row r="49" ht="23" customHeight="1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15" t="str">
        <x:v>Budget basis: full-year regular salary, eligible year-end premium, double holiday pay, cash bonus, employer load and benefits. Review-year cost reflects the raise effective month.</x:v>
      </x:c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</x:row>
    <x:row r="52" ht="23" customHeight="1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15" t="str">
        <x:v>Reuse: fill blue inputs through row 508. To exceed 500, copy a complete employee row with formulas and validation, then extend all bounded overview/check ranges.</x:v>
      </x:c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</x:row>
    <x:row r="55" ht="23" customHeight="1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</x:sheetData>
  <x:mergeCells>
    <x:mergeCell ref="A2:N2"/>
    <x:mergeCell ref="A3:N3"/>
    <x:mergeCell ref="A4:N4"/>
    <x:mergeCell ref="A6:F6"/>
    <x:mergeCell ref="H6:N6"/>
    <x:mergeCell ref="A8:D8"/>
    <x:mergeCell ref="E8:F8"/>
    <x:mergeCell ref="A9:D9"/>
    <x:mergeCell ref="E9:F9"/>
    <x:mergeCell ref="A10:D10"/>
    <x:mergeCell ref="E10:F10"/>
    <x:mergeCell ref="A11:D11"/>
    <x:mergeCell ref="E11:F11"/>
    <x:mergeCell ref="A12:D12"/>
    <x:mergeCell ref="E12:F12"/>
    <x:mergeCell ref="A13:D13"/>
    <x:mergeCell ref="E13:F13"/>
    <x:mergeCell ref="A14:D14"/>
    <x:mergeCell ref="E14:F14"/>
    <x:mergeCell ref="A15:D15"/>
    <x:mergeCell ref="E15:F15"/>
    <x:mergeCell ref="A16:D16"/>
    <x:mergeCell ref="E16:F16"/>
    <x:mergeCell ref="H8:N9"/>
    <x:mergeCell ref="H10:N11"/>
    <x:mergeCell ref="H12:N13"/>
    <x:mergeCell ref="H14:N15"/>
    <x:mergeCell ref="H16:N17"/>
    <x:mergeCell ref="A19:N19"/>
    <x:mergeCell ref="A30:F30"/>
    <x:mergeCell ref="H30:N30"/>
    <x:mergeCell ref="H38:N39"/>
    <x:mergeCell ref="A41:N41"/>
    <x:mergeCell ref="D43:N43"/>
    <x:mergeCell ref="D44:N44"/>
    <x:mergeCell ref="D45:N45"/>
    <x:mergeCell ref="A48:N49"/>
    <x:mergeCell ref="A51:N52"/>
    <x:mergeCell ref="A54:N55"/>
  </x:mergeCells>
  <x:conditionalFormatting sqref="C43:C44">
    <x:cfRule type="cellIs" dxfId="3" priority="1" operator="greaterThan">
      <x:formula>0</x:formula>
    </x:cfRule>
  </x:conditionalFormatting>
  <x:conditionalFormatting sqref="G21:G27">
    <x:cfRule type="cellIs" dxfId="4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072417253bec44bb"/>
</x: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15CB4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38" hidden="0" customWidth="1"/>
    <col min="2" max="2" width="16" hidden="0" customWidth="1"/>
    <col min="3" max="3" width="16" hidden="0" customWidth="1"/>
    <col min="4" max="4" width="15" hidden="0" customWidth="1"/>
    <col min="5" max="5" width="66" hidden="0" customWidth="1"/>
    <col min="6" max="6" width="3" hidden="0" customWidth="1"/>
    <col min="7" max="7" width="66" hidden="0" customWidth="1"/>
  </cols>
  <sheetData>
    <row r="1" ht="23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4" customHeight="1">
      <c r="A2" s="4" t="str">
        <v>Settings | policy, Belgian values and sources</v>
      </c>
      <c r="B2" s="4"/>
      <c r="C2" s="4"/>
      <c r="D2" s="4"/>
      <c r="E2" s="4"/>
      <c r="F2" s="4"/>
      <c r="G2" s="4"/>
      <c r="H2" s="2"/>
      <c r="I2" s="2"/>
      <c r="J2" s="2"/>
      <c r="K2" s="2"/>
      <c r="L2" s="2"/>
    </row>
    <row r="3" ht="23" customHeight="1">
      <c r="A3" s="2" t="str">
        <v>Blue cells are editable. Limits describe conditional exemptions; they do not create a universal benefit entitlement.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3" customHeight="1">
      <c r="A4" s="2" t="str">
        <v>Sources checked 3 October 2026. Recheck dated rules before changing the year or using the model operationally.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30" customHeight="1">
      <c r="A6" s="6" t="str">
        <v>Setting</v>
      </c>
      <c r="B6" s="6" t="str">
        <v>Applied value</v>
      </c>
      <c r="C6" s="6" t="str">
        <v>Reference limit</v>
      </c>
      <c r="D6" s="6" t="str">
        <v>Basis</v>
      </c>
      <c r="E6" s="6" t="str">
        <v>How to use / conditions</v>
      </c>
      <c r="F6" s="2"/>
      <c r="G6" s="6" t="str">
        <v>Source / evidence</v>
      </c>
      <c r="H6" s="2"/>
      <c r="I6" s="2"/>
      <c r="J6" s="2"/>
      <c r="K6" s="2"/>
      <c r="L6" s="2"/>
    </row>
    <row r="7" ht="42" customHeight="1">
      <c r="A7" s="2" t="str">
        <v>Planning year</v>
      </c>
      <c r="B7" s="8" t="n">
        <v>2026</v>
      </c>
      <c r="C7" s="2" t="n">
        <v>2026</v>
      </c>
      <c r="D7" s="2" t="str">
        <v>Model scope</v>
      </c>
      <c r="E7" s="15" t="str">
        <v>2026 only; home-office rates split Jan–Aug and Sep–Dec.</v>
      </c>
      <c r="F7" s="2"/>
      <c r="G7" s="15" t="str">
        <v>Company planning choice</v>
      </c>
      <c r="H7" s="2"/>
      <c r="I7" s="2"/>
      <c r="J7" s="2"/>
      <c r="K7" s="2"/>
      <c r="L7" s="2"/>
    </row>
    <row r="8" ht="42" customHeight="1">
      <c r="A8" s="2" t="str">
        <v>Joint committee / agreement</v>
      </c>
      <c r="B8" s="8" t="str">
        <v>Confirm before use</v>
      </c>
      <c r="C8" s="2"/>
      <c r="D8" s="2" t="str">
        <v>Company input</v>
      </c>
      <c r="E8" s="15" t="str">
        <v>Confirm applicable CBA, salary scales, indexation and benefits.</v>
      </c>
      <c r="F8" s="2"/>
      <c r="G8" s="15" t="str">
        <v>Company / sector agreement required</v>
      </c>
      <c r="H8" s="2"/>
      <c r="I8" s="2"/>
      <c r="J8" s="2"/>
      <c r="K8" s="2"/>
      <c r="L8" s="2"/>
    </row>
    <row r="9" ht="42" customHeight="1">
      <c r="A9" s="2" t="str">
        <v>Salary review effective month</v>
      </c>
      <c r="B9" s="8" t="n">
        <v>4</v>
      </c>
      <c r="C9" s="2"/>
      <c r="D9" s="2" t="str">
        <v>Company input</v>
      </c>
      <c r="E9" s="15" t="str">
        <v>1 = January; 12 = December. Only merit/policy change, not legal indexation.</v>
      </c>
      <c r="F9" s="2"/>
      <c r="G9" s="15" t="str">
        <v>Illustrative company choice</v>
      </c>
      <c r="H9" s="2"/>
      <c r="I9" s="2"/>
      <c r="J9" s="2"/>
      <c r="K9" s="2"/>
      <c r="L9" s="2"/>
    </row>
    <row r="10" ht="42" customHeight="1">
      <c r="A10" s="2" t="str">
        <v>Default salary increase</v>
      </c>
      <c r="B10" s="10" t="n">
        <v>0.03</v>
      </c>
      <c r="C10" s="2"/>
      <c r="D10" s="2" t="str">
        <v>Company input</v>
      </c>
      <c r="E10" s="15" t="str">
        <v>Blank employee override uses this rate; explicit 0% means no raise.</v>
      </c>
      <c r="F10" s="2"/>
      <c r="G10" s="15" t="str">
        <v>Illustrative company choice; not a wage-norm recommendation</v>
      </c>
      <c r="H10" s="2"/>
      <c r="I10" s="2"/>
      <c r="J10" s="2"/>
      <c r="K10" s="2"/>
      <c r="L10" s="2"/>
    </row>
    <row r="11" ht="42" customHeight="1">
      <c r="A11" s="2" t="str">
        <v>Employer ordinary contribution</v>
      </c>
      <c r="B11" s="10" t="n">
        <v>0.25</v>
      </c>
      <c r="C11" s="11" t="n">
        <v>0.25</v>
      </c>
      <c r="D11" s="2" t="str">
        <v>Reference rate</v>
      </c>
      <c r="E11" s="15" t="str">
        <v>Baseline private profit sector rate; replace with effective company rate.</v>
      </c>
      <c r="F11" s="2"/>
      <c r="G11" s="15" t="str">
        <v>https://www.socialsecurity.be/site_fr/employer/infos/employers_nsso/which-contributions.htm</v>
      </c>
      <c r="H11" s="2"/>
      <c r="I11" s="2"/>
      <c r="J11" s="2"/>
      <c r="K11" s="2"/>
      <c r="L11" s="2"/>
    </row>
    <row r="12" ht="42" customHeight="1">
      <c r="A12" s="2" t="str">
        <v>Additional employer load</v>
      </c>
      <c r="B12" s="10" t="n">
        <v>0</v>
      </c>
      <c r="C12" s="2"/>
      <c r="D12" s="2" t="str">
        <v>Company input</v>
      </c>
      <c r="E12" s="15" t="str">
        <v>Add sector charges / payroll costs as % of regular pay, premium and bonus.</v>
      </c>
      <c r="F12" s="2"/>
      <c r="G12" s="15" t="str">
        <v>Enter company-specific load; zero demo excludes extra charges</v>
      </c>
      <c r="H12" s="2"/>
      <c r="I12" s="2"/>
      <c r="J12" s="2"/>
      <c r="K12" s="2"/>
      <c r="L12" s="2"/>
    </row>
    <row r="13" ht="42" customHeight="1">
      <c r="A13" s="2" t="str">
        <v>Double holiday pay factor</v>
      </c>
      <c r="B13" s="10" t="n">
        <v>0.92</v>
      </c>
      <c r="C13" s="11" t="n">
        <v>0.92</v>
      </c>
      <c r="D13" s="2" t="str">
        <v>Legal formula</v>
      </c>
      <c r="E13" s="15" t="str">
        <v>Monthly holiday basis × FTE × factor × entitlement fraction.</v>
      </c>
      <c r="F13" s="2"/>
      <c r="G13" s="15" t="str">
        <v>https://www.socialsecurity.be/citizen/fr/conges-credit-temps-et-interruption-de-carriere/vacances-annuelles</v>
      </c>
      <c r="H13" s="2"/>
      <c r="I13" s="2"/>
      <c r="J13" s="2"/>
      <c r="K13" s="2"/>
      <c r="L13" s="2"/>
    </row>
    <row r="14" ht="42" customHeight="1">
      <c r="A14" s="2" t="str">
        <v>Meal voucher face value</v>
      </c>
      <c r="B14" s="12" t="n">
        <v>10</v>
      </c>
      <c r="C14" s="13" t="n">
        <v>10</v>
      </c>
      <c r="D14" s="2" t="str">
        <v>Policy / ceiling</v>
      </c>
      <c r="E14" s="15" t="str">
        <v>One voucher per qualifying worked day; no leave or non-worked days.</v>
      </c>
      <c r="F14" s="2"/>
      <c r="G14" s="15" t="str">
        <v>https://www.socialsecurity.be/employer/instructions/dmfa/fr/latest/instructions/salary/particularcases/lunchcheques/salaryfeatures.html</v>
      </c>
      <c r="H14" s="2"/>
      <c r="I14" s="2"/>
      <c r="J14" s="2"/>
      <c r="K14" s="2"/>
      <c r="L14" s="2"/>
    </row>
    <row r="15" ht="42" customHeight="1">
      <c r="A15" s="2" t="str">
        <v>Meal employee contribution</v>
      </c>
      <c r="B15" s="12" t="n">
        <v>1.09</v>
      </c>
      <c r="C15" s="13" t="n">
        <v>1.09</v>
      </c>
      <c r="D15" s="2" t="str">
        <v>Minimum</v>
      </c>
      <c r="E15" s="15" t="str">
        <v>Worker contribution is deducted separately; excluded from employer cost.</v>
      </c>
      <c r="F15" s="2"/>
      <c r="G15" s="15" t="str">
        <v>https://www.socialsecurity.be/employer/instructions/dmfa/fr/latest/instructions/salary/particularcases/lunchcheques/salaryfeatures.html</v>
      </c>
      <c r="H15" s="2"/>
      <c r="I15" s="2"/>
      <c r="J15" s="2"/>
      <c r="K15" s="2"/>
      <c r="L15" s="2"/>
    </row>
    <row r="16" ht="42" customHeight="1">
      <c r="A16" s="2" t="str">
        <v>Meal employer contribution</v>
      </c>
      <c r="B16" s="14" t="n">
        <f>B14-B15</f>
        <v>8.91</v>
      </c>
      <c r="C16" s="13" t="n">
        <v>8.91</v>
      </c>
      <c r="D16" s="2" t="str">
        <v>Maximum</v>
      </c>
      <c r="E16" s="15" t="str">
        <v>Applied = face value less employee contribution. Confirm signed agreement.</v>
      </c>
      <c r="F16" s="2"/>
      <c r="G16" s="15" t="str">
        <v>https://www.socialsecurity.be/employer/instructions/dmfa/fr/latest/instructions/salary/particularcases/lunchcheques/salaryfeatures.html</v>
      </c>
      <c r="H16" s="2"/>
      <c r="I16" s="2"/>
      <c r="J16" s="2"/>
      <c r="K16" s="2"/>
      <c r="L16" s="2"/>
    </row>
    <row r="17" ht="42" customHeight="1">
      <c r="A17" s="2" t="str">
        <v>Eco voucher annual ceiling</v>
      </c>
      <c r="B17" s="12" t="n">
        <v>250</v>
      </c>
      <c r="C17" s="13" t="n">
        <v>250</v>
      </c>
      <c r="D17" s="2" t="str">
        <v>Maximum</v>
      </c>
      <c r="E17" s="15" t="str">
        <v>Enter actual annual grant in Employees N. CBA controls entitlement.</v>
      </c>
      <c r="F17" s="2"/>
      <c r="G17" s="15" t="str">
        <v>https://www.socialsecurity.be/employer/instructions/dmfa/fr/latest/instructions/salary/particularcases/ecocheques.html</v>
      </c>
      <c r="H17" s="2"/>
      <c r="I17" s="2"/>
      <c r="J17" s="2"/>
      <c r="K17" s="2"/>
      <c r="L17" s="2"/>
    </row>
    <row r="18" ht="42" customHeight="1">
      <c r="A18" s="2" t="str">
        <v>Bicycle allowance / km</v>
      </c>
      <c r="B18" s="12" t="n">
        <v>0.37</v>
      </c>
      <c r="C18" s="13" t="n">
        <v>0.37</v>
      </c>
      <c r="D18" s="2" t="str">
        <v>Policy / ceiling</v>
      </c>
      <c r="E18" s="15" t="str">
        <v>Actual commute km; company/CBA may prescribe a different rate.</v>
      </c>
      <c r="F18" s="2"/>
      <c r="G18" s="15" t="str">
        <v>https://www.socialsecurity.be/employer/instructions/dmfa/fr/latest/instructions/salary/particularcases/expensesreimbursement.html</v>
      </c>
      <c r="H18" s="2"/>
      <c r="I18" s="2"/>
      <c r="J18" s="2"/>
      <c r="K18" s="2"/>
      <c r="L18" s="2"/>
    </row>
    <row r="19" ht="42" customHeight="1">
      <c r="A19" s="2" t="str">
        <v>Bicycle annual exemption ceiling</v>
      </c>
      <c r="B19" s="12" t="n">
        <v>3700</v>
      </c>
      <c r="C19" s="13" t="n">
        <v>3700</v>
      </c>
      <c r="D19" s="2" t="str">
        <v>Maximum</v>
      </c>
      <c r="E19" s="15" t="str">
        <v>Amount above ceiling is flagged; reimbursement is not silently capped.</v>
      </c>
      <c r="F19" s="2"/>
      <c r="G19" s="15" t="str">
        <v>https://www.socialsecurity.be/employer/instructions/dmfa/fr/latest/instructions/salary/particularcases/expensesreimbursement.html</v>
      </c>
      <c r="H19" s="2"/>
      <c r="I19" s="2"/>
      <c r="J19" s="2"/>
      <c r="K19" s="2"/>
      <c r="L19" s="2"/>
    </row>
    <row r="20" ht="42" customHeight="1">
      <c r="A20" s="2" t="str">
        <v>Home office / month Jan–Aug</v>
      </c>
      <c r="B20" s="12" t="n">
        <v>160.99</v>
      </c>
      <c r="C20" s="13" t="n">
        <v>160.99</v>
      </c>
      <c r="D20" s="2" t="str">
        <v>Maximum</v>
      </c>
      <c r="E20" s="15" t="str">
        <v>Regular structural homeworking; documented eligibility.</v>
      </c>
      <c r="F20" s="2"/>
      <c r="G20" s="15" t="str">
        <v>https://www.socialsecurity.be/employer/instructions/dmfa/fr/latest/instructions/salary/particularcases/expensesreimbursement.html</v>
      </c>
      <c r="H20" s="2"/>
      <c r="I20" s="2"/>
      <c r="J20" s="2"/>
      <c r="K20" s="2"/>
      <c r="L20" s="2"/>
    </row>
    <row r="21" ht="42" customHeight="1">
      <c r="A21" s="2" t="str">
        <v>Home office / month Sep–Dec</v>
      </c>
      <c r="B21" s="12" t="n">
        <v>164.21</v>
      </c>
      <c r="C21" s="13" t="n">
        <v>164.21</v>
      </c>
      <c r="D21" s="2" t="str">
        <v>Maximum</v>
      </c>
      <c r="E21" s="15" t="str">
        <v>New ceiling from 1 September 2026; no automatic FTE reduction.</v>
      </c>
      <c r="F21" s="2"/>
      <c r="G21" s="15" t="str">
        <v>https://www.socialsecurity.be/employer/instructions/dmfa/fr/latest/instructions/salary/particularcases/expensesreimbursement.html</v>
      </c>
      <c r="H21" s="2"/>
      <c r="I21" s="2"/>
      <c r="J21" s="2"/>
      <c r="K21" s="2"/>
      <c r="L21" s="2"/>
    </row>
    <row r="22" ht="42" customHeight="1">
      <c r="A22" s="2" t="str">
        <v>Private internet / month</v>
      </c>
      <c r="B22" s="12" t="n">
        <v>20</v>
      </c>
      <c r="C22" s="13" t="n">
        <v>20</v>
      </c>
      <c r="D22" s="2" t="str">
        <v>Maximum</v>
      </c>
      <c r="E22" s="15" t="str">
        <v>Professional use of own internet; avoid duplicate reimbursement.</v>
      </c>
      <c r="F22" s="2"/>
      <c r="G22" s="15" t="str">
        <v>https://www.socialsecurity.be/employer/instructions/dmfa/fr/latest/instructions/salary/particularcases/expensesreimbursement.html</v>
      </c>
      <c r="H22" s="2"/>
      <c r="I22" s="2"/>
      <c r="J22" s="2"/>
      <c r="K22" s="2"/>
      <c r="L22" s="2"/>
    </row>
    <row r="23" ht="42" customHeight="1">
      <c r="A23" s="2" t="str">
        <v>Private computer / month</v>
      </c>
      <c r="B23" s="12" t="n">
        <v>20</v>
      </c>
      <c r="C23" s="13" t="n">
        <v>20</v>
      </c>
      <c r="D23" s="2" t="str">
        <v>Maximum</v>
      </c>
      <c r="E23" s="15" t="str">
        <v>Own PC used professionally; not an employer-provided PC.</v>
      </c>
      <c r="F23" s="2"/>
      <c r="G23" s="15" t="str">
        <v>https://www.socialsecurity.be/employer/instructions/dmfa/fr/latest/instructions/salary/particularcases/expensesreimbursement.html</v>
      </c>
      <c r="H23" s="2"/>
      <c r="I23" s="2"/>
      <c r="J23" s="2"/>
      <c r="K23" s="2"/>
      <c r="L23" s="2"/>
    </row>
    <row r="24" ht="42" customHeight="1">
      <c r="A24" s="2" t="str">
        <v>Year-end gift / employee</v>
      </c>
      <c r="B24" s="12" t="n">
        <v>40</v>
      </c>
      <c r="C24" s="13" t="n">
        <v>40</v>
      </c>
      <c r="D24" s="2" t="str">
        <v>Maximum</v>
      </c>
      <c r="E24" s="15" t="str">
        <v>Combined Saint-Nicolas / Christmas / New Year; no child supplement.</v>
      </c>
      <c r="F24" s="2"/>
      <c r="G24" s="15" t="str">
        <v>https://www.socialsecurity.be/employer/instructions/dmfa/fr/latest/instructions/salary/particularcases/giftcheques.html</v>
      </c>
      <c r="H24" s="2"/>
      <c r="I24" s="2"/>
      <c r="J24" s="2"/>
      <c r="K24" s="2"/>
      <c r="L24" s="2"/>
    </row>
    <row r="25" ht="23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23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25" customHeight="1">
      <c r="A27" s="6" t="str">
        <v>Salary bands | full-time monthly gross · illustrative company structure</v>
      </c>
      <c r="B27" s="6"/>
      <c r="C27" s="6"/>
      <c r="D27" s="6"/>
      <c r="E27" s="6"/>
      <c r="F27" s="2"/>
      <c r="G27" s="2"/>
      <c r="H27" s="2"/>
      <c r="I27" s="2"/>
      <c r="J27" s="2"/>
      <c r="K27" s="2"/>
      <c r="L27" s="2"/>
    </row>
    <row r="28" ht="23" customHeight="1">
      <c r="A28" s="2" t="str">
        <v>Grade</v>
      </c>
      <c r="B28" s="2" t="str">
        <v>Minimum EUR</v>
      </c>
      <c r="C28" s="2" t="str">
        <v>Midpoint EUR</v>
      </c>
      <c r="D28" s="2" t="str">
        <v>Maximum EUR</v>
      </c>
      <c r="E28" s="2" t="str">
        <v>Role level</v>
      </c>
      <c r="F28" s="2"/>
      <c r="G28" s="2"/>
      <c r="H28" s="2"/>
      <c r="I28" s="2"/>
      <c r="J28" s="2"/>
      <c r="K28" s="2"/>
      <c r="L28" s="2"/>
    </row>
    <row r="29" ht="23" customHeight="1">
      <c r="A29" s="2" t="str">
        <v>G1</v>
      </c>
      <c r="B29" s="16" t="n">
        <v>2300</v>
      </c>
      <c r="C29" s="16" t="n">
        <v>2700</v>
      </c>
      <c r="D29" s="16" t="n">
        <v>3100</v>
      </c>
      <c r="E29" s="2" t="str">
        <v>Administration</v>
      </c>
      <c r="F29" s="2"/>
      <c r="G29" s="2"/>
      <c r="H29" s="2"/>
      <c r="I29" s="2"/>
      <c r="J29" s="2"/>
      <c r="K29" s="2"/>
      <c r="L29" s="2"/>
    </row>
    <row r="30" ht="23" customHeight="1">
      <c r="A30" s="2" t="str">
        <v>G2</v>
      </c>
      <c r="B30" s="16" t="n">
        <v>2800</v>
      </c>
      <c r="C30" s="16" t="n">
        <v>3300</v>
      </c>
      <c r="D30" s="16" t="n">
        <v>3800</v>
      </c>
      <c r="E30" s="2" t="str">
        <v>Specialist</v>
      </c>
      <c r="F30" s="2"/>
      <c r="G30" s="2"/>
      <c r="H30" s="2"/>
      <c r="I30" s="2"/>
      <c r="J30" s="2"/>
      <c r="K30" s="2"/>
      <c r="L30" s="2"/>
    </row>
    <row r="31" ht="23" customHeight="1">
      <c r="A31" s="2" t="str">
        <v>G3</v>
      </c>
      <c r="B31" s="16" t="n">
        <v>3500</v>
      </c>
      <c r="C31" s="16" t="n">
        <v>4200</v>
      </c>
      <c r="D31" s="16" t="n">
        <v>4900</v>
      </c>
      <c r="E31" s="2" t="str">
        <v>Senior specialist</v>
      </c>
      <c r="F31" s="2"/>
      <c r="G31" s="2"/>
      <c r="H31" s="2"/>
      <c r="I31" s="2"/>
      <c r="J31" s="2"/>
      <c r="K31" s="2"/>
      <c r="L31" s="2"/>
    </row>
    <row r="32" ht="23" customHeight="1">
      <c r="A32" s="2" t="str">
        <v>G4</v>
      </c>
      <c r="B32" s="16" t="n">
        <v>4500</v>
      </c>
      <c r="C32" s="16" t="n">
        <v>5400</v>
      </c>
      <c r="D32" s="16" t="n">
        <v>6300</v>
      </c>
      <c r="E32" s="2" t="str">
        <v>Manager</v>
      </c>
      <c r="F32" s="2"/>
      <c r="G32" s="2"/>
      <c r="H32" s="2"/>
      <c r="I32" s="2"/>
      <c r="J32" s="2"/>
      <c r="K32" s="2"/>
      <c r="L32" s="2"/>
    </row>
    <row r="33" ht="23" customHeight="1">
      <c r="A33" s="2" t="str">
        <v>G5</v>
      </c>
      <c r="B33" s="16" t="n">
        <v>6000</v>
      </c>
      <c r="C33" s="16" t="n">
        <v>7500</v>
      </c>
      <c r="D33" s="16" t="n">
        <v>9000</v>
      </c>
      <c r="E33" s="2" t="str">
        <v>Head of function</v>
      </c>
      <c r="F33" s="2"/>
      <c r="G33" s="2"/>
      <c r="H33" s="2"/>
      <c r="I33" s="2"/>
      <c r="J33" s="2"/>
      <c r="K33" s="2"/>
      <c r="L33" s="2"/>
    </row>
    <row r="34" ht="2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23" customHeight="1">
      <c r="A35" s="2" t="str">
        <v>Bands, salaries, budgets and bonus targets are synthetic examples, not Belgian market benchmarks or statutory minima.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2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25" customHeight="1">
      <c r="A37" s="6" t="str">
        <v>Employee inputs | replace blue cells; keep calculated columns Z:AT</v>
      </c>
      <c r="B37" s="6"/>
      <c r="C37" s="6"/>
      <c r="D37" s="6"/>
      <c r="E37" s="6"/>
      <c r="F37" s="2"/>
      <c r="G37" s="2"/>
      <c r="H37" s="2"/>
      <c r="I37" s="2"/>
      <c r="J37" s="2"/>
      <c r="K37" s="2"/>
      <c r="L37" s="2"/>
    </row>
    <row r="38" ht="2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38" customHeight="1">
      <c r="A39" s="15" t="str">
        <v>A:E | Identity &amp; organisation</v>
      </c>
      <c r="B39" s="15" t="str">
        <v>Use unique anonymized IDs. Replace the department list below and the sample role/grade structure.</v>
      </c>
      <c r="C39" s="15"/>
      <c r="D39" s="15"/>
      <c r="E39" s="15"/>
      <c r="F39" s="2"/>
      <c r="G39" s="2"/>
      <c r="H39" s="2"/>
      <c r="I39" s="2"/>
      <c r="J39" s="2"/>
      <c r="K39" s="2"/>
      <c r="L39" s="2"/>
    </row>
    <row r="40" ht="38" customHeight="1">
      <c r="A40" s="15" t="str">
        <v>F:G | FTE &amp; monthly salary</v>
      </c>
      <c r="B40" s="15" t="str">
        <v>FTE 0–1. G is the full-time equivalent monthly gross salary; formulas multiply by FTE once.</v>
      </c>
      <c r="C40" s="15"/>
      <c r="D40" s="15"/>
      <c r="E40" s="15"/>
      <c r="F40" s="2"/>
      <c r="G40" s="2"/>
      <c r="H40" s="2"/>
      <c r="I40" s="2"/>
      <c r="J40" s="2"/>
      <c r="K40" s="2"/>
      <c r="L40" s="2"/>
    </row>
    <row r="41" ht="38" customHeight="1">
      <c r="A41" s="15" t="str">
        <v>H:I | Bonus target &amp; payout</v>
      </c>
      <c r="B41" s="15" t="str">
        <v>Target is % of 12-month regular pay; payout 1 = 100%. Standard cash bonus, not a CBA 90 bonus.</v>
      </c>
      <c r="C41" s="15"/>
      <c r="D41" s="15"/>
      <c r="E41" s="15"/>
      <c r="F41" s="2"/>
      <c r="G41" s="2"/>
      <c r="H41" s="2"/>
      <c r="I41" s="2"/>
      <c r="J41" s="2"/>
      <c r="K41" s="2"/>
      <c r="L41" s="2"/>
    </row>
    <row r="42" ht="38" customHeight="1">
      <c r="A42" s="15" t="str">
        <v>J | Year-end premium months</v>
      </c>
      <c r="B42" s="15" t="str">
        <v>Actual eligibility/policy: 0 = none, 1 = one month. Demo uses 1; entitlement is not universal.</v>
      </c>
      <c r="C42" s="15"/>
      <c r="D42" s="15"/>
      <c r="E42" s="15"/>
      <c r="F42" s="2"/>
      <c r="G42" s="2"/>
      <c r="H42" s="2"/>
      <c r="I42" s="2"/>
      <c r="J42" s="2"/>
      <c r="K42" s="2"/>
      <c r="L42" s="2"/>
    </row>
    <row r="43" ht="38" customHeight="1">
      <c r="A43" s="15" t="str">
        <v>K:L | Double holiday pay</v>
      </c>
      <c r="B43" s="15" t="str">
        <v>K = prior-year entitlement fraction 0–1. L = full-time monthly pay at holiday payment; confirm variable pay.</v>
      </c>
      <c r="C43" s="15"/>
      <c r="D43" s="15"/>
      <c r="E43" s="15"/>
      <c r="F43" s="2"/>
      <c r="G43" s="2"/>
      <c r="H43" s="2"/>
      <c r="I43" s="2"/>
      <c r="J43" s="2"/>
      <c r="K43" s="2"/>
      <c r="L43" s="2"/>
    </row>
    <row r="44" ht="38" customHeight="1">
      <c r="A44" s="15" t="str">
        <v>M:N | Meal days &amp; eco grant</v>
      </c>
      <c r="B44" s="15" t="str">
        <v>M = actual qualifying worked days, including qualifying remote days. N = actual granted eco voucher EUR.</v>
      </c>
      <c r="C44" s="15"/>
      <c r="D44" s="15"/>
      <c r="E44" s="15"/>
      <c r="F44" s="2"/>
      <c r="G44" s="2"/>
      <c r="H44" s="2"/>
      <c r="I44" s="2"/>
      <c r="J44" s="2"/>
      <c r="K44" s="2"/>
      <c r="L44" s="2"/>
    </row>
    <row r="45" ht="38" customHeight="1">
      <c r="A45" s="15" t="str">
        <v>O | Bicycle commute km</v>
      </c>
      <c r="B45" s="15" t="str">
        <v>Annual actual round-trip km; do not include car travel or assume the exemption ceiling is compulsory pay.</v>
      </c>
      <c r="C45" s="15"/>
      <c r="D45" s="15"/>
      <c r="E45" s="15"/>
      <c r="F45" s="2"/>
      <c r="G45" s="2"/>
      <c r="H45" s="2"/>
      <c r="I45" s="2"/>
      <c r="J45" s="2"/>
      <c r="K45" s="2"/>
      <c r="L45" s="2"/>
    </row>
    <row r="46" ht="38" customHeight="1">
      <c r="A46" s="15" t="str">
        <v>P:Q | Home-office months</v>
      </c>
      <c r="B46" s="15" t="str">
        <v>P covers Jan–Aug (0–8), Q Sep–Dec (0–4). Use only months meeting reimbursement conditions.</v>
      </c>
      <c r="C46" s="15"/>
      <c r="D46" s="15"/>
      <c r="E46" s="15"/>
      <c r="F46" s="2"/>
      <c r="G46" s="2"/>
      <c r="H46" s="2"/>
      <c r="I46" s="2"/>
      <c r="J46" s="2"/>
      <c r="K46" s="2"/>
      <c r="L46" s="2"/>
    </row>
    <row r="47" ht="38" customHeight="1">
      <c r="A47" s="15" t="str">
        <v>R:S | Internet &amp; private PC months</v>
      </c>
      <c r="B47" s="15" t="str">
        <v>0–12 eligible months each; enter 0 where the employer already supplies/pays the same equipment/service.</v>
      </c>
      <c r="C47" s="15"/>
      <c r="D47" s="15"/>
      <c r="E47" s="15"/>
      <c r="F47" s="2"/>
      <c r="G47" s="2"/>
      <c r="H47" s="2"/>
      <c r="I47" s="2"/>
      <c r="J47" s="2"/>
      <c r="K47" s="2"/>
      <c r="L47" s="2"/>
    </row>
    <row r="48" ht="38" customHeight="1">
      <c r="A48" s="15" t="str">
        <v>T:U | Gift &amp; other benefits</v>
      </c>
      <c r="B48" s="15" t="str">
        <v>T = 0/1 gift granted. U = annual all-in employer invoice cost for insurance, pension, car or other benefits.</v>
      </c>
      <c r="C48" s="15"/>
      <c r="D48" s="15"/>
      <c r="E48" s="15"/>
      <c r="F48" s="2"/>
      <c r="G48" s="2"/>
      <c r="H48" s="2"/>
      <c r="I48" s="2"/>
      <c r="J48" s="2"/>
      <c r="K48" s="2"/>
      <c r="L48" s="2"/>
    </row>
    <row r="49" ht="38" customHeight="1">
      <c r="A49" s="15" t="str">
        <v>V:W | Absence &amp; scheduled days</v>
      </c>
      <c r="B49" s="15" t="str">
        <v>V = sickness absence days; W = planned working days before absence. Same period and day convention.</v>
      </c>
      <c r="C49" s="15"/>
      <c r="D49" s="15"/>
      <c r="E49" s="15"/>
      <c r="F49" s="2"/>
      <c r="G49" s="2"/>
      <c r="H49" s="2"/>
      <c r="I49" s="2"/>
      <c r="J49" s="2"/>
      <c r="K49" s="2"/>
      <c r="L49" s="2"/>
    </row>
    <row r="50" ht="38" customHeight="1">
      <c r="A50" s="15" t="str">
        <v>X:Y | Budget &amp; raise override</v>
      </c>
      <c r="B50" s="15" t="str">
        <v>X is annual employer budget on the same scope. Leave Y blank for default raise; enter 0 for no raise.</v>
      </c>
      <c r="C50" s="15"/>
      <c r="D50" s="15"/>
      <c r="E50" s="15"/>
      <c r="F50" s="2"/>
      <c r="G50" s="2"/>
      <c r="H50" s="2"/>
      <c r="I50" s="2"/>
      <c r="J50" s="2"/>
      <c r="K50" s="2"/>
      <c r="L50" s="2"/>
    </row>
    <row r="51" ht="38" customHeight="1">
      <c r="A51" s="15" t="str">
        <v>Z:AC | Pay review</v>
      </c>
      <c r="B51" s="15" t="str">
        <v>Midpoint lookup, current compa-ratio, applied raise and revised full-time monthly pay.</v>
      </c>
      <c r="C51" s="15"/>
      <c r="D51" s="15"/>
      <c r="E51" s="15"/>
      <c r="F51" s="2"/>
      <c r="G51" s="2"/>
      <c r="H51" s="2"/>
      <c r="I51" s="2"/>
      <c r="J51" s="2"/>
      <c r="K51" s="2"/>
      <c r="L51" s="2"/>
    </row>
    <row r="52" ht="38" customHeight="1">
      <c r="A52" s="15" t="str">
        <v>AD:AH | Pay &amp; employer load</v>
      </c>
      <c r="B52" s="15" t="str">
        <v>12-month pay, premium, holiday pay, bonus and employer load. Statutory double holiday pay excluded from load.</v>
      </c>
      <c r="C52" s="15"/>
      <c r="D52" s="15"/>
      <c r="E52" s="15"/>
      <c r="F52" s="2"/>
      <c r="G52" s="2"/>
      <c r="H52" s="2"/>
      <c r="I52" s="2"/>
      <c r="J52" s="2"/>
      <c r="K52" s="2"/>
      <c r="L52" s="2"/>
    </row>
    <row r="53" ht="38" customHeight="1">
      <c r="A53" s="15" t="str">
        <v>AI:AN | Benefits</v>
      </c>
      <c r="B53" s="15" t="str">
        <v>Employer meals, employee meals, bicycle, remote costs, gift and total employer benefits.</v>
      </c>
      <c r="C53" s="15"/>
      <c r="D53" s="15"/>
      <c r="E53" s="15"/>
      <c r="F53" s="2"/>
      <c r="G53" s="2"/>
      <c r="H53" s="2"/>
      <c r="I53" s="2"/>
      <c r="J53" s="2"/>
      <c r="K53" s="2"/>
      <c r="L53" s="2"/>
    </row>
    <row r="54" ht="38" customHeight="1">
      <c r="A54" s="15" t="str">
        <v>AO:AR | Budget calculation</v>
      </c>
      <c r="B54" s="15" t="str">
        <v>Baseline + salary review incremental cost = review-year cost; variance = review-year cost less budget.</v>
      </c>
      <c r="C54" s="15"/>
      <c r="D54" s="15"/>
      <c r="E54" s="15"/>
      <c r="F54" s="2"/>
      <c r="G54" s="2"/>
      <c r="H54" s="2"/>
      <c r="I54" s="2"/>
      <c r="J54" s="2"/>
      <c r="K54" s="2"/>
      <c r="L54" s="2"/>
    </row>
    <row r="55" ht="38" customHeight="1">
      <c r="A55" s="15" t="str">
        <v>AS:AT | Absence &amp; checks</v>
      </c>
      <c r="B55" s="15" t="str">
        <v>Weighted absence uses summed days. Filter checks to find missing inputs, duplicate IDs and ceiling issues.</v>
      </c>
      <c r="C55" s="15"/>
      <c r="D55" s="15"/>
      <c r="E55" s="15"/>
      <c r="F55" s="2"/>
      <c r="G55" s="2"/>
      <c r="H55" s="2"/>
      <c r="I55" s="2"/>
      <c r="J55" s="2"/>
      <c r="K55" s="2"/>
      <c r="L55" s="2"/>
    </row>
    <row r="56" ht="2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2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25" customHeight="1">
      <c r="A58" s="6" t="str">
        <v>Department labels | edit these six labels to update the overview</v>
      </c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</row>
    <row r="59" ht="23" customHeight="1">
      <c r="A59" s="8" t="str">
        <v>Finance</v>
      </c>
      <c r="B59" s="15" t="str">
        <v>Keep department labels unique. Employee department dropdown uses this list.</v>
      </c>
      <c r="C59" s="15"/>
      <c r="D59" s="15"/>
      <c r="E59" s="15"/>
      <c r="F59" s="2"/>
      <c r="G59" s="2"/>
      <c r="H59" s="2"/>
      <c r="I59" s="2"/>
      <c r="J59" s="2"/>
      <c r="K59" s="2"/>
      <c r="L59" s="2"/>
    </row>
    <row r="60" ht="23" customHeight="1">
      <c r="A60" s="8" t="str">
        <v>People &amp; Culture</v>
      </c>
      <c r="B60" s="15"/>
      <c r="C60" s="15"/>
      <c r="D60" s="15"/>
      <c r="E60" s="15"/>
      <c r="F60" s="2"/>
      <c r="G60" s="2"/>
      <c r="H60" s="2"/>
      <c r="I60" s="2"/>
      <c r="J60" s="2"/>
      <c r="K60" s="2"/>
      <c r="L60" s="2"/>
    </row>
    <row r="61" ht="23" customHeight="1">
      <c r="A61" s="8" t="str">
        <v>Technology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23" customHeight="1">
      <c r="A62" s="8" t="str">
        <v>Sales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23" customHeight="1">
      <c r="A63" s="8" t="str">
        <v>Customer Operations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23" customHeight="1">
      <c r="A64" s="8" t="str">
        <v>Business Support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2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2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25" customHeight="1">
      <c r="A67" s="6" t="str">
        <v>Model boundaries</v>
      </c>
      <c r="B67" s="6"/>
      <c r="C67" s="6"/>
      <c r="D67" s="6"/>
      <c r="E67" s="6"/>
      <c r="F67" s="2"/>
      <c r="G67" s="2"/>
      <c r="H67" s="2"/>
      <c r="I67" s="2"/>
      <c r="J67" s="2"/>
      <c r="K67" s="2"/>
      <c r="L67" s="2"/>
    </row>
    <row r="68" ht="2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37" customHeight="1">
      <c r="A69" s="15" t="str">
        <v>Annual budget model for existing employees with unchanged FTE over 12 months. Midyear hires/exits and severance need a separate payroll calculation.</v>
      </c>
      <c r="B69" s="15"/>
      <c r="C69" s="15"/>
      <c r="D69" s="15"/>
      <c r="E69" s="15"/>
      <c r="F69" s="15"/>
      <c r="G69" s="15"/>
      <c r="H69" s="2"/>
      <c r="I69" s="2"/>
      <c r="J69" s="2"/>
      <c r="K69" s="2"/>
      <c r="L69" s="2"/>
    </row>
    <row r="70" ht="37" customHeight="1">
      <c r="A70" s="15" t="str">
        <v>Ordinary employer contribution is an estimate: reductions, high-pay exemptions and company-specific charges are not calculated automatically.</v>
      </c>
      <c r="B70" s="15"/>
      <c r="C70" s="15"/>
      <c r="D70" s="15"/>
      <c r="E70" s="15"/>
      <c r="F70" s="15"/>
      <c r="G70" s="15"/>
      <c r="H70" s="2"/>
      <c r="I70" s="2"/>
      <c r="J70" s="2"/>
      <c r="K70" s="2"/>
      <c r="L70" s="2"/>
    </row>
    <row r="71" ht="37" customHeight="1">
      <c r="A71" s="15" t="str">
        <v>Double holiday pay is based on L and K in both baseline and review-year cost. Update L for pay at payment date; departures/variable pay need payroll review.</v>
      </c>
      <c r="B71" s="15"/>
      <c r="C71" s="15"/>
      <c r="D71" s="15"/>
      <c r="E71" s="15"/>
      <c r="F71" s="15"/>
      <c r="G71" s="15"/>
      <c r="H71" s="2"/>
      <c r="I71" s="2"/>
      <c r="J71" s="2"/>
      <c r="K71" s="2"/>
      <c r="L71" s="2"/>
    </row>
    <row r="72" ht="37" customHeight="1">
      <c r="A72" s="15" t="str">
        <v>Review-year uplift includes regular pay from the review month, year-end premium at revised pay, and bonus on earned regular pay. Benefits remain based on entered quantities.</v>
      </c>
      <c r="B72" s="15"/>
      <c r="C72" s="15"/>
      <c r="D72" s="15"/>
      <c r="E72" s="15"/>
      <c r="F72" s="15"/>
      <c r="G72" s="15"/>
      <c r="H72" s="2"/>
      <c r="I72" s="2"/>
      <c r="J72" s="2"/>
      <c r="K72" s="2"/>
      <c r="L72" s="2"/>
    </row>
    <row r="73" ht="37" customHeight="1">
      <c r="A73" s="15" t="str">
        <v>U must contain all-in employer cost, including relevant taxes, social contributions and fees. Insurance, pension and car prices have no universal Belgian rate.</v>
      </c>
      <c r="B73" s="15"/>
      <c r="C73" s="15"/>
      <c r="D73" s="15"/>
      <c r="E73" s="15"/>
      <c r="F73" s="15"/>
      <c r="G73" s="15"/>
      <c r="H73" s="2"/>
      <c r="I73" s="2"/>
      <c r="J73" s="2"/>
      <c r="K73" s="2"/>
      <c r="L73" s="2"/>
    </row>
    <row r="74" ht="37" customHeight="1">
      <c r="A74" s="15" t="str">
        <v>No employee net salary, income-tax calculation, car taxable benefit or pension actuarial valuation. Cost estimates are not payslips.</v>
      </c>
      <c r="B74" s="15"/>
      <c r="C74" s="15"/>
      <c r="D74" s="15"/>
      <c r="E74" s="15"/>
      <c r="F74" s="15"/>
      <c r="G74" s="15"/>
      <c r="H74" s="2"/>
      <c r="I74" s="2"/>
      <c r="J74" s="2"/>
      <c r="K74" s="2"/>
      <c r="L74" s="2"/>
    </row>
    <row r="75" ht="37" customHeight="1">
      <c r="A75" s="15" t="str">
        <v>Benefit exemption requires all applicable conditions; checks test quantities and ceilings only. Joint committee and company policy determine entitlement.</v>
      </c>
      <c r="B75" s="15"/>
      <c r="C75" s="15"/>
      <c r="D75" s="15"/>
      <c r="E75" s="15"/>
      <c r="F75" s="15"/>
      <c r="G75" s="15"/>
      <c r="H75" s="2"/>
      <c r="I75" s="2"/>
      <c r="J75" s="2"/>
      <c r="K75" s="2"/>
      <c r="L75" s="2"/>
    </row>
    <row r="76" ht="37" customHeight="1">
      <c r="A76" s="15" t="str">
        <v>Meal/eco issuer fees are excluded unless entered in U. Absence is reported, not deducted again from annual salary or meal days.</v>
      </c>
      <c r="B76" s="15"/>
      <c r="C76" s="15"/>
      <c r="D76" s="15"/>
      <c r="E76" s="15"/>
      <c r="F76" s="15"/>
      <c r="G76" s="15"/>
      <c r="H76" s="2"/>
      <c r="I76" s="2"/>
      <c r="J76" s="2"/>
      <c r="K76" s="2"/>
      <c r="L76" s="2"/>
    </row>
    <row r="77" ht="2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2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2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2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2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2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2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2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2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2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2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2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2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2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2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2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2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2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2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2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2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2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2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2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</sheetData>
  <mergeCells>
    <mergeCell ref="A2:G2"/>
    <mergeCell ref="A3:G3"/>
    <mergeCell ref="A4:G4"/>
    <mergeCell ref="A27:E27"/>
    <mergeCell ref="A35:G35"/>
    <mergeCell ref="A37:E37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A58:E58"/>
    <mergeCell ref="B59:E60"/>
    <mergeCell ref="A67:E67"/>
    <mergeCell ref="A69:G69"/>
    <mergeCell ref="A70:G70"/>
    <mergeCell ref="A71:G71"/>
    <mergeCell ref="A72:G72"/>
    <mergeCell ref="A73:G73"/>
    <mergeCell ref="A74:G74"/>
    <mergeCell ref="A75:G75"/>
    <mergeCell ref="A76:G76"/>
  </mergeCells>
  <dataValidations count="2">
    <dataValidation type="whole" operator="between" sqref="B9">
      <formula1>1</formula1>
      <formula2>12</formula2>
    </dataValidation>
    <dataValidation type="decimal" operator="between" sqref="B10:B12">
      <formula1>0</formula1>
      <formula2>1</formula2>
    </dataValidation>
  </dataValidations>
  <hyperlinks>
    <hyperlink ref="G11" r:id="rIdSource1"/>
    <hyperlink ref="G13" r:id="rIdSource2"/>
    <hyperlink ref="G14" r:id="rIdSource3"/>
    <hyperlink ref="G15" r:id="rIdSource4"/>
    <hyperlink ref="G16" r:id="rIdSource5"/>
    <hyperlink ref="G17" r:id="rIdSource6"/>
    <hyperlink ref="G18" r:id="rIdSource7"/>
    <hyperlink ref="G19" r:id="rIdSource8"/>
    <hyperlink ref="G20" r:id="rIdSource9"/>
    <hyperlink ref="G21" r:id="rIdSource10"/>
    <hyperlink ref="G22" r:id="rIdSource11"/>
    <hyperlink ref="G23" r:id="rIdSource12"/>
    <hyperlink ref="G24" r:id="rIdSource13"/>
  </hyperlinks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Pr>
    <x:tabColor rgb="FF24715D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24" hidden="0" customWidth="1"/>
    <x:col min="5" max="5" width="9" hidden="0" customWidth="1"/>
    <x:col min="6" max="6" width="9" hidden="0" customWidth="1"/>
    <x:col min="7" max="7" width="21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2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</x:row>
    <x:row r="2" ht="35" customHeight="1">
      <x:c r="A2" s="4" t="str">
        <x:v>Employees | annual compensation &amp; benefits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</x:row>
    <x:row r="3" ht="23" customHeight="1">
      <x:c r="A3" s="2" t="str">
        <x:v>Edit blue A:Y inputs only. Black/green Z:AT cells calculate automatically. Scroll right for benefits, totals and checks.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</x:row>
    <x:row r="4" ht="23" customHeight="1">
      <x:c r="A4" s="2" t="str">
        <x:v>Replace or clear demo A9:Y258. Use prepared rows through 508; enter numeric 0 where a benefit is not granted.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</x:row>
    <x:row r="5" ht="23" customHeight="1">
      <x:c r="A5" s="2" t="str">
        <x:v>To add employees, fill every required input A:X and leave Y blank or enter an override. Detailed field guide is on Settings.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</x:row>
    <x:row r="7" ht="25" customHeight="1">
      <x:c r="A7" s="6" t="str">
        <x:v>Organisation</x:v>
      </x:c>
      <x:c r="B7" s="6"/>
      <x:c r="C7" s="6"/>
      <x:c r="D7" s="6"/>
      <x:c r="E7" s="6"/>
      <x:c r="F7" s="6" t="str">
        <x:v>Salary &amp; bonus inputs</x:v>
      </x:c>
      <x:c r="G7" s="6"/>
      <x:c r="H7" s="6"/>
      <x:c r="I7" s="6"/>
      <x:c r="J7" s="6"/>
      <x:c r="K7" s="6"/>
      <x:c r="L7" s="6"/>
      <x:c r="M7" s="6" t="str">
        <x:v>Benefit inputs</x:v>
      </x:c>
      <x:c r="N7" s="6"/>
      <x:c r="O7" s="6"/>
      <x:c r="P7" s="6"/>
      <x:c r="Q7" s="6"/>
      <x:c r="R7" s="6"/>
      <x:c r="S7" s="6"/>
      <x:c r="T7" s="6"/>
      <x:c r="U7" s="6"/>
      <x:c r="V7" s="6" t="str">
        <x:v>Absence &amp; budget</x:v>
      </x:c>
      <x:c r="W7" s="6"/>
      <x:c r="X7" s="6"/>
      <x:c r="Y7" s="6"/>
      <x:c r="Z7" s="6" t="str">
        <x:v>Salary review</x:v>
      </x:c>
      <x:c r="AA7" s="6"/>
      <x:c r="AB7" s="6"/>
      <x:c r="AC7" s="6"/>
      <x:c r="AD7" s="6" t="str">
        <x:v>Annual pay</x:v>
      </x:c>
      <x:c r="AE7" s="6"/>
      <x:c r="AF7" s="6"/>
      <x:c r="AG7" s="6"/>
      <x:c r="AH7" s="6"/>
      <x:c r="AI7" s="6" t="str">
        <x:v>Benefits</x:v>
      </x:c>
      <x:c r="AJ7" s="6"/>
      <x:c r="AK7" s="6"/>
      <x:c r="AL7" s="6"/>
      <x:c r="AM7" s="6"/>
      <x:c r="AN7" s="6"/>
      <x:c r="AO7" s="6" t="str">
        <x:v>Employer budget</x:v>
      </x:c>
      <x:c r="AP7" s="6"/>
      <x:c r="AQ7" s="6"/>
      <x:c r="AR7" s="6"/>
      <x:c r="AS7" s="6" t="str">
        <x:v>Checks</x:v>
      </x:c>
      <x:c r="AT7" s="6"/>
    </x:row>
    <x:row r="8" ht="58" customHeight="1">
      <x:c r="A8" s="17" t="str">
        <x:v>Employee ID</x:v>
      </x:c>
      <x:c r="B8" s="17" t="str">
        <x:v>Department</x:v>
      </x:c>
      <x:c r="C8" s="17" t="str">
        <x:v>Location</x:v>
      </x:c>
      <x:c r="D8" s="17" t="str">
        <x:v>Job title</x:v>
      </x:c>
      <x:c r="E8" s="17" t="str">
        <x:v>Grade</x:v>
      </x:c>
      <x:c r="F8" s="17" t="str">
        <x:v>FTE</x:v>
      </x:c>
      <x:c r="G8" s="17" t="str">
        <x:v>FT monthly gross EUR</x:v>
      </x:c>
      <x:c r="H8" s="17" t="str">
        <x:v>Bonus target %</x:v>
      </x:c>
      <x:c r="I8" s="17" t="str">
        <x:v>Bonus payout factor</x:v>
      </x:c>
      <x:c r="J8" s="17" t="str">
        <x:v>Year-end premium months</x:v>
      </x:c>
      <x:c r="K8" s="17" t="str">
        <x:v>Holiday entitlement factor</x:v>
      </x:c>
      <x:c r="L8" s="17" t="str">
        <x:v>Holiday FT basis EUR</x:v>
      </x:c>
      <x:c r="M8" s="17" t="str">
        <x:v>Meal worked days</x:v>
      </x:c>
      <x:c r="N8" s="17" t="str">
        <x:v>Eco grant EUR</x:v>
      </x:c>
      <x:c r="O8" s="17" t="str">
        <x:v>Bicycle commute km</x:v>
      </x:c>
      <x:c r="P8" s="17" t="str">
        <x:v>Home months Jan–Aug</x:v>
      </x:c>
      <x:c r="Q8" s="17" t="str">
        <x:v>Home months Sep–Dec</x:v>
      </x:c>
      <x:c r="R8" s="17" t="str">
        <x:v>Private internet months</x:v>
      </x:c>
      <x:c r="S8" s="17" t="str">
        <x:v>Private PC months</x:v>
      </x:c>
      <x:c r="T8" s="17" t="str">
        <x:v>Gift granted 0/1</x:v>
      </x:c>
      <x:c r="U8" s="17" t="str">
        <x:v>Other all-in benefits EUR</x:v>
      </x:c>
      <x:c r="V8" s="17" t="str">
        <x:v>Sickness absence days</x:v>
      </x:c>
      <x:c r="W8" s="17" t="str">
        <x:v>Scheduled days</x:v>
      </x:c>
      <x:c r="X8" s="17" t="str">
        <x:v>Annual budget EUR</x:v>
      </x:c>
      <x:c r="Y8" s="17" t="str">
        <x:v>Raise override %</x:v>
      </x:c>
      <x:c r="Z8" s="17" t="str">
        <x:v>Grade midpoint EUR</x:v>
      </x:c>
      <x:c r="AA8" s="17" t="str">
        <x:v>Current compa-ratio</x:v>
      </x:c>
      <x:c r="AB8" s="17" t="str">
        <x:v>Applied raise %</x:v>
      </x:c>
      <x:c r="AC8" s="17" t="str">
        <x:v>Revised FT gross EUR</x:v>
      </x:c>
      <x:c r="AD8" s="17" t="str">
        <x:v>Annual regular pay EUR</x:v>
      </x:c>
      <x:c r="AE8" s="17" t="str">
        <x:v>Year-end premium EUR</x:v>
      </x:c>
      <x:c r="AF8" s="17" t="str">
        <x:v>Double holiday pay EUR</x:v>
      </x:c>
      <x:c r="AG8" s="17" t="str">
        <x:v>Annual cash bonus EUR</x:v>
      </x:c>
      <x:c r="AH8" s="17" t="str">
        <x:v>Employer load EUR</x:v>
      </x:c>
      <x:c r="AI8" s="17" t="str">
        <x:v>Employer meal cost EUR</x:v>
      </x:c>
      <x:c r="AJ8" s="17" t="str">
        <x:v>Employee meal share EUR</x:v>
      </x:c>
      <x:c r="AK8" s="17" t="str">
        <x:v>Bicycle allowance EUR</x:v>
      </x:c>
      <x:c r="AL8" s="17" t="str">
        <x:v>Home / internet / PC EUR</x:v>
      </x:c>
      <x:c r="AM8" s="17" t="str">
        <x:v>Year-end gift EUR</x:v>
      </x:c>
      <x:c r="AN8" s="17" t="str">
        <x:v>Total employer benefits EUR</x:v>
      </x:c>
      <x:c r="AO8" s="17" t="str">
        <x:v>Baseline employer cost EUR</x:v>
      </x:c>
      <x:c r="AP8" s="17" t="str">
        <x:v>Review incremental cost EUR</x:v>
      </x:c>
      <x:c r="AQ8" s="17" t="str">
        <x:v>Review-year employer cost EUR</x:v>
      </x:c>
      <x:c r="AR8" s="17" t="str">
        <x:v>Over/(under) budget EUR</x:v>
      </x:c>
      <x:c r="AS8" s="17" t="str">
        <x:v>Sickness absence %</x:v>
      </x:c>
      <x:c r="AT8" s="17" t="str">
        <x:v>Input / ceiling check</x:v>
      </x:c>
    </x:row>
    <x:row r="9" ht="23" customHeight="1">
      <x:c r="A9" s="8" t="str">
        <x:v>BE-0001</x:v>
      </x:c>
      <x:c r="B9" s="8" t="str">
        <x:v>Finance</x:v>
      </x:c>
      <x:c r="C9" s="8" t="str">
        <x:v>Brussels</x:v>
      </x:c>
      <x:c r="D9" s="8" t="str">
        <x:v>Finance administrator</x:v>
      </x:c>
      <x:c r="E9" s="8" t="str">
        <x:v>G1</x:v>
      </x:c>
      <x:c r="F9" s="20" t="n">
        <x:v>0.6</x:v>
      </x:c>
      <x:c r="G9" s="12" t="n">
        <x:v>2670</x:v>
      </x:c>
      <x:c r="H9" s="21" t="n">
        <x:v>0.03</x:v>
      </x:c>
      <x:c r="I9" s="20" t="n">
        <x:v>0.8</x:v>
      </x:c>
      <x:c r="J9" s="20" t="n">
        <x:v>1</x:v>
      </x:c>
      <x:c r="K9" s="20" t="n">
        <x:v>1</x:v>
      </x:c>
      <x:c r="L9" s="12" t="n">
        <x:v>2670</x:v>
      </x:c>
      <x:c r="M9" s="8" t="n">
        <x:v>128</x:v>
      </x:c>
      <x:c r="N9" s="12" t="n">
        <x:v>150</x:v>
      </x:c>
      <x:c r="O9" s="8" t="n">
        <x:v>300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1</x:v>
      </x:c>
      <x:c r="U9" s="12" t="n">
        <x:v>0</x:v>
      </x:c>
      <x:c r="V9" s="8" t="n">
        <x:v>0</x:v>
      </x:c>
      <x:c r="W9" s="8" t="n">
        <x:v>138</x:v>
      </x:c>
      <x:c r="X9" s="12" t="n">
        <x:v>29100</x:v>
      </x:c>
      <x:c r="Y9" s="21" t="n">
        <x:v>0</x:v>
      </x:c>
      <x:c r="Z9" s="24" t="n">
        <x:f>IF($A9="","",INDEX(Settings!$C$29:$C$33,MATCH(E9,Settings!$A$29:$A$33,0)))</x:f>
        <x:v>2700</x:v>
      </x:c>
      <x:c r="AA9" s="22" t="n">
        <x:f>IF($A9="","",G9/Z9)</x:f>
        <x:v>0.9888888888888889</x:v>
      </x:c>
      <x:c r="AB9" s="25" t="n">
        <x:f>IF($A9="","",IF(ISNUMBER(Y9),Y9,Settings!$B$10))</x:f>
        <x:v>0</x:v>
      </x:c>
      <x:c r="AC9" s="23" t="n">
        <x:f>IF($A9="","",G9*(1+AB9))</x:f>
        <x:v>2670</x:v>
      </x:c>
      <x:c r="AD9" s="23" t="n">
        <x:f>IF($A9="","",G9*F9*12)</x:f>
        <x:v>19224</x:v>
      </x:c>
      <x:c r="AE9" s="23" t="n">
        <x:f>IF($A9="","",G9*F9*J9)</x:f>
        <x:v>1602</x:v>
      </x:c>
      <x:c r="AF9" s="24" t="n">
        <x:f>IF($A9="","",L9*F9*K9*Settings!$B$13)</x:f>
        <x:v>1473.8400000000001</x:v>
      </x:c>
      <x:c r="AG9" s="23" t="n">
        <x:f>IF($A9="","",AD9*H9*I9)</x:f>
        <x:v>461.37600000000003</x:v>
      </x:c>
      <x:c r="AH9" s="24" t="n">
        <x:f>IF($A9="","",SUM(AD9:AE9,AG9)*SUM(Settings!$B$11:$B$12))</x:f>
        <x:v>5321.844</x:v>
      </x:c>
      <x:c r="AI9" s="24" t="n">
        <x:f>IF($A9="","",M9*Settings!$B$16)</x:f>
        <x:v>1140.48</x:v>
      </x:c>
      <x:c r="AJ9" s="24" t="n">
        <x:f>IF($A9="","",M9*Settings!$B$15)</x:f>
        <x:v>139.52</x:v>
      </x:c>
      <x:c r="AK9" s="24" t="n">
        <x:f>IF($A9="","",O9*Settings!$B$18)</x:f>
        <x:v>111</x:v>
      </x:c>
      <x:c r="AL9" s="24" t="n">
        <x:f>IF($A9="","",P9*Settings!$B$20+Q9*Settings!$B$21+R9*Settings!$B$22+S9*Settings!$B$23)</x:f>
        <x:v>0</x:v>
      </x:c>
      <x:c r="AM9" s="24" t="n">
        <x:f>IF($A9="","",T9*Settings!$B$24)</x:f>
        <x:v>40</x:v>
      </x:c>
      <x:c r="AN9" s="23" t="n">
        <x:f>IF($A9="","",SUM(AI9,N9,AK9:AM9,U9))</x:f>
        <x:v>1441.48</x:v>
      </x:c>
      <x:c r="AO9" s="23" t="n">
        <x:f>IF($A9="","",SUM(AD9:AI9,N9,AK9:AM9,U9))</x:f>
        <x:v>29524.54</x:v>
      </x:c>
      <x:c r="AP9" s="24" t="n">
        <x:f>IF($A9="","",G9*F9*AB9*((13-Settings!$B$9)*(1+H9*I9)+J9)*(1+SUM(Settings!$B$11:$B$12)))</x:f>
        <x:v>0</x:v>
      </x:c>
      <x:c r="AQ9" s="23" t="n">
        <x:f>IF($A9="","",SUM(AO9:AP9))</x:f>
        <x:v>29524.54</x:v>
      </x:c>
      <x:c r="AR9" s="23" t="n">
        <x:f>IF($A9="","",AQ9-X9)</x:f>
        <x:v>424.5400000000009</x:v>
      </x:c>
      <x:c r="AS9" s="22" t="n">
        <x:f>IF($A9="","",IF(W9=0,"n.a.",V9/W9))</x:f>
        <x:v>0</x:v>
      </x:c>
      <x:c r="AT9" s="26" t="str">
        <x:f>IF($A9="",IF(COUNTA(B9:Y9)&gt;0,"Missing ID",""),IF(COUNTIFS($A$9:$A$508,A9)&gt;1,"Duplicate ID",IF(OR(B9="",C9="",D9="",E9="",COUNT(F9:X9)&lt;&gt;19),"Missing / text input",IF(OR(COUNTIFS(Settings!$A$59:$A$64,B9)&lt;&gt;1,COUNTIFS(Settings!$A$29:$A$33,E9)&lt;&gt;1),"Unknown department / grade",IF(OR(F9&lt;=0,F9&gt;1,G9&lt;=0,L9&lt;=0,H9&lt;0,I9&lt;0,J9&lt;0,K9&lt;0,K9&gt;1,MIN(M9:X9)&lt;0,W9=0,V9&gt;W9,M9&gt;W9-V9,P9&gt;8,Q9&gt;4,R9&gt;12,S9&gt;12,T9&gt;1,AB9&lt;0),"Review quantity / rate",IF(OR(N9&gt;Settings!$C$17,AK9&gt;Settings!$C$19),"Review benefit ceiling","OK"))))))</x:f>
        <x:v>OK</x:v>
      </x:c>
    </x:row>
    <x:row r="10" ht="23" customHeight="1">
      <x:c r="A10" s="8" t="str">
        <x:v>BE-0002</x:v>
      </x:c>
      <x:c r="B10" s="8" t="str">
        <x:v>People &amp; Culture</x:v>
      </x:c>
      <x:c r="C10" s="8" t="str">
        <x:v>Antwerp</x:v>
      </x:c>
      <x:c r="D10" s="8" t="str">
        <x:v>HR administrator</x:v>
      </x:c>
      <x:c r="E10" s="8" t="str">
        <x:v>G1</x:v>
      </x:c>
      <x:c r="F10" s="20" t="n">
        <x:v>1</x:v>
      </x:c>
      <x:c r="G10" s="12" t="n">
        <x:v>2720</x:v>
      </x:c>
      <x:c r="H10" s="21" t="n">
        <x:v>0.03</x:v>
      </x:c>
      <x:c r="I10" s="20" t="n">
        <x:v>1</x:v>
      </x:c>
      <x:c r="J10" s="20" t="n">
        <x:v>1</x:v>
      </x:c>
      <x:c r="K10" s="20" t="n">
        <x:v>1</x:v>
      </x:c>
      <x:c r="L10" s="12" t="n">
        <x:v>2720</x:v>
      </x:c>
      <x:c r="M10" s="8" t="n">
        <x:v>213</x:v>
      </x:c>
      <x:c r="N10" s="12" t="n">
        <x:v>250</x:v>
      </x:c>
      <x:c r="O10" s="8" t="n">
        <x:v>0</x:v>
      </x:c>
      <x:c r="P10" s="8" t="n">
        <x:v>8</x:v>
      </x:c>
      <x:c r="Q10" s="8" t="n">
        <x:v>4</x:v>
      </x:c>
      <x:c r="R10" s="8" t="n">
        <x:v>12</x:v>
      </x:c>
      <x:c r="S10" s="8" t="n">
        <x:v>0</x:v>
      </x:c>
      <x:c r="T10" s="8" t="n">
        <x:v>1</x:v>
      </x:c>
      <x:c r="U10" s="12" t="n">
        <x:v>0</x:v>
      </x:c>
      <x:c r="V10" s="8" t="n">
        <x:v>1</x:v>
      </x:c>
      <x:c r="W10" s="8" t="n">
        <x:v>230</x:v>
      </x:c>
      <x:c r="X10" s="12" t="n">
        <x:v>54100</x:v>
      </x:c>
      <x:c r="Y10" s="21"/>
      <x:c r="Z10" s="24" t="n">
        <x:f>IF($A10="","",INDEX(Settings!$C$29:$C$33,MATCH(E10,Settings!$A$29:$A$33,0)))</x:f>
        <x:v>2700</x:v>
      </x:c>
      <x:c r="AA10" s="22" t="n">
        <x:f>IF($A10="","",G10/Z10)</x:f>
        <x:v>1.0074074074074073</x:v>
      </x:c>
      <x:c r="AB10" s="25" t="n">
        <x:f>IF($A10="","",IF(ISNUMBER(Y10),Y10,Settings!$B$10))</x:f>
        <x:v>0.03</x:v>
      </x:c>
      <x:c r="AC10" s="23" t="n">
        <x:f>IF($A10="","",G10*(1+AB10))</x:f>
        <x:v>2801.6</x:v>
      </x:c>
      <x:c r="AD10" s="23" t="n">
        <x:f>IF($A10="","",G10*F10*12)</x:f>
        <x:v>32640</x:v>
      </x:c>
      <x:c r="AE10" s="23" t="n">
        <x:f>IF($A10="","",G10*F10*J10)</x:f>
        <x:v>2720</x:v>
      </x:c>
      <x:c r="AF10" s="24" t="n">
        <x:f>IF($A10="","",L10*F10*K10*Settings!$B$13)</x:f>
        <x:v>2502.4</x:v>
      </x:c>
      <x:c r="AG10" s="23" t="n">
        <x:f>IF($A10="","",AD10*H10*I10)</x:f>
        <x:v>979.1999999999999</x:v>
      </x:c>
      <x:c r="AH10" s="24" t="n">
        <x:f>IF($A10="","",SUM(AD10:AE10,AG10)*SUM(Settings!$B$11:$B$12))</x:f>
        <x:v>9084.8</x:v>
      </x:c>
      <x:c r="AI10" s="24" t="n">
        <x:f>IF($A10="","",M10*Settings!$B$16)</x:f>
        <x:v>1897.83</x:v>
      </x:c>
      <x:c r="AJ10" s="24" t="n">
        <x:f>IF($A10="","",M10*Settings!$B$15)</x:f>
        <x:v>232.17000000000002</x:v>
      </x:c>
      <x:c r="AK10" s="24" t="n">
        <x:f>IF($A10="","",O10*Settings!$B$18)</x:f>
        <x:v>0</x:v>
      </x:c>
      <x:c r="AL10" s="24" t="n">
        <x:f>IF($A10="","",P10*Settings!$B$20+Q10*Settings!$B$21+R10*Settings!$B$22+S10*Settings!$B$23)</x:f>
        <x:v>2184.76</x:v>
      </x:c>
      <x:c r="AM10" s="24" t="n">
        <x:f>IF($A10="","",T10*Settings!$B$24)</x:f>
        <x:v>40</x:v>
      </x:c>
      <x:c r="AN10" s="23" t="n">
        <x:f>IF($A10="","",SUM(AI10,N10,AK10:AM10,U10))</x:f>
        <x:v>4372.59</x:v>
      </x:c>
      <x:c r="AO10" s="23" t="n">
        <x:f>IF($A10="","",SUM(AD10:AI10,N10,AK10:AM10,U10))</x:f>
        <x:v>52298.99</x:v>
      </x:c>
      <x:c r="AP10" s="24" t="n">
        <x:f>IF($A10="","",G10*F10*AB10*((13-Settings!$B$9)*(1+H10*I10)+J10)*(1+SUM(Settings!$B$11:$B$12)))</x:f>
        <x:v>1047.54</x:v>
      </x:c>
      <x:c r="AQ10" s="23" t="n">
        <x:f>IF($A10="","",SUM(AO10:AP10))</x:f>
        <x:v>53346.53</x:v>
      </x:c>
      <x:c r="AR10" s="23" t="n">
        <x:f>IF($A10="","",AQ10-X10)</x:f>
        <x:v>-753.4700000000012</x:v>
      </x:c>
      <x:c r="AS10" s="22" t="n">
        <x:f>IF($A10="","",IF(W10=0,"n.a.",V10/W10))</x:f>
        <x:v>0.004347826086956522</x:v>
      </x:c>
      <x:c r="AT10" s="26" t="str">
        <x:f>IF($A10="",IF(COUNTA(B10:Y10)&gt;0,"Missing ID",""),IF(COUNTIFS($A$9:$A$508,A10)&gt;1,"Duplicate ID",IF(OR(B10="",C10="",D10="",E10="",COUNT(F10:X10)&lt;&gt;19),"Missing / text input",IF(OR(COUNTIFS(Settings!$A$59:$A$64,B10)&lt;&gt;1,COUNTIFS(Settings!$A$29:$A$33,E10)&lt;&gt;1),"Unknown department / grade",IF(OR(F10&lt;=0,F10&gt;1,G10&lt;=0,L10&lt;=0,H10&lt;0,I10&lt;0,J10&lt;0,K10&lt;0,K10&gt;1,MIN(M10:X10)&lt;0,W10=0,V10&gt;W10,M10&gt;W10-V10,P10&gt;8,Q10&gt;4,R10&gt;12,S10&gt;12,T10&gt;1,AB10&lt;0),"Review quantity / rate",IF(OR(N10&gt;Settings!$C$17,AK10&gt;Settings!$C$19),"Review benefit ceiling","OK"))))))</x:f>
        <x:v>OK</x:v>
      </x:c>
    </x:row>
    <x:row r="11" ht="23" customHeight="1">
      <x:c r="A11" s="8" t="str">
        <x:v>BE-0003</x:v>
      </x:c>
      <x:c r="B11" s="8" t="str">
        <x:v>Technology</x:v>
      </x:c>
      <x:c r="C11" s="8" t="str">
        <x:v>Ghent</x:v>
      </x:c>
      <x:c r="D11" s="8" t="str">
        <x:v>IT coordinator</x:v>
      </x:c>
      <x:c r="E11" s="8" t="str">
        <x:v>G1</x:v>
      </x:c>
      <x:c r="F11" s="20" t="n">
        <x:v>1</x:v>
      </x:c>
      <x:c r="G11" s="12" t="n">
        <x:v>2530</x:v>
      </x:c>
      <x:c r="H11" s="21" t="n">
        <x:v>0.03</x:v>
      </x:c>
      <x:c r="I11" s="20" t="n">
        <x:v>1.1</x:v>
      </x:c>
      <x:c r="J11" s="20" t="n">
        <x:v>1</x:v>
      </x:c>
      <x:c r="K11" s="20" t="n">
        <x:v>1</x:v>
      </x:c>
      <x:c r="L11" s="12" t="n">
        <x:v>2530</x:v>
      </x:c>
      <x:c r="M11" s="8" t="n">
        <x:v>212</x:v>
      </x:c>
      <x:c r="N11" s="12" t="n">
        <x:v>250</x:v>
      </x:c>
      <x:c r="O11" s="8" t="n">
        <x:v>0</x:v>
      </x:c>
      <x:c r="P11" s="8" t="n">
        <x:v>8</x:v>
      </x:c>
      <x:c r="Q11" s="8" t="n">
        <x:v>4</x:v>
      </x:c>
      <x:c r="R11" s="8" t="n">
        <x:v>12</x:v>
      </x:c>
      <x:c r="S11" s="8" t="n">
        <x:v>0</x:v>
      </x:c>
      <x:c r="T11" s="8" t="n">
        <x:v>1</x:v>
      </x:c>
      <x:c r="U11" s="12" t="n">
        <x:v>0</x:v>
      </x:c>
      <x:c r="V11" s="8" t="n">
        <x:v>2</x:v>
      </x:c>
      <x:c r="W11" s="8" t="n">
        <x:v>230</x:v>
      </x:c>
      <x:c r="X11" s="12" t="n">
        <x:v>50800</x:v>
      </x:c>
      <x:c r="Y11" s="21"/>
      <x:c r="Z11" s="24" t="n">
        <x:f>IF($A11="","",INDEX(Settings!$C$29:$C$33,MATCH(E11,Settings!$A$29:$A$33,0)))</x:f>
        <x:v>2700</x:v>
      </x:c>
      <x:c r="AA11" s="22" t="n">
        <x:f>IF($A11="","",G11/Z11)</x:f>
        <x:v>0.937037037037037</x:v>
      </x:c>
      <x:c r="AB11" s="25" t="n">
        <x:f>IF($A11="","",IF(ISNUMBER(Y11),Y11,Settings!$B$10))</x:f>
        <x:v>0.03</x:v>
      </x:c>
      <x:c r="AC11" s="23" t="n">
        <x:f>IF($A11="","",G11*(1+AB11))</x:f>
        <x:v>2605.9</x:v>
      </x:c>
      <x:c r="AD11" s="23" t="n">
        <x:f>IF($A11="","",G11*F11*12)</x:f>
        <x:v>30360</x:v>
      </x:c>
      <x:c r="AE11" s="23" t="n">
        <x:f>IF($A11="","",G11*F11*J11)</x:f>
        <x:v>2530</x:v>
      </x:c>
      <x:c r="AF11" s="24" t="n">
        <x:f>IF($A11="","",L11*F11*K11*Settings!$B$13)</x:f>
        <x:v>2327.6</x:v>
      </x:c>
      <x:c r="AG11" s="23" t="n">
        <x:f>IF($A11="","",AD11*H11*I11)</x:f>
        <x:v>1001.88</x:v>
      </x:c>
      <x:c r="AH11" s="24" t="n">
        <x:f>IF($A11="","",SUM(AD11:AE11,AG11)*SUM(Settings!$B$11:$B$12))</x:f>
        <x:v>8472.97</x:v>
      </x:c>
      <x:c r="AI11" s="24" t="n">
        <x:f>IF($A11="","",M11*Settings!$B$16)</x:f>
        <x:v>1888.92</x:v>
      </x:c>
      <x:c r="AJ11" s="24" t="n">
        <x:f>IF($A11="","",M11*Settings!$B$15)</x:f>
        <x:v>231.08</x:v>
      </x:c>
      <x:c r="AK11" s="24" t="n">
        <x:f>IF($A11="","",O11*Settings!$B$18)</x:f>
        <x:v>0</x:v>
      </x:c>
      <x:c r="AL11" s="24" t="n">
        <x:f>IF($A11="","",P11*Settings!$B$20+Q11*Settings!$B$21+R11*Settings!$B$22+S11*Settings!$B$23)</x:f>
        <x:v>2184.76</x:v>
      </x:c>
      <x:c r="AM11" s="24" t="n">
        <x:f>IF($A11="","",T11*Settings!$B$24)</x:f>
        <x:v>40</x:v>
      </x:c>
      <x:c r="AN11" s="23" t="n">
        <x:f>IF($A11="","",SUM(AI11,N11,AK11:AM11,U11))</x:f>
        <x:v>4363.68</x:v>
      </x:c>
      <x:c r="AO11" s="23" t="n">
        <x:f>IF($A11="","",SUM(AD11:AI11,N11,AK11:AM11,U11))</x:f>
        <x:v>49056.13</x:v>
      </x:c>
      <x:c r="AP11" s="24" t="n">
        <x:f>IF($A11="","",G11*F11*AB11*((13-Settings!$B$9)*(1+H11*I11)+J11)*(1+SUM(Settings!$B$11:$B$12)))</x:f>
        <x:v>976.9278749999999</x:v>
      </x:c>
      <x:c r="AQ11" s="23" t="n">
        <x:f>IF($A11="","",SUM(AO11:AP11))</x:f>
        <x:v>50033.057875</x:v>
      </x:c>
      <x:c r="AR11" s="23" t="n">
        <x:f>IF($A11="","",AQ11-X11)</x:f>
        <x:v>-766.9421250000014</x:v>
      </x:c>
      <x:c r="AS11" s="22" t="n">
        <x:f>IF($A11="","",IF(W11=0,"n.a.",V11/W11))</x:f>
        <x:v>0.008695652173913044</x:v>
      </x:c>
      <x:c r="AT11" s="26" t="str">
        <x:f>IF($A11="",IF(COUNTA(B11:Y11)&gt;0,"Missing ID",""),IF(COUNTIFS($A$9:$A$508,A11)&gt;1,"Duplicate ID",IF(OR(B11="",C11="",D11="",E11="",COUNT(F11:X11)&lt;&gt;19),"Missing / text input",IF(OR(COUNTIFS(Settings!$A$59:$A$64,B11)&lt;&gt;1,COUNTIFS(Settings!$A$29:$A$33,E11)&lt;&gt;1),"Unknown department / grade",IF(OR(F11&lt;=0,F11&gt;1,G11&lt;=0,L11&lt;=0,H11&lt;0,I11&lt;0,J11&lt;0,K11&lt;0,K11&gt;1,MIN(M11:X11)&lt;0,W11=0,V11&gt;W11,M11&gt;W11-V11,P11&gt;8,Q11&gt;4,R11&gt;12,S11&gt;12,T11&gt;1,AB11&lt;0),"Review quantity / rate",IF(OR(N11&gt;Settings!$C$17,AK11&gt;Settings!$C$19),"Review benefit ceiling","OK"))))))</x:f>
        <x:v>OK</x:v>
      </x:c>
    </x:row>
    <x:row r="12" ht="23" customHeight="1">
      <x:c r="A12" s="8" t="str">
        <x:v>BE-0004</x:v>
      </x:c>
      <x:c r="B12" s="8" t="str">
        <x:v>Sales</x:v>
      </x:c>
      <x:c r="C12" s="8" t="str">
        <x:v>Brussels</x:v>
      </x:c>
      <x:c r="D12" s="8" t="str">
        <x:v>Sales coordinator</x:v>
      </x:c>
      <x:c r="E12" s="8" t="str">
        <x:v>G1</x:v>
      </x:c>
      <x:c r="F12" s="20" t="n">
        <x:v>1</x:v>
      </x:c>
      <x:c r="G12" s="12" t="n">
        <x:v>2630</x:v>
      </x:c>
      <x:c r="H12" s="21" t="n">
        <x:v>0.03</x:v>
      </x:c>
      <x:c r="I12" s="20" t="n">
        <x:v>0.8</x:v>
      </x:c>
      <x:c r="J12" s="20" t="n">
        <x:v>1</x:v>
      </x:c>
      <x:c r="K12" s="20" t="n">
        <x:v>1</x:v>
      </x:c>
      <x:c r="L12" s="12" t="n">
        <x:v>2630</x:v>
      </x:c>
      <x:c r="M12" s="8" t="n">
        <x:v>211</x:v>
      </x:c>
      <x:c r="N12" s="12" t="n">
        <x:v>250</x:v>
      </x:c>
      <x:c r="O12" s="8" t="n">
        <x:v>630</x:v>
      </x:c>
      <x:c r="P12" s="8" t="n">
        <x:v>8</x:v>
      </x:c>
      <x:c r="Q12" s="8" t="n">
        <x:v>4</x:v>
      </x:c>
      <x:c r="R12" s="8" t="n">
        <x:v>12</x:v>
      </x:c>
      <x:c r="S12" s="8" t="n">
        <x:v>0</x:v>
      </x:c>
      <x:c r="T12" s="8" t="n">
        <x:v>1</x:v>
      </x:c>
      <x:c r="U12" s="12" t="n">
        <x:v>0</x:v>
      </x:c>
      <x:c r="V12" s="8" t="n">
        <x:v>3</x:v>
      </x:c>
      <x:c r="W12" s="8" t="n">
        <x:v>230</x:v>
      </x:c>
      <x:c r="X12" s="12" t="n">
        <x:v>52500</x:v>
      </x:c>
      <x:c r="Y12" s="21"/>
      <x:c r="Z12" s="24" t="n">
        <x:f>IF($A12="","",INDEX(Settings!$C$29:$C$33,MATCH(E12,Settings!$A$29:$A$33,0)))</x:f>
        <x:v>2700</x:v>
      </x:c>
      <x:c r="AA12" s="22" t="n">
        <x:f>IF($A12="","",G12/Z12)</x:f>
        <x:v>0.9740740740740741</x:v>
      </x:c>
      <x:c r="AB12" s="25" t="n">
        <x:f>IF($A12="","",IF(ISNUMBER(Y12),Y12,Settings!$B$10))</x:f>
        <x:v>0.03</x:v>
      </x:c>
      <x:c r="AC12" s="23" t="n">
        <x:f>IF($A12="","",G12*(1+AB12))</x:f>
        <x:v>2708.9</x:v>
      </x:c>
      <x:c r="AD12" s="23" t="n">
        <x:f>IF($A12="","",G12*F12*12)</x:f>
        <x:v>31560</x:v>
      </x:c>
      <x:c r="AE12" s="23" t="n">
        <x:f>IF($A12="","",G12*F12*J12)</x:f>
        <x:v>2630</x:v>
      </x:c>
      <x:c r="AF12" s="24" t="n">
        <x:f>IF($A12="","",L12*F12*K12*Settings!$B$13)</x:f>
        <x:v>2419.6</x:v>
      </x:c>
      <x:c r="AG12" s="23" t="n">
        <x:f>IF($A12="","",AD12*H12*I12)</x:f>
        <x:v>757.44</x:v>
      </x:c>
      <x:c r="AH12" s="24" t="n">
        <x:f>IF($A12="","",SUM(AD12:AE12,AG12)*SUM(Settings!$B$11:$B$12))</x:f>
        <x:v>8736.86</x:v>
      </x:c>
      <x:c r="AI12" s="24" t="n">
        <x:f>IF($A12="","",M12*Settings!$B$16)</x:f>
        <x:v>1880.01</x:v>
      </x:c>
      <x:c r="AJ12" s="24" t="n">
        <x:f>IF($A12="","",M12*Settings!$B$15)</x:f>
        <x:v>229.99</x:v>
      </x:c>
      <x:c r="AK12" s="24" t="n">
        <x:f>IF($A12="","",O12*Settings!$B$18)</x:f>
        <x:v>233.1</x:v>
      </x:c>
      <x:c r="AL12" s="24" t="n">
        <x:f>IF($A12="","",P12*Settings!$B$20+Q12*Settings!$B$21+R12*Settings!$B$22+S12*Settings!$B$23)</x:f>
        <x:v>2184.76</x:v>
      </x:c>
      <x:c r="AM12" s="24" t="n">
        <x:f>IF($A12="","",T12*Settings!$B$24)</x:f>
        <x:v>40</x:v>
      </x:c>
      <x:c r="AN12" s="23" t="n">
        <x:f>IF($A12="","",SUM(AI12,N12,AK12:AM12,U12))</x:f>
        <x:v>4587.870000000001</x:v>
      </x:c>
      <x:c r="AO12" s="23" t="n">
        <x:f>IF($A12="","",SUM(AD12:AI12,N12,AK12:AM12,U12))</x:f>
        <x:v>50691.770000000004</x:v>
      </x:c>
      <x:c r="AP12" s="24" t="n">
        <x:f>IF($A12="","",G12*F12*AB12*((13-Settings!$B$9)*(1+H12*I12)+J12)*(1+SUM(Settings!$B$11:$B$12)))</x:f>
        <x:v>1007.5530000000001</x:v>
      </x:c>
      <x:c r="AQ12" s="23" t="n">
        <x:f>IF($A12="","",SUM(AO12:AP12))</x:f>
        <x:v>51699.323000000004</x:v>
      </x:c>
      <x:c r="AR12" s="23" t="n">
        <x:f>IF($A12="","",AQ12-X12)</x:f>
        <x:v>-800.676999999996</x:v>
      </x:c>
      <x:c r="AS12" s="22" t="n">
        <x:f>IF($A12="","",IF(W12=0,"n.a.",V12/W12))</x:f>
        <x:v>0.013043478260869565</x:v>
      </x:c>
      <x:c r="AT12" s="26" t="str">
        <x:f>IF($A12="",IF(COUNTA(B12:Y12)&gt;0,"Missing ID",""),IF(COUNTIFS($A$9:$A$508,A12)&gt;1,"Duplicate ID",IF(OR(B12="",C12="",D12="",E12="",COUNT(F12:X12)&lt;&gt;19),"Missing / text input",IF(OR(COUNTIFS(Settings!$A$59:$A$64,B12)&lt;&gt;1,COUNTIFS(Settings!$A$29:$A$33,E12)&lt;&gt;1),"Unknown department / grade",IF(OR(F12&lt;=0,F12&gt;1,G12&lt;=0,L12&lt;=0,H12&lt;0,I12&lt;0,J12&lt;0,K12&lt;0,K12&gt;1,MIN(M12:X12)&lt;0,W12=0,V12&gt;W12,M12&gt;W12-V12,P12&gt;8,Q12&gt;4,R12&gt;12,S12&gt;12,T12&gt;1,AB12&lt;0),"Review quantity / rate",IF(OR(N12&gt;Settings!$C$17,AK12&gt;Settings!$C$19),"Review benefit ceiling","OK"))))))</x:f>
        <x:v>OK</x:v>
      </x:c>
    </x:row>
    <x:row r="13" ht="23" customHeight="1">
      <x:c r="A13" s="8" t="str">
        <x:v>BE-0005</x:v>
      </x:c>
      <x:c r="B13" s="8" t="str">
        <x:v>Customer Operations</x:v>
      </x:c>
      <x:c r="C13" s="8" t="str">
        <x:v>Antwerp</x:v>
      </x:c>
      <x:c r="D13" s="8" t="str">
        <x:v>Service administrator</x:v>
      </x:c>
      <x:c r="E13" s="8" t="str">
        <x:v>G1</x:v>
      </x:c>
      <x:c r="F13" s="20" t="n">
        <x:v>1</x:v>
      </x:c>
      <x:c r="G13" s="12" t="n">
        <x:v>2560</x:v>
      </x:c>
      <x:c r="H13" s="21" t="n">
        <x:v>0.03</x:v>
      </x:c>
      <x:c r="I13" s="20" t="n">
        <x:v>1</x:v>
      </x:c>
      <x:c r="J13" s="20" t="n">
        <x:v>1</x:v>
      </x:c>
      <x:c r="K13" s="20" t="n">
        <x:v>1</x:v>
      </x:c>
      <x:c r="L13" s="12" t="n">
        <x:v>2560</x:v>
      </x:c>
      <x:c r="M13" s="8" t="n">
        <x:v>210</x:v>
      </x:c>
      <x:c r="N13" s="12" t="n">
        <x:v>250</x:v>
      </x:c>
      <x:c r="O13" s="8" t="n">
        <x:v>0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1</x:v>
      </x:c>
      <x:c r="U13" s="12" t="n">
        <x:v>0</x:v>
      </x:c>
      <x:c r="V13" s="8" t="n">
        <x:v>4</x:v>
      </x:c>
      <x:c r="W13" s="8" t="n">
        <x:v>230</x:v>
      </x:c>
      <x:c r="X13" s="12" t="n">
        <x:v>49000</x:v>
      </x:c>
      <x:c r="Y13" s="21"/>
      <x:c r="Z13" s="24" t="n">
        <x:f>IF($A13="","",INDEX(Settings!$C$29:$C$33,MATCH(E13,Settings!$A$29:$A$33,0)))</x:f>
        <x:v>2700</x:v>
      </x:c>
      <x:c r="AA13" s="22" t="n">
        <x:f>IF($A13="","",G13/Z13)</x:f>
        <x:v>0.9481481481481482</x:v>
      </x:c>
      <x:c r="AB13" s="25" t="n">
        <x:f>IF($A13="","",IF(ISNUMBER(Y13),Y13,Settings!$B$10))</x:f>
        <x:v>0.03</x:v>
      </x:c>
      <x:c r="AC13" s="23" t="n">
        <x:f>IF($A13="","",G13*(1+AB13))</x:f>
        <x:v>2636.8</x:v>
      </x:c>
      <x:c r="AD13" s="23" t="n">
        <x:f>IF($A13="","",G13*F13*12)</x:f>
        <x:v>30720</x:v>
      </x:c>
      <x:c r="AE13" s="23" t="n">
        <x:f>IF($A13="","",G13*F13*J13)</x:f>
        <x:v>2560</x:v>
      </x:c>
      <x:c r="AF13" s="24" t="n">
        <x:f>IF($A13="","",L13*F13*K13*Settings!$B$13)</x:f>
        <x:v>2355.2000000000003</x:v>
      </x:c>
      <x:c r="AG13" s="23" t="n">
        <x:f>IF($A13="","",AD13*H13*I13)</x:f>
        <x:v>921.5999999999999</x:v>
      </x:c>
      <x:c r="AH13" s="24" t="n">
        <x:f>IF($A13="","",SUM(AD13:AE13,AG13)*SUM(Settings!$B$11:$B$12))</x:f>
        <x:v>8550.4</x:v>
      </x:c>
      <x:c r="AI13" s="24" t="n">
        <x:f>IF($A13="","",M13*Settings!$B$16)</x:f>
        <x:v>1871.1000000000001</x:v>
      </x:c>
      <x:c r="AJ13" s="24" t="n">
        <x:f>IF($A13="","",M13*Settings!$B$15)</x:f>
        <x:v>228.9</x:v>
      </x:c>
      <x:c r="AK13" s="24" t="n">
        <x:f>IF($A13="","",O13*Settings!$B$18)</x:f>
        <x:v>0</x:v>
      </x:c>
      <x:c r="AL13" s="24" t="n">
        <x:f>IF($A13="","",P13*Settings!$B$20+Q13*Settings!$B$21+R13*Settings!$B$22+S13*Settings!$B$23)</x:f>
        <x:v>0</x:v>
      </x:c>
      <x:c r="AM13" s="24" t="n">
        <x:f>IF($A13="","",T13*Settings!$B$24)</x:f>
        <x:v>40</x:v>
      </x:c>
      <x:c r="AN13" s="23" t="n">
        <x:f>IF($A13="","",SUM(AI13,N13,AK13:AM13,U13))</x:f>
        <x:v>2161.1000000000004</x:v>
      </x:c>
      <x:c r="AO13" s="23" t="n">
        <x:f>IF($A13="","",SUM(AD13:AI13,N13,AK13:AM13,U13))</x:f>
        <x:v>47268.299999999996</x:v>
      </x:c>
      <x:c r="AP13" s="24" t="n">
        <x:f>IF($A13="","",G13*F13*AB13*((13-Settings!$B$9)*(1+H13*I13)+J13)*(1+SUM(Settings!$B$11:$B$12)))</x:f>
        <x:v>985.92</x:v>
      </x:c>
      <x:c r="AQ13" s="23" t="n">
        <x:f>IF($A13="","",SUM(AO13:AP13))</x:f>
        <x:v>48254.219999999994</x:v>
      </x:c>
      <x:c r="AR13" s="23" t="n">
        <x:f>IF($A13="","",AQ13-X13)</x:f>
        <x:v>-745.7800000000061</x:v>
      </x:c>
      <x:c r="AS13" s="22" t="n">
        <x:f>IF($A13="","",IF(W13=0,"n.a.",V13/W13))</x:f>
        <x:v>0.017391304347826087</x:v>
      </x:c>
      <x:c r="AT13" s="26" t="str">
        <x:f>IF($A13="",IF(COUNTA(B13:Y13)&gt;0,"Missing ID",""),IF(COUNTIFS($A$9:$A$508,A13)&gt;1,"Duplicate ID",IF(OR(B13="",C13="",D13="",E13="",COUNT(F13:X13)&lt;&gt;19),"Missing / text input",IF(OR(COUNTIFS(Settings!$A$59:$A$64,B13)&lt;&gt;1,COUNTIFS(Settings!$A$29:$A$33,E13)&lt;&gt;1),"Unknown department / grade",IF(OR(F13&lt;=0,F13&gt;1,G13&lt;=0,L13&lt;=0,H13&lt;0,I13&lt;0,J13&lt;0,K13&lt;0,K13&gt;1,MIN(M13:X13)&lt;0,W13=0,V13&gt;W13,M13&gt;W13-V13,P13&gt;8,Q13&gt;4,R13&gt;12,S13&gt;12,T13&gt;1,AB13&lt;0),"Review quantity / rate",IF(OR(N13&gt;Settings!$C$17,AK13&gt;Settings!$C$19),"Review benefit ceiling","OK"))))))</x:f>
        <x:v>OK</x:v>
      </x:c>
    </x:row>
    <x:row r="14" ht="23" customHeight="1">
      <x:c r="A14" s="8" t="str">
        <x:v>BE-0006</x:v>
      </x:c>
      <x:c r="B14" s="8" t="str">
        <x:v>Business Support</x:v>
      </x:c>
      <x:c r="C14" s="8" t="str">
        <x:v>Ghent</x:v>
      </x:c>
      <x:c r="D14" s="8" t="str">
        <x:v>Business specialist</x:v>
      </x:c>
      <x:c r="E14" s="8" t="str">
        <x:v>G2</x:v>
      </x:c>
      <x:c r="F14" s="20" t="n">
        <x:v>1</x:v>
      </x:c>
      <x:c r="G14" s="12" t="n">
        <x:v>3460</x:v>
      </x:c>
      <x:c r="H14" s="21" t="n">
        <x:v>0.05</x:v>
      </x:c>
      <x:c r="I14" s="20" t="n">
        <x:v>1.1</x:v>
      </x:c>
      <x:c r="J14" s="20" t="n">
        <x:v>1</x:v>
      </x:c>
      <x:c r="K14" s="20" t="n">
        <x:v>1</x:v>
      </x:c>
      <x:c r="L14" s="12" t="n">
        <x:v>3460</x:v>
      </x:c>
      <x:c r="M14" s="8" t="n">
        <x:v>209</x:v>
      </x:c>
      <x:c r="N14" s="12" t="n">
        <x:v>250</x:v>
      </x:c>
      <x:c r="O14" s="8" t="n">
        <x:v>0</x:v>
      </x:c>
      <x:c r="P14" s="8" t="n">
        <x:v>8</x:v>
      </x:c>
      <x:c r="Q14" s="8" t="n">
        <x:v>4</x:v>
      </x:c>
      <x:c r="R14" s="8" t="n">
        <x:v>12</x:v>
      </x:c>
      <x:c r="S14" s="8" t="n">
        <x:v>12</x:v>
      </x:c>
      <x:c r="T14" s="8" t="n">
        <x:v>1</x:v>
      </x:c>
      <x:c r="U14" s="12" t="n">
        <x:v>0</x:v>
      </x:c>
      <x:c r="V14" s="8" t="n">
        <x:v>5</x:v>
      </x:c>
      <x:c r="W14" s="8" t="n">
        <x:v>230</x:v>
      </x:c>
      <x:c r="X14" s="12" t="n">
        <x:v>67200</x:v>
      </x:c>
      <x:c r="Y14" s="21"/>
      <x:c r="Z14" s="24" t="n">
        <x:f>IF($A14="","",INDEX(Settings!$C$29:$C$33,MATCH(E14,Settings!$A$29:$A$33,0)))</x:f>
        <x:v>3300</x:v>
      </x:c>
      <x:c r="AA14" s="22" t="n">
        <x:f>IF($A14="","",G14/Z14)</x:f>
        <x:v>1.0484848484848486</x:v>
      </x:c>
      <x:c r="AB14" s="25" t="n">
        <x:f>IF($A14="","",IF(ISNUMBER(Y14),Y14,Settings!$B$10))</x:f>
        <x:v>0.03</x:v>
      </x:c>
      <x:c r="AC14" s="23" t="n">
        <x:f>IF($A14="","",G14*(1+AB14))</x:f>
        <x:v>3563.8</x:v>
      </x:c>
      <x:c r="AD14" s="23" t="n">
        <x:f>IF($A14="","",G14*F14*12)</x:f>
        <x:v>41520</x:v>
      </x:c>
      <x:c r="AE14" s="23" t="n">
        <x:f>IF($A14="","",G14*F14*J14)</x:f>
        <x:v>3460</x:v>
      </x:c>
      <x:c r="AF14" s="24" t="n">
        <x:f>IF($A14="","",L14*F14*K14*Settings!$B$13)</x:f>
        <x:v>3183.2000000000003</x:v>
      </x:c>
      <x:c r="AG14" s="23" t="n">
        <x:f>IF($A14="","",AD14*H14*I14)</x:f>
        <x:v>2283.6000000000004</x:v>
      </x:c>
      <x:c r="AH14" s="24" t="n">
        <x:f>IF($A14="","",SUM(AD14:AE14,AG14)*SUM(Settings!$B$11:$B$12))</x:f>
        <x:v>11815.9</x:v>
      </x:c>
      <x:c r="AI14" s="24" t="n">
        <x:f>IF($A14="","",M14*Settings!$B$16)</x:f>
        <x:v>1862.19</x:v>
      </x:c>
      <x:c r="AJ14" s="24" t="n">
        <x:f>IF($A14="","",M14*Settings!$B$15)</x:f>
        <x:v>227.81000000000003</x:v>
      </x:c>
      <x:c r="AK14" s="24" t="n">
        <x:f>IF($A14="","",O14*Settings!$B$18)</x:f>
        <x:v>0</x:v>
      </x:c>
      <x:c r="AL14" s="24" t="n">
        <x:f>IF($A14="","",P14*Settings!$B$20+Q14*Settings!$B$21+R14*Settings!$B$22+S14*Settings!$B$23)</x:f>
        <x:v>2424.76</x:v>
      </x:c>
      <x:c r="AM14" s="24" t="n">
        <x:f>IF($A14="","",T14*Settings!$B$24)</x:f>
        <x:v>40</x:v>
      </x:c>
      <x:c r="AN14" s="23" t="n">
        <x:f>IF($A14="","",SUM(AI14,N14,AK14:AM14,U14))</x:f>
        <x:v>4576.950000000001</x:v>
      </x:c>
      <x:c r="AO14" s="23" t="n">
        <x:f>IF($A14="","",SUM(AD14:AI14,N14,AK14:AM14,U14))</x:f>
        <x:v>66839.65</x:v>
      </x:c>
      <x:c r="AP14" s="24" t="n">
        <x:f>IF($A14="","",G14*F14*AB14*((13-Settings!$B$9)*(1+H14*I14)+J14)*(1+SUM(Settings!$B$11:$B$12)))</x:f>
        <x:v>1361.7262499999997</x:v>
      </x:c>
      <x:c r="AQ14" s="23" t="n">
        <x:f>IF($A14="","",SUM(AO14:AP14))</x:f>
        <x:v>68201.37625</x:v>
      </x:c>
      <x:c r="AR14" s="23" t="n">
        <x:f>IF($A14="","",AQ14-X14)</x:f>
        <x:v>1001.3762500000012</x:v>
      </x:c>
      <x:c r="AS14" s="22" t="n">
        <x:f>IF($A14="","",IF(W14=0,"n.a.",V14/W14))</x:f>
        <x:v>0.021739130434782608</x:v>
      </x:c>
      <x:c r="AT14" s="26" t="str">
        <x:f>IF($A14="",IF(COUNTA(B14:Y14)&gt;0,"Missing ID",""),IF(COUNTIFS($A$9:$A$508,A14)&gt;1,"Duplicate ID",IF(OR(B14="",C14="",D14="",E14="",COUNT(F14:X14)&lt;&gt;19),"Missing / text input",IF(OR(COUNTIFS(Settings!$A$59:$A$64,B14)&lt;&gt;1,COUNTIFS(Settings!$A$29:$A$33,E14)&lt;&gt;1),"Unknown department / grade",IF(OR(F14&lt;=0,F14&gt;1,G14&lt;=0,L14&lt;=0,H14&lt;0,I14&lt;0,J14&lt;0,K14&lt;0,K14&gt;1,MIN(M14:X14)&lt;0,W14=0,V14&gt;W14,M14&gt;W14-V14,P14&gt;8,Q14&gt;4,R14&gt;12,S14&gt;12,T14&gt;1,AB14&lt;0),"Review quantity / rate",IF(OR(N14&gt;Settings!$C$17,AK14&gt;Settings!$C$19),"Review benefit ceiling","OK"))))))</x:f>
        <x:v>OK</x:v>
      </x:c>
    </x:row>
    <x:row r="15" ht="23" customHeight="1">
      <x:c r="A15" s="8" t="str">
        <x:v>BE-0007</x:v>
      </x:c>
      <x:c r="B15" s="8" t="str">
        <x:v>Finance</x:v>
      </x:c>
      <x:c r="C15" s="8" t="str">
        <x:v>Brussels</x:v>
      </x:c>
      <x:c r="D15" s="8" t="str">
        <x:v>Accountant</x:v>
      </x:c>
      <x:c r="E15" s="8" t="str">
        <x:v>G2</x:v>
      </x:c>
      <x:c r="F15" s="20" t="n">
        <x:v>1</x:v>
      </x:c>
      <x:c r="G15" s="12" t="n">
        <x:v>3600</x:v>
      </x:c>
      <x:c r="H15" s="21" t="n">
        <x:v>0.05</x:v>
      </x:c>
      <x:c r="I15" s="20" t="n">
        <x:v>0.8</x:v>
      </x:c>
      <x:c r="J15" s="20" t="n">
        <x:v>1</x:v>
      </x:c>
      <x:c r="K15" s="20" t="n">
        <x:v>1</x:v>
      </x:c>
      <x:c r="L15" s="12" t="n">
        <x:v>3600</x:v>
      </x:c>
      <x:c r="M15" s="8" t="n">
        <x:v>208</x:v>
      </x:c>
      <x:c r="N15" s="12" t="n">
        <x:v>250</x:v>
      </x:c>
      <x:c r="O15" s="8" t="n">
        <x:v>960</x:v>
      </x:c>
      <x:c r="P15" s="8" t="n">
        <x:v>8</x:v>
      </x:c>
      <x:c r="Q15" s="8" t="n">
        <x:v>4</x:v>
      </x:c>
      <x:c r="R15" s="8" t="n">
        <x:v>12</x:v>
      </x:c>
      <x:c r="S15" s="8" t="n">
        <x:v>0</x:v>
      </x:c>
      <x:c r="T15" s="8" t="n">
        <x:v>1</x:v>
      </x:c>
      <x:c r="U15" s="12" t="n">
        <x:v>0</x:v>
      </x:c>
      <x:c r="V15" s="8" t="n">
        <x:v>6</x:v>
      </x:c>
      <x:c r="W15" s="8" t="n">
        <x:v>230</x:v>
      </x:c>
      <x:c r="X15" s="12" t="n">
        <x:v>71100</x:v>
      </x:c>
      <x:c r="Y15" s="21"/>
      <x:c r="Z15" s="24" t="n">
        <x:f>IF($A15="","",INDEX(Settings!$C$29:$C$33,MATCH(E15,Settings!$A$29:$A$33,0)))</x:f>
        <x:v>3300</x:v>
      </x:c>
      <x:c r="AA15" s="22" t="n">
        <x:f>IF($A15="","",G15/Z15)</x:f>
        <x:v>1.0909090909090908</x:v>
      </x:c>
      <x:c r="AB15" s="25" t="n">
        <x:f>IF($A15="","",IF(ISNUMBER(Y15),Y15,Settings!$B$10))</x:f>
        <x:v>0.03</x:v>
      </x:c>
      <x:c r="AC15" s="23" t="n">
        <x:f>IF($A15="","",G15*(1+AB15))</x:f>
        <x:v>3708</x:v>
      </x:c>
      <x:c r="AD15" s="23" t="n">
        <x:f>IF($A15="","",G15*F15*12)</x:f>
        <x:v>43200</x:v>
      </x:c>
      <x:c r="AE15" s="23" t="n">
        <x:f>IF($A15="","",G15*F15*J15)</x:f>
        <x:v>3600</x:v>
      </x:c>
      <x:c r="AF15" s="24" t="n">
        <x:f>IF($A15="","",L15*F15*K15*Settings!$B$13)</x:f>
        <x:v>3312</x:v>
      </x:c>
      <x:c r="AG15" s="23" t="n">
        <x:f>IF($A15="","",AD15*H15*I15)</x:f>
        <x:v>1728</x:v>
      </x:c>
      <x:c r="AH15" s="24" t="n">
        <x:f>IF($A15="","",SUM(AD15:AE15,AG15)*SUM(Settings!$B$11:$B$12))</x:f>
        <x:v>12132</x:v>
      </x:c>
      <x:c r="AI15" s="24" t="n">
        <x:f>IF($A15="","",M15*Settings!$B$16)</x:f>
        <x:v>1853.28</x:v>
      </x:c>
      <x:c r="AJ15" s="24" t="n">
        <x:f>IF($A15="","",M15*Settings!$B$15)</x:f>
        <x:v>226.72000000000003</x:v>
      </x:c>
      <x:c r="AK15" s="24" t="n">
        <x:f>IF($A15="","",O15*Settings!$B$18)</x:f>
        <x:v>355.2</x:v>
      </x:c>
      <x:c r="AL15" s="24" t="n">
        <x:f>IF($A15="","",P15*Settings!$B$20+Q15*Settings!$B$21+R15*Settings!$B$22+S15*Settings!$B$23)</x:f>
        <x:v>2184.76</x:v>
      </x:c>
      <x:c r="AM15" s="24" t="n">
        <x:f>IF($A15="","",T15*Settings!$B$24)</x:f>
        <x:v>40</x:v>
      </x:c>
      <x:c r="AN15" s="23" t="n">
        <x:f>IF($A15="","",SUM(AI15,N15,AK15:AM15,U15))</x:f>
        <x:v>4683.24</x:v>
      </x:c>
      <x:c r="AO15" s="23" t="n">
        <x:f>IF($A15="","",SUM(AD15:AI15,N15,AK15:AM15,U15))</x:f>
        <x:v>68655.24</x:v>
      </x:c>
      <x:c r="AP15" s="24" t="n">
        <x:f>IF($A15="","",G15*F15*AB15*((13-Settings!$B$9)*(1+H15*I15)+J15)*(1+SUM(Settings!$B$11:$B$12)))</x:f>
        <x:v>1398.6</x:v>
      </x:c>
      <x:c r="AQ15" s="23" t="n">
        <x:f>IF($A15="","",SUM(AO15:AP15))</x:f>
        <x:v>70053.84000000001</x:v>
      </x:c>
      <x:c r="AR15" s="23" t="n">
        <x:f>IF($A15="","",AQ15-X15)</x:f>
        <x:v>-1046.159999999989</x:v>
      </x:c>
      <x:c r="AS15" s="22" t="n">
        <x:f>IF($A15="","",IF(W15=0,"n.a.",V15/W15))</x:f>
        <x:v>0.02608695652173913</x:v>
      </x:c>
      <x:c r="AT15" s="26" t="str">
        <x:f>IF($A15="",IF(COUNTA(B15:Y15)&gt;0,"Missing ID",""),IF(COUNTIFS($A$9:$A$508,A15)&gt;1,"Duplicate ID",IF(OR(B15="",C15="",D15="",E15="",COUNT(F15:X15)&lt;&gt;19),"Missing / text input",IF(OR(COUNTIFS(Settings!$A$59:$A$64,B15)&lt;&gt;1,COUNTIFS(Settings!$A$29:$A$33,E15)&lt;&gt;1),"Unknown department / grade",IF(OR(F15&lt;=0,F15&gt;1,G15&lt;=0,L15&lt;=0,H15&lt;0,I15&lt;0,J15&lt;0,K15&lt;0,K15&gt;1,MIN(M15:X15)&lt;0,W15=0,V15&gt;W15,M15&gt;W15-V15,P15&gt;8,Q15&gt;4,R15&gt;12,S15&gt;12,T15&gt;1,AB15&lt;0),"Review quantity / rate",IF(OR(N15&gt;Settings!$C$17,AK15&gt;Settings!$C$19),"Review benefit ceiling","OK"))))))</x:f>
        <x:v>OK</x:v>
      </x:c>
    </x:row>
    <x:row r="16" ht="23" customHeight="1">
      <x:c r="A16" s="8" t="str">
        <x:v>BE-0008</x:v>
      </x:c>
      <x:c r="B16" s="8" t="str">
        <x:v>People &amp; Culture</x:v>
      </x:c>
      <x:c r="C16" s="8" t="str">
        <x:v>Antwerp</x:v>
      </x:c>
      <x:c r="D16" s="8" t="str">
        <x:v>HR specialist</x:v>
      </x:c>
      <x:c r="E16" s="8" t="str">
        <x:v>G2</x:v>
      </x:c>
      <x:c r="F16" s="20" t="n">
        <x:v>0.8</x:v>
      </x:c>
      <x:c r="G16" s="12" t="n">
        <x:v>3330</x:v>
      </x:c>
      <x:c r="H16" s="21" t="n">
        <x:v>0.05</x:v>
      </x:c>
      <x:c r="I16" s="20" t="n">
        <x:v>1</x:v>
      </x:c>
      <x:c r="J16" s="20" t="n">
        <x:v>1</x:v>
      </x:c>
      <x:c r="K16" s="20" t="n">
        <x:v>1</x:v>
      </x:c>
      <x:c r="L16" s="12" t="n">
        <x:v>3330</x:v>
      </x:c>
      <x:c r="M16" s="8" t="n">
        <x:v>171</x:v>
      </x:c>
      <x:c r="N16" s="12" t="n">
        <x:v>200</x:v>
      </x:c>
      <x:c r="O16" s="8" t="n">
        <x:v>0</x:v>
      </x:c>
      <x:c r="P16" s="8" t="n">
        <x:v>8</x:v>
      </x:c>
      <x:c r="Q16" s="8" t="n">
        <x:v>4</x:v>
      </x:c>
      <x:c r="R16" s="8" t="n">
        <x:v>12</x:v>
      </x:c>
      <x:c r="S16" s="8" t="n">
        <x:v>0</x:v>
      </x:c>
      <x:c r="T16" s="8" t="n">
        <x:v>1</x:v>
      </x:c>
      <x:c r="U16" s="12" t="n">
        <x:v>0</x:v>
      </x:c>
      <x:c r="V16" s="8" t="n">
        <x:v>7</x:v>
      </x:c>
      <x:c r="W16" s="8" t="n">
        <x:v>184</x:v>
      </x:c>
      <x:c r="X16" s="12" t="n">
        <x:v>53500</x:v>
      </x:c>
      <x:c r="Y16" s="21"/>
      <x:c r="Z16" s="24" t="n">
        <x:f>IF($A16="","",INDEX(Settings!$C$29:$C$33,MATCH(E16,Settings!$A$29:$A$33,0)))</x:f>
        <x:v>3300</x:v>
      </x:c>
      <x:c r="AA16" s="22" t="n">
        <x:f>IF($A16="","",G16/Z16)</x:f>
        <x:v>1.009090909090909</x:v>
      </x:c>
      <x:c r="AB16" s="25" t="n">
        <x:f>IF($A16="","",IF(ISNUMBER(Y16),Y16,Settings!$B$10))</x:f>
        <x:v>0.03</x:v>
      </x:c>
      <x:c r="AC16" s="23" t="n">
        <x:f>IF($A16="","",G16*(1+AB16))</x:f>
        <x:v>3429.9</x:v>
      </x:c>
      <x:c r="AD16" s="23" t="n">
        <x:f>IF($A16="","",G16*F16*12)</x:f>
        <x:v>31968</x:v>
      </x:c>
      <x:c r="AE16" s="23" t="n">
        <x:f>IF($A16="","",G16*F16*J16)</x:f>
        <x:v>2664</x:v>
      </x:c>
      <x:c r="AF16" s="24" t="n">
        <x:f>IF($A16="","",L16*F16*K16*Settings!$B$13)</x:f>
        <x:v>2450.88</x:v>
      </x:c>
      <x:c r="AG16" s="23" t="n">
        <x:f>IF($A16="","",AD16*H16*I16)</x:f>
        <x:v>1598.4</x:v>
      </x:c>
      <x:c r="AH16" s="24" t="n">
        <x:f>IF($A16="","",SUM(AD16:AE16,AG16)*SUM(Settings!$B$11:$B$12))</x:f>
        <x:v>9057.6</x:v>
      </x:c>
      <x:c r="AI16" s="24" t="n">
        <x:f>IF($A16="","",M16*Settings!$B$16)</x:f>
        <x:v>1523.6100000000001</x:v>
      </x:c>
      <x:c r="AJ16" s="24" t="n">
        <x:f>IF($A16="","",M16*Settings!$B$15)</x:f>
        <x:v>186.39000000000001</x:v>
      </x:c>
      <x:c r="AK16" s="24" t="n">
        <x:f>IF($A16="","",O16*Settings!$B$18)</x:f>
        <x:v>0</x:v>
      </x:c>
      <x:c r="AL16" s="24" t="n">
        <x:f>IF($A16="","",P16*Settings!$B$20+Q16*Settings!$B$21+R16*Settings!$B$22+S16*Settings!$B$23)</x:f>
        <x:v>2184.76</x:v>
      </x:c>
      <x:c r="AM16" s="24" t="n">
        <x:f>IF($A16="","",T16*Settings!$B$24)</x:f>
        <x:v>40</x:v>
      </x:c>
      <x:c r="AN16" s="23" t="n">
        <x:f>IF($A16="","",SUM(AI16,N16,AK16:AM16,U16))</x:f>
        <x:v>3948.3700000000003</x:v>
      </x:c>
      <x:c r="AO16" s="23" t="n">
        <x:f>IF($A16="","",SUM(AD16:AI16,N16,AK16:AM16,U16))</x:f>
        <x:v>51687.25</x:v>
      </x:c>
      <x:c r="AP16" s="24" t="n">
        <x:f>IF($A16="","",G16*F16*AB16*((13-Settings!$B$9)*(1+H16*I16)+J16)*(1+SUM(Settings!$B$11:$B$12)))</x:f>
        <x:v>1043.9550000000002</x:v>
      </x:c>
      <x:c r="AQ16" s="23" t="n">
        <x:f>IF($A16="","",SUM(AO16:AP16))</x:f>
        <x:v>52731.205</x:v>
      </x:c>
      <x:c r="AR16" s="23" t="n">
        <x:f>IF($A16="","",AQ16-X16)</x:f>
        <x:v>-768.7949999999983</x:v>
      </x:c>
      <x:c r="AS16" s="22" t="n">
        <x:f>IF($A16="","",IF(W16=0,"n.a.",V16/W16))</x:f>
        <x:v>0.03804347826086957</x:v>
      </x:c>
      <x:c r="AT16" s="26" t="str">
        <x:f>IF($A16="",IF(COUNTA(B16:Y16)&gt;0,"Missing ID",""),IF(COUNTIFS($A$9:$A$508,A16)&gt;1,"Duplicate ID",IF(OR(B16="",C16="",D16="",E16="",COUNT(F16:X16)&lt;&gt;19),"Missing / text input",IF(OR(COUNTIFS(Settings!$A$59:$A$64,B16)&lt;&gt;1,COUNTIFS(Settings!$A$29:$A$33,E16)&lt;&gt;1),"Unknown department / grade",IF(OR(F16&lt;=0,F16&gt;1,G16&lt;=0,L16&lt;=0,H16&lt;0,I16&lt;0,J16&lt;0,K16&lt;0,K16&gt;1,MIN(M16:X16)&lt;0,W16=0,V16&gt;W16,M16&gt;W16-V16,P16&gt;8,Q16&gt;4,R16&gt;12,S16&gt;12,T16&gt;1,AB16&lt;0),"Review quantity / rate",IF(OR(N16&gt;Settings!$C$17,AK16&gt;Settings!$C$19),"Review benefit ceiling","OK"))))))</x:f>
        <x:v>OK</x:v>
      </x:c>
    </x:row>
    <x:row r="17" ht="23" customHeight="1">
      <x:c r="A17" s="8" t="str">
        <x:v>BE-0009</x:v>
      </x:c>
      <x:c r="B17" s="8" t="str">
        <x:v>Technology</x:v>
      </x:c>
      <x:c r="C17" s="8" t="str">
        <x:v>Ghent</x:v>
      </x:c>
      <x:c r="D17" s="8" t="str">
        <x:v>Developer</x:v>
      </x:c>
      <x:c r="E17" s="8" t="str">
        <x:v>G2</x:v>
      </x:c>
      <x:c r="F17" s="20" t="n">
        <x:v>1</x:v>
      </x:c>
      <x:c r="G17" s="12" t="n">
        <x:v>3200</x:v>
      </x:c>
      <x:c r="H17" s="21" t="n">
        <x:v>0.05</x:v>
      </x:c>
      <x:c r="I17" s="20" t="n">
        <x:v>1.1</x:v>
      </x:c>
      <x:c r="J17" s="20" t="n">
        <x:v>1</x:v>
      </x:c>
      <x:c r="K17" s="20" t="n">
        <x:v>1</x:v>
      </x:c>
      <x:c r="L17" s="12" t="n">
        <x:v>3200</x:v>
      </x:c>
      <x:c r="M17" s="8" t="n">
        <x:v>213</x:v>
      </x:c>
      <x:c r="N17" s="12" t="n">
        <x:v>250</x:v>
      </x:c>
      <x:c r="O17" s="8" t="n">
        <x:v>0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1</x:v>
      </x:c>
      <x:c r="U17" s="12" t="n">
        <x:v>0</x:v>
      </x:c>
      <x:c r="V17" s="8" t="n">
        <x:v>8</x:v>
      </x:c>
      <x:c r="W17" s="8" t="n">
        <x:v>230</x:v>
      </x:c>
      <x:c r="X17" s="12" t="n">
        <x:v>61900</x:v>
      </x:c>
      <x:c r="Y17" s="21"/>
      <x:c r="Z17" s="24" t="n">
        <x:f>IF($A17="","",INDEX(Settings!$C$29:$C$33,MATCH(E17,Settings!$A$29:$A$33,0)))</x:f>
        <x:v>3300</x:v>
      </x:c>
      <x:c r="AA17" s="22" t="n">
        <x:f>IF($A17="","",G17/Z17)</x:f>
        <x:v>0.9696969696969697</x:v>
      </x:c>
      <x:c r="AB17" s="25" t="n">
        <x:f>IF($A17="","",IF(ISNUMBER(Y17),Y17,Settings!$B$10))</x:f>
        <x:v>0.03</x:v>
      </x:c>
      <x:c r="AC17" s="23" t="n">
        <x:f>IF($A17="","",G17*(1+AB17))</x:f>
        <x:v>3296</x:v>
      </x:c>
      <x:c r="AD17" s="23" t="n">
        <x:f>IF($A17="","",G17*F17*12)</x:f>
        <x:v>38400</x:v>
      </x:c>
      <x:c r="AE17" s="23" t="n">
        <x:f>IF($A17="","",G17*F17*J17)</x:f>
        <x:v>3200</x:v>
      </x:c>
      <x:c r="AF17" s="24" t="n">
        <x:f>IF($A17="","",L17*F17*K17*Settings!$B$13)</x:f>
        <x:v>2944</x:v>
      </x:c>
      <x:c r="AG17" s="23" t="n">
        <x:f>IF($A17="","",AD17*H17*I17)</x:f>
        <x:v>2112</x:v>
      </x:c>
      <x:c r="AH17" s="24" t="n">
        <x:f>IF($A17="","",SUM(AD17:AE17,AG17)*SUM(Settings!$B$11:$B$12))</x:f>
        <x:v>10928</x:v>
      </x:c>
      <x:c r="AI17" s="24" t="n">
        <x:f>IF($A17="","",M17*Settings!$B$16)</x:f>
        <x:v>1897.83</x:v>
      </x:c>
      <x:c r="AJ17" s="24" t="n">
        <x:f>IF($A17="","",M17*Settings!$B$15)</x:f>
        <x:v>232.17000000000002</x:v>
      </x:c>
      <x:c r="AK17" s="24" t="n">
        <x:f>IF($A17="","",O17*Settings!$B$18)</x:f>
        <x:v>0</x:v>
      </x:c>
      <x:c r="AL17" s="24" t="n">
        <x:f>IF($A17="","",P17*Settings!$B$20+Q17*Settings!$B$21+R17*Settings!$B$22+S17*Settings!$B$23)</x:f>
        <x:v>0</x:v>
      </x:c>
      <x:c r="AM17" s="24" t="n">
        <x:f>IF($A17="","",T17*Settings!$B$24)</x:f>
        <x:v>40</x:v>
      </x:c>
      <x:c r="AN17" s="23" t="n">
        <x:f>IF($A17="","",SUM(AI17,N17,AK17:AM17,U17))</x:f>
        <x:v>2187.83</x:v>
      </x:c>
      <x:c r="AO17" s="23" t="n">
        <x:f>IF($A17="","",SUM(AD17:AI17,N17,AK17:AM17,U17))</x:f>
        <x:v>59771.83</x:v>
      </x:c>
      <x:c r="AP17" s="24" t="n">
        <x:f>IF($A17="","",G17*F17*AB17*((13-Settings!$B$9)*(1+H17*I17)+J17)*(1+SUM(Settings!$B$11:$B$12)))</x:f>
        <x:v>1259.4</x:v>
      </x:c>
      <x:c r="AQ17" s="23" t="n">
        <x:f>IF($A17="","",SUM(AO17:AP17))</x:f>
        <x:v>61031.23</x:v>
      </x:c>
      <x:c r="AR17" s="23" t="n">
        <x:f>IF($A17="","",AQ17-X17)</x:f>
        <x:v>-868.7699999999968</x:v>
      </x:c>
      <x:c r="AS17" s="22" t="n">
        <x:f>IF($A17="","",IF(W17=0,"n.a.",V17/W17))</x:f>
        <x:v>0.034782608695652174</x:v>
      </x:c>
      <x:c r="AT17" s="26" t="str">
        <x:f>IF($A17="",IF(COUNTA(B17:Y17)&gt;0,"Missing ID",""),IF(COUNTIFS($A$9:$A$508,A17)&gt;1,"Duplicate ID",IF(OR(B17="",C17="",D17="",E17="",COUNT(F17:X17)&lt;&gt;19),"Missing / text input",IF(OR(COUNTIFS(Settings!$A$59:$A$64,B17)&lt;&gt;1,COUNTIFS(Settings!$A$29:$A$33,E17)&lt;&gt;1),"Unknown department / grade",IF(OR(F17&lt;=0,F17&gt;1,G17&lt;=0,L17&lt;=0,H17&lt;0,I17&lt;0,J17&lt;0,K17&lt;0,K17&gt;1,MIN(M17:X17)&lt;0,W17=0,V17&gt;W17,M17&gt;W17-V17,P17&gt;8,Q17&gt;4,R17&gt;12,S17&gt;12,T17&gt;1,AB17&lt;0),"Review quantity / rate",IF(OR(N17&gt;Settings!$C$17,AK17&gt;Settings!$C$19),"Review benefit ceiling","OK"))))))</x:f>
        <x:v>OK</x:v>
      </x:c>
    </x:row>
    <x:row r="18" ht="23" customHeight="1">
      <x:c r="A18" s="8" t="str">
        <x:v>BE-0010</x:v>
      </x:c>
      <x:c r="B18" s="8" t="str">
        <x:v>Sales</x:v>
      </x:c>
      <x:c r="C18" s="8" t="str">
        <x:v>Brussels</x:v>
      </x:c>
      <x:c r="D18" s="8" t="str">
        <x:v>Account manager</x:v>
      </x:c>
      <x:c r="E18" s="8" t="str">
        <x:v>G2</x:v>
      </x:c>
      <x:c r="F18" s="20" t="n">
        <x:v>0.6</x:v>
      </x:c>
      <x:c r="G18" s="12" t="n">
        <x:v>3420</x:v>
      </x:c>
      <x:c r="H18" s="21" t="n">
        <x:v>0.05</x:v>
      </x:c>
      <x:c r="I18" s="20" t="n">
        <x:v>0.8</x:v>
      </x:c>
      <x:c r="J18" s="20" t="n">
        <x:v>1</x:v>
      </x:c>
      <x:c r="K18" s="20" t="n">
        <x:v>1</x:v>
      </x:c>
      <x:c r="L18" s="12" t="n">
        <x:v>3420</x:v>
      </x:c>
      <x:c r="M18" s="8" t="n">
        <x:v>126</x:v>
      </x:c>
      <x:c r="N18" s="12" t="n">
        <x:v>150</x:v>
      </x:c>
      <x:c r="O18" s="8" t="n">
        <x:v>1290</x:v>
      </x:c>
      <x:c r="P18" s="8" t="n">
        <x:v>8</x:v>
      </x:c>
      <x:c r="Q18" s="8" t="n">
        <x:v>4</x:v>
      </x:c>
      <x:c r="R18" s="8" t="n">
        <x:v>12</x:v>
      </x:c>
      <x:c r="S18" s="8" t="n">
        <x:v>0</x:v>
      </x:c>
      <x:c r="T18" s="8" t="n">
        <x:v>1</x:v>
      </x:c>
      <x:c r="U18" s="12" t="n">
        <x:v>0</x:v>
      </x:c>
      <x:c r="V18" s="8" t="n">
        <x:v>9</x:v>
      </x:c>
      <x:c r="W18" s="8" t="n">
        <x:v>138</x:v>
      </x:c>
      <x:c r="X18" s="12" t="n">
        <x:v>41900</x:v>
      </x:c>
      <x:c r="Y18" s="21"/>
      <x:c r="Z18" s="24" t="n">
        <x:f>IF($A18="","",INDEX(Settings!$C$29:$C$33,MATCH(E18,Settings!$A$29:$A$33,0)))</x:f>
        <x:v>3300</x:v>
      </x:c>
      <x:c r="AA18" s="22" t="n">
        <x:f>IF($A18="","",G18/Z18)</x:f>
        <x:v>1.0363636363636364</x:v>
      </x:c>
      <x:c r="AB18" s="25" t="n">
        <x:f>IF($A18="","",IF(ISNUMBER(Y18),Y18,Settings!$B$10))</x:f>
        <x:v>0.03</x:v>
      </x:c>
      <x:c r="AC18" s="23" t="n">
        <x:f>IF($A18="","",G18*(1+AB18))</x:f>
        <x:v>3522.6</x:v>
      </x:c>
      <x:c r="AD18" s="23" t="n">
        <x:f>IF($A18="","",G18*F18*12)</x:f>
        <x:v>24624</x:v>
      </x:c>
      <x:c r="AE18" s="23" t="n">
        <x:f>IF($A18="","",G18*F18*J18)</x:f>
        <x:v>2052</x:v>
      </x:c>
      <x:c r="AF18" s="24" t="n">
        <x:f>IF($A18="","",L18*F18*K18*Settings!$B$13)</x:f>
        <x:v>1887.8400000000001</x:v>
      </x:c>
      <x:c r="AG18" s="23" t="n">
        <x:f>IF($A18="","",AD18*H18*I18)</x:f>
        <x:v>984.96</x:v>
      </x:c>
      <x:c r="AH18" s="24" t="n">
        <x:f>IF($A18="","",SUM(AD18:AE18,AG18)*SUM(Settings!$B$11:$B$12))</x:f>
        <x:v>6915.24</x:v>
      </x:c>
      <x:c r="AI18" s="24" t="n">
        <x:f>IF($A18="","",M18*Settings!$B$16)</x:f>
        <x:v>1122.66</x:v>
      </x:c>
      <x:c r="AJ18" s="24" t="n">
        <x:f>IF($A18="","",M18*Settings!$B$15)</x:f>
        <x:v>137.34</x:v>
      </x:c>
      <x:c r="AK18" s="24" t="n">
        <x:f>IF($A18="","",O18*Settings!$B$18)</x:f>
        <x:v>477.3</x:v>
      </x:c>
      <x:c r="AL18" s="24" t="n">
        <x:f>IF($A18="","",P18*Settings!$B$20+Q18*Settings!$B$21+R18*Settings!$B$22+S18*Settings!$B$23)</x:f>
        <x:v>2184.76</x:v>
      </x:c>
      <x:c r="AM18" s="24" t="n">
        <x:f>IF($A18="","",T18*Settings!$B$24)</x:f>
        <x:v>40</x:v>
      </x:c>
      <x:c r="AN18" s="23" t="n">
        <x:f>IF($A18="","",SUM(AI18,N18,AK18:AM18,U18))</x:f>
        <x:v>3974.7200000000003</x:v>
      </x:c>
      <x:c r="AO18" s="23" t="n">
        <x:f>IF($A18="","",SUM(AD18:AI18,N18,AK18:AM18,U18))</x:f>
        <x:v>40438.76</x:v>
      </x:c>
      <x:c r="AP18" s="24" t="n">
        <x:f>IF($A18="","",G18*F18*AB18*((13-Settings!$B$9)*(1+H18*I18)+J18)*(1+SUM(Settings!$B$11:$B$12)))</x:f>
        <x:v>797.2019999999999</x:v>
      </x:c>
      <x:c r="AQ18" s="23" t="n">
        <x:f>IF($A18="","",SUM(AO18:AP18))</x:f>
        <x:v>41235.962</x:v>
      </x:c>
      <x:c r="AR18" s="23" t="n">
        <x:f>IF($A18="","",AQ18-X18)</x:f>
        <x:v>-664.0380000000005</x:v>
      </x:c>
      <x:c r="AS18" s="22" t="n">
        <x:f>IF($A18="","",IF(W18=0,"n.a.",V18/W18))</x:f>
        <x:v>0.06521739130434782</x:v>
      </x:c>
      <x:c r="AT18" s="26" t="str">
        <x:f>IF($A18="",IF(COUNTA(B18:Y18)&gt;0,"Missing ID",""),IF(COUNTIFS($A$9:$A$508,A18)&gt;1,"Duplicate ID",IF(OR(B18="",C18="",D18="",E18="",COUNT(F18:X18)&lt;&gt;19),"Missing / text input",IF(OR(COUNTIFS(Settings!$A$59:$A$64,B18)&lt;&gt;1,COUNTIFS(Settings!$A$29:$A$33,E18)&lt;&gt;1),"Unknown department / grade",IF(OR(F18&lt;=0,F18&gt;1,G18&lt;=0,L18&lt;=0,H18&lt;0,I18&lt;0,J18&lt;0,K18&lt;0,K18&gt;1,MIN(M18:X18)&lt;0,W18=0,V18&gt;W18,M18&gt;W18-V18,P18&gt;8,Q18&gt;4,R18&gt;12,S18&gt;12,T18&gt;1,AB18&lt;0),"Review quantity / rate",IF(OR(N18&gt;Settings!$C$17,AK18&gt;Settings!$C$19),"Review benefit ceiling","OK"))))))</x:f>
        <x:v>OK</x:v>
      </x:c>
    </x:row>
    <x:row r="19" ht="23" customHeight="1">
      <x:c r="A19" s="8" t="str">
        <x:v>BE-0011</x:v>
      </x:c>
      <x:c r="B19" s="8" t="str">
        <x:v>Customer Operations</x:v>
      </x:c>
      <x:c r="C19" s="8" t="str">
        <x:v>Antwerp</x:v>
      </x:c>
      <x:c r="D19" s="8" t="str">
        <x:v>Service specialist</x:v>
      </x:c>
      <x:c r="E19" s="8" t="str">
        <x:v>G2</x:v>
      </x:c>
      <x:c r="F19" s="20" t="n">
        <x:v>1</x:v>
      </x:c>
      <x:c r="G19" s="12" t="n">
        <x:v>3310</x:v>
      </x:c>
      <x:c r="H19" s="21" t="n">
        <x:v>0.05</x:v>
      </x:c>
      <x:c r="I19" s="20" t="n">
        <x:v>1</x:v>
      </x:c>
      <x:c r="J19" s="20" t="n">
        <x:v>1</x:v>
      </x:c>
      <x:c r="K19" s="20" t="n">
        <x:v>1</x:v>
      </x:c>
      <x:c r="L19" s="12" t="n">
        <x:v>3310</x:v>
      </x:c>
      <x:c r="M19" s="8" t="n">
        <x:v>211</x:v>
      </x:c>
      <x:c r="N19" s="12" t="n">
        <x:v>250</x:v>
      </x:c>
      <x:c r="O19" s="8" t="n">
        <x:v>0</x:v>
      </x:c>
      <x:c r="P19" s="8" t="n">
        <x:v>8</x:v>
      </x:c>
      <x:c r="Q19" s="8" t="n">
        <x:v>4</x:v>
      </x:c>
      <x:c r="R19" s="8" t="n">
        <x:v>12</x:v>
      </x:c>
      <x:c r="S19" s="8" t="n">
        <x:v>12</x:v>
      </x:c>
      <x:c r="T19" s="8" t="n">
        <x:v>1</x:v>
      </x:c>
      <x:c r="U19" s="12" t="n">
        <x:v>0</x:v>
      </x:c>
      <x:c r="V19" s="8" t="n">
        <x:v>10</x:v>
      </x:c>
      <x:c r="W19" s="8" t="n">
        <x:v>230</x:v>
      </x:c>
      <x:c r="X19" s="12" t="n">
        <x:v>64200</x:v>
      </x:c>
      <x:c r="Y19" s="21"/>
      <x:c r="Z19" s="24" t="n">
        <x:f>IF($A19="","",INDEX(Settings!$C$29:$C$33,MATCH(E19,Settings!$A$29:$A$33,0)))</x:f>
        <x:v>3300</x:v>
      </x:c>
      <x:c r="AA19" s="22" t="n">
        <x:f>IF($A19="","",G19/Z19)</x:f>
        <x:v>1.003030303030303</x:v>
      </x:c>
      <x:c r="AB19" s="25" t="n">
        <x:f>IF($A19="","",IF(ISNUMBER(Y19),Y19,Settings!$B$10))</x:f>
        <x:v>0.03</x:v>
      </x:c>
      <x:c r="AC19" s="23" t="n">
        <x:f>IF($A19="","",G19*(1+AB19))</x:f>
        <x:v>3409.3</x:v>
      </x:c>
      <x:c r="AD19" s="23" t="n">
        <x:f>IF($A19="","",G19*F19*12)</x:f>
        <x:v>39720</x:v>
      </x:c>
      <x:c r="AE19" s="23" t="n">
        <x:f>IF($A19="","",G19*F19*J19)</x:f>
        <x:v>3310</x:v>
      </x:c>
      <x:c r="AF19" s="24" t="n">
        <x:f>IF($A19="","",L19*F19*K19*Settings!$B$13)</x:f>
        <x:v>3045.2000000000003</x:v>
      </x:c>
      <x:c r="AG19" s="23" t="n">
        <x:f>IF($A19="","",AD19*H19*I19)</x:f>
        <x:v>1986</x:v>
      </x:c>
      <x:c r="AH19" s="24" t="n">
        <x:f>IF($A19="","",SUM(AD19:AE19,AG19)*SUM(Settings!$B$11:$B$12))</x:f>
        <x:v>11254</x:v>
      </x:c>
      <x:c r="AI19" s="24" t="n">
        <x:f>IF($A19="","",M19*Settings!$B$16)</x:f>
        <x:v>1880.01</x:v>
      </x:c>
      <x:c r="AJ19" s="24" t="n">
        <x:f>IF($A19="","",M19*Settings!$B$15)</x:f>
        <x:v>229.99</x:v>
      </x:c>
      <x:c r="AK19" s="24" t="n">
        <x:f>IF($A19="","",O19*Settings!$B$18)</x:f>
        <x:v>0</x:v>
      </x:c>
      <x:c r="AL19" s="24" t="n">
        <x:f>IF($A19="","",P19*Settings!$B$20+Q19*Settings!$B$21+R19*Settings!$B$22+S19*Settings!$B$23)</x:f>
        <x:v>2424.76</x:v>
      </x:c>
      <x:c r="AM19" s="24" t="n">
        <x:f>IF($A19="","",T19*Settings!$B$24)</x:f>
        <x:v>40</x:v>
      </x:c>
      <x:c r="AN19" s="23" t="n">
        <x:f>IF($A19="","",SUM(AI19,N19,AK19:AM19,U19))</x:f>
        <x:v>4594.77</x:v>
      </x:c>
      <x:c r="AO19" s="23" t="n">
        <x:f>IF($A19="","",SUM(AD19:AI19,N19,AK19:AM19,U19))</x:f>
        <x:v>63909.97</x:v>
      </x:c>
      <x:c r="AP19" s="24" t="n">
        <x:f>IF($A19="","",G19*F19*AB19*((13-Settings!$B$9)*(1+H19*I19)+J19)*(1+SUM(Settings!$B$11:$B$12)))</x:f>
        <x:v>1297.1062500000003</x:v>
      </x:c>
      <x:c r="AQ19" s="23" t="n">
        <x:f>IF($A19="","",SUM(AO19:AP19))</x:f>
        <x:v>65207.07625</x:v>
      </x:c>
      <x:c r="AR19" s="23" t="n">
        <x:f>IF($A19="","",AQ19-X19)</x:f>
        <x:v>1007.0762499999983</x:v>
      </x:c>
      <x:c r="AS19" s="22" t="n">
        <x:f>IF($A19="","",IF(W19=0,"n.a.",V19/W19))</x:f>
        <x:v>0.043478260869565216</x:v>
      </x:c>
      <x:c r="AT19" s="26" t="str">
        <x:f>IF($A19="",IF(COUNTA(B19:Y19)&gt;0,"Missing ID",""),IF(COUNTIFS($A$9:$A$508,A19)&gt;1,"Duplicate ID",IF(OR(B19="",C19="",D19="",E19="",COUNT(F19:X19)&lt;&gt;19),"Missing / text input",IF(OR(COUNTIFS(Settings!$A$59:$A$64,B19)&lt;&gt;1,COUNTIFS(Settings!$A$29:$A$33,E19)&lt;&gt;1),"Unknown department / grade",IF(OR(F19&lt;=0,F19&gt;1,G19&lt;=0,L19&lt;=0,H19&lt;0,I19&lt;0,J19&lt;0,K19&lt;0,K19&gt;1,MIN(M19:X19)&lt;0,W19=0,V19&gt;W19,M19&gt;W19-V19,P19&gt;8,Q19&gt;4,R19&gt;12,S19&gt;12,T19&gt;1,AB19&lt;0),"Review quantity / rate",IF(OR(N19&gt;Settings!$C$17,AK19&gt;Settings!$C$19),"Review benefit ceiling","OK"))))))</x:f>
        <x:v>OK</x:v>
      </x:c>
    </x:row>
    <x:row r="20" ht="23" customHeight="1">
      <x:c r="A20" s="8" t="str">
        <x:v>BE-0012</x:v>
      </x:c>
      <x:c r="B20" s="8" t="str">
        <x:v>Business Support</x:v>
      </x:c>
      <x:c r="C20" s="8" t="str">
        <x:v>Ghent</x:v>
      </x:c>
      <x:c r="D20" s="8" t="str">
        <x:v>Business specialist</x:v>
      </x:c>
      <x:c r="E20" s="8" t="str">
        <x:v>G2</x:v>
      </x:c>
      <x:c r="F20" s="20" t="n">
        <x:v>1</x:v>
      </x:c>
      <x:c r="G20" s="12" t="n">
        <x:v>3080</x:v>
      </x:c>
      <x:c r="H20" s="21" t="n">
        <x:v>0.05</x:v>
      </x:c>
      <x:c r="I20" s="20" t="n">
        <x:v>1.1</x:v>
      </x:c>
      <x:c r="J20" s="20" t="n">
        <x:v>1</x:v>
      </x:c>
      <x:c r="K20" s="20" t="n">
        <x:v>1</x:v>
      </x:c>
      <x:c r="L20" s="12" t="n">
        <x:v>3080</x:v>
      </x:c>
      <x:c r="M20" s="8" t="n">
        <x:v>210</x:v>
      </x:c>
      <x:c r="N20" s="12" t="n">
        <x:v>250</x:v>
      </x:c>
      <x:c r="O20" s="8" t="n">
        <x:v>0</x:v>
      </x:c>
      <x:c r="P20" s="8" t="n">
        <x:v>8</x:v>
      </x:c>
      <x:c r="Q20" s="8" t="n">
        <x:v>4</x:v>
      </x:c>
      <x:c r="R20" s="8" t="n">
        <x:v>12</x:v>
      </x:c>
      <x:c r="S20" s="8" t="n">
        <x:v>0</x:v>
      </x:c>
      <x:c r="T20" s="8" t="n">
        <x:v>1</x:v>
      </x:c>
      <x:c r="U20" s="12" t="n">
        <x:v>0</x:v>
      </x:c>
      <x:c r="V20" s="8" t="n">
        <x:v>11</x:v>
      </x:c>
      <x:c r="W20" s="8" t="n">
        <x:v>230</x:v>
      </x:c>
      <x:c r="X20" s="12" t="n">
        <x:v>60700</x:v>
      </x:c>
      <x:c r="Y20" s="21" t="n">
        <x:v>0</x:v>
      </x:c>
      <x:c r="Z20" s="24" t="n">
        <x:f>IF($A20="","",INDEX(Settings!$C$29:$C$33,MATCH(E20,Settings!$A$29:$A$33,0)))</x:f>
        <x:v>3300</x:v>
      </x:c>
      <x:c r="AA20" s="22" t="n">
        <x:f>IF($A20="","",G20/Z20)</x:f>
        <x:v>0.9333333333333333</x:v>
      </x:c>
      <x:c r="AB20" s="25" t="n">
        <x:f>IF($A20="","",IF(ISNUMBER(Y20),Y20,Settings!$B$10))</x:f>
        <x:v>0</x:v>
      </x:c>
      <x:c r="AC20" s="23" t="n">
        <x:f>IF($A20="","",G20*(1+AB20))</x:f>
        <x:v>3080</x:v>
      </x:c>
      <x:c r="AD20" s="23" t="n">
        <x:f>IF($A20="","",G20*F20*12)</x:f>
        <x:v>36960</x:v>
      </x:c>
      <x:c r="AE20" s="23" t="n">
        <x:f>IF($A20="","",G20*F20*J20)</x:f>
        <x:v>3080</x:v>
      </x:c>
      <x:c r="AF20" s="24" t="n">
        <x:f>IF($A20="","",L20*F20*K20*Settings!$B$13)</x:f>
        <x:v>2833.6</x:v>
      </x:c>
      <x:c r="AG20" s="23" t="n">
        <x:f>IF($A20="","",AD20*H20*I20)</x:f>
        <x:v>2032.8000000000002</x:v>
      </x:c>
      <x:c r="AH20" s="24" t="n">
        <x:f>IF($A20="","",SUM(AD20:AE20,AG20)*SUM(Settings!$B$11:$B$12))</x:f>
        <x:v>10518.2</x:v>
      </x:c>
      <x:c r="AI20" s="24" t="n">
        <x:f>IF($A20="","",M20*Settings!$B$16)</x:f>
        <x:v>1871.1000000000001</x:v>
      </x:c>
      <x:c r="AJ20" s="24" t="n">
        <x:f>IF($A20="","",M20*Settings!$B$15)</x:f>
        <x:v>228.9</x:v>
      </x:c>
      <x:c r="AK20" s="24" t="n">
        <x:f>IF($A20="","",O20*Settings!$B$18)</x:f>
        <x:v>0</x:v>
      </x:c>
      <x:c r="AL20" s="24" t="n">
        <x:f>IF($A20="","",P20*Settings!$B$20+Q20*Settings!$B$21+R20*Settings!$B$22+S20*Settings!$B$23)</x:f>
        <x:v>2184.76</x:v>
      </x:c>
      <x:c r="AM20" s="24" t="n">
        <x:f>IF($A20="","",T20*Settings!$B$24)</x:f>
        <x:v>40</x:v>
      </x:c>
      <x:c r="AN20" s="23" t="n">
        <x:f>IF($A20="","",SUM(AI20,N20,AK20:AM20,U20))</x:f>
        <x:v>4345.860000000001</x:v>
      </x:c>
      <x:c r="AO20" s="23" t="n">
        <x:f>IF($A20="","",SUM(AD20:AI20,N20,AK20:AM20,U20))</x:f>
        <x:v>59770.46000000001</x:v>
      </x:c>
      <x:c r="AP20" s="24" t="n">
        <x:f>IF($A20="","",G20*F20*AB20*((13-Settings!$B$9)*(1+H20*I20)+J20)*(1+SUM(Settings!$B$11:$B$12)))</x:f>
        <x:v>0</x:v>
      </x:c>
      <x:c r="AQ20" s="23" t="n">
        <x:f>IF($A20="","",SUM(AO20:AP20))</x:f>
        <x:v>59770.46000000001</x:v>
      </x:c>
      <x:c r="AR20" s="23" t="n">
        <x:f>IF($A20="","",AQ20-X20)</x:f>
        <x:v>-929.5399999999936</x:v>
      </x:c>
      <x:c r="AS20" s="22" t="n">
        <x:f>IF($A20="","",IF(W20=0,"n.a.",V20/W20))</x:f>
        <x:v>0.04782608695652174</x:v>
      </x:c>
      <x:c r="AT20" s="26" t="str">
        <x:f>IF($A20="",IF(COUNTA(B20:Y20)&gt;0,"Missing ID",""),IF(COUNTIFS($A$9:$A$508,A20)&gt;1,"Duplicate ID",IF(OR(B20="",C20="",D20="",E20="",COUNT(F20:X20)&lt;&gt;19),"Missing / text input",IF(OR(COUNTIFS(Settings!$A$59:$A$64,B20)&lt;&gt;1,COUNTIFS(Settings!$A$29:$A$33,E20)&lt;&gt;1),"Unknown department / grade",IF(OR(F20&lt;=0,F20&gt;1,G20&lt;=0,L20&lt;=0,H20&lt;0,I20&lt;0,J20&lt;0,K20&lt;0,K20&gt;1,MIN(M20:X20)&lt;0,W20=0,V20&gt;W20,M20&gt;W20-V20,P20&gt;8,Q20&gt;4,R20&gt;12,S20&gt;12,T20&gt;1,AB20&lt;0),"Review quantity / rate",IF(OR(N20&gt;Settings!$C$17,AK20&gt;Settings!$C$19),"Review benefit ceiling","OK"))))))</x:f>
        <x:v>OK</x:v>
      </x:c>
    </x:row>
    <x:row r="21" ht="23" customHeight="1">
      <x:c r="A21" s="8" t="str">
        <x:v>BE-0013</x:v>
      </x:c>
      <x:c r="B21" s="8" t="str">
        <x:v>Finance</x:v>
      </x:c>
      <x:c r="C21" s="8" t="str">
        <x:v>Brussels</x:v>
      </x:c>
      <x:c r="D21" s="8" t="str">
        <x:v>Senior analyst</x:v>
      </x:c>
      <x:c r="E21" s="8" t="str">
        <x:v>G3</x:v>
      </x:c>
      <x:c r="F21" s="20" t="n">
        <x:v>1</x:v>
      </x:c>
      <x:c r="G21" s="12" t="n">
        <x:v>3850</x:v>
      </x:c>
      <x:c r="H21" s="21" t="n">
        <x:v>0.08</x:v>
      </x:c>
      <x:c r="I21" s="20" t="n">
        <x:v>0.8</x:v>
      </x:c>
      <x:c r="J21" s="20" t="n">
        <x:v>1</x:v>
      </x:c>
      <x:c r="K21" s="20" t="n">
        <x:v>1</x:v>
      </x:c>
      <x:c r="L21" s="12" t="n">
        <x:v>3850</x:v>
      </x:c>
      <x:c r="M21" s="8" t="n">
        <x:v>209</x:v>
      </x:c>
      <x:c r="N21" s="12" t="n">
        <x:v>250</x:v>
      </x:c>
      <x:c r="O21" s="8" t="n">
        <x:v>1620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1</x:v>
      </x:c>
      <x:c r="U21" s="12" t="n">
        <x:v>0</x:v>
      </x:c>
      <x:c r="V21" s="8" t="n">
        <x:v>0</x:v>
      </x:c>
      <x:c r="W21" s="8" t="n">
        <x:v>230</x:v>
      </x:c>
      <x:c r="X21" s="12" t="n">
        <x:v>75200</x:v>
      </x:c>
      <x:c r="Y21" s="21"/>
      <x:c r="Z21" s="24" t="n">
        <x:f>IF($A21="","",INDEX(Settings!$C$29:$C$33,MATCH(E21,Settings!$A$29:$A$33,0)))</x:f>
        <x:v>4200</x:v>
      </x:c>
      <x:c r="AA21" s="22" t="n">
        <x:f>IF($A21="","",G21/Z21)</x:f>
        <x:v>0.9166666666666666</x:v>
      </x:c>
      <x:c r="AB21" s="25" t="n">
        <x:f>IF($A21="","",IF(ISNUMBER(Y21),Y21,Settings!$B$10))</x:f>
        <x:v>0.03</x:v>
      </x:c>
      <x:c r="AC21" s="23" t="n">
        <x:f>IF($A21="","",G21*(1+AB21))</x:f>
        <x:v>3965.5</x:v>
      </x:c>
      <x:c r="AD21" s="23" t="n">
        <x:f>IF($A21="","",G21*F21*12)</x:f>
        <x:v>46200</x:v>
      </x:c>
      <x:c r="AE21" s="23" t="n">
        <x:f>IF($A21="","",G21*F21*J21)</x:f>
        <x:v>3850</x:v>
      </x:c>
      <x:c r="AF21" s="24" t="n">
        <x:f>IF($A21="","",L21*F21*K21*Settings!$B$13)</x:f>
        <x:v>3542</x:v>
      </x:c>
      <x:c r="AG21" s="23" t="n">
        <x:f>IF($A21="","",AD21*H21*I21)</x:f>
        <x:v>2956.8</x:v>
      </x:c>
      <x:c r="AH21" s="24" t="n">
        <x:f>IF($A21="","",SUM(AD21:AE21,AG21)*SUM(Settings!$B$11:$B$12))</x:f>
        <x:v>13251.7</x:v>
      </x:c>
      <x:c r="AI21" s="24" t="n">
        <x:f>IF($A21="","",M21*Settings!$B$16)</x:f>
        <x:v>1862.19</x:v>
      </x:c>
      <x:c r="AJ21" s="24" t="n">
        <x:f>IF($A21="","",M21*Settings!$B$15)</x:f>
        <x:v>227.81000000000003</x:v>
      </x:c>
      <x:c r="AK21" s="24" t="n">
        <x:f>IF($A21="","",O21*Settings!$B$18)</x:f>
        <x:v>599.4</x:v>
      </x:c>
      <x:c r="AL21" s="24" t="n">
        <x:f>IF($A21="","",P21*Settings!$B$20+Q21*Settings!$B$21+R21*Settings!$B$22+S21*Settings!$B$23)</x:f>
        <x:v>0</x:v>
      </x:c>
      <x:c r="AM21" s="24" t="n">
        <x:f>IF($A21="","",T21*Settings!$B$24)</x:f>
        <x:v>40</x:v>
      </x:c>
      <x:c r="AN21" s="23" t="n">
        <x:f>IF($A21="","",SUM(AI21,N21,AK21:AM21,U21))</x:f>
        <x:v>2751.59</x:v>
      </x:c>
      <x:c r="AO21" s="23" t="n">
        <x:f>IF($A21="","",SUM(AD21:AI21,N21,AK21:AM21,U21))</x:f>
        <x:v>72552.09</x:v>
      </x:c>
      <x:c r="AP21" s="24" t="n">
        <x:f>IF($A21="","",G21*F21*AB21*((13-Settings!$B$9)*(1+H21*I21)+J21)*(1+SUM(Settings!$B$11:$B$12)))</x:f>
        <x:v>1526.91</x:v>
      </x:c>
      <x:c r="AQ21" s="23" t="n">
        <x:f>IF($A21="","",SUM(AO21:AP21))</x:f>
        <x:v>74079</x:v>
      </x:c>
      <x:c r="AR21" s="23" t="n">
        <x:f>IF($A21="","",AQ21-X21)</x:f>
        <x:v>-1121</x:v>
      </x:c>
      <x:c r="AS21" s="22" t="n">
        <x:f>IF($A21="","",IF(W21=0,"n.a.",V21/W21))</x:f>
        <x:v>0</x:v>
      </x:c>
      <x:c r="AT21" s="26" t="str">
        <x:f>IF($A21="",IF(COUNTA(B21:Y21)&gt;0,"Missing ID",""),IF(COUNTIFS($A$9:$A$508,A21)&gt;1,"Duplicate ID",IF(OR(B21="",C21="",D21="",E21="",COUNT(F21:X21)&lt;&gt;19),"Missing / text input",IF(OR(COUNTIFS(Settings!$A$59:$A$64,B21)&lt;&gt;1,COUNTIFS(Settings!$A$29:$A$33,E21)&lt;&gt;1),"Unknown department / grade",IF(OR(F21&lt;=0,F21&gt;1,G21&lt;=0,L21&lt;=0,H21&lt;0,I21&lt;0,J21&lt;0,K21&lt;0,K21&gt;1,MIN(M21:X21)&lt;0,W21=0,V21&gt;W21,M21&gt;W21-V21,P21&gt;8,Q21&gt;4,R21&gt;12,S21&gt;12,T21&gt;1,AB21&lt;0),"Review quantity / rate",IF(OR(N21&gt;Settings!$C$17,AK21&gt;Settings!$C$19),"Review benefit ceiling","OK"))))))</x:f>
        <x:v>OK</x:v>
      </x:c>
    </x:row>
    <x:row r="22" ht="23" customHeight="1">
      <x:c r="A22" s="8" t="str">
        <x:v>BE-0014</x:v>
      </x:c>
      <x:c r="B22" s="8" t="str">
        <x:v>People &amp; Culture</x:v>
      </x:c>
      <x:c r="C22" s="8" t="str">
        <x:v>Antwerp</x:v>
      </x:c>
      <x:c r="D22" s="8" t="str">
        <x:v>Reward specialist</x:v>
      </x:c>
      <x:c r="E22" s="8" t="str">
        <x:v>G3</x:v>
      </x:c>
      <x:c r="F22" s="20" t="n">
        <x:v>1</x:v>
      </x:c>
      <x:c r="G22" s="12" t="n">
        <x:v>4280</x:v>
      </x:c>
      <x:c r="H22" s="21" t="n">
        <x:v>0.08</x:v>
      </x:c>
      <x:c r="I22" s="20" t="n">
        <x:v>1</x:v>
      </x:c>
      <x:c r="J22" s="20" t="n">
        <x:v>1</x:v>
      </x:c>
      <x:c r="K22" s="20" t="n">
        <x:v>1</x:v>
      </x:c>
      <x:c r="L22" s="12" t="n">
        <x:v>4280</x:v>
      </x:c>
      <x:c r="M22" s="8" t="n">
        <x:v>208</x:v>
      </x:c>
      <x:c r="N22" s="12" t="n">
        <x:v>250</x:v>
      </x:c>
      <x:c r="O22" s="8" t="n">
        <x:v>0</x:v>
      </x:c>
      <x:c r="P22" s="8" t="n">
        <x:v>8</x:v>
      </x:c>
      <x:c r="Q22" s="8" t="n">
        <x:v>4</x:v>
      </x:c>
      <x:c r="R22" s="8" t="n">
        <x:v>12</x:v>
      </x:c>
      <x:c r="S22" s="8" t="n">
        <x:v>0</x:v>
      </x:c>
      <x:c r="T22" s="8" t="n">
        <x:v>1</x:v>
      </x:c>
      <x:c r="U22" s="12" t="n">
        <x:v>0</x:v>
      </x:c>
      <x:c r="V22" s="8" t="n">
        <x:v>1</x:v>
      </x:c>
      <x:c r="W22" s="8" t="n">
        <x:v>230</x:v>
      </x:c>
      <x:c r="X22" s="12" t="n">
        <x:v>85900</x:v>
      </x:c>
      <x:c r="Y22" s="21"/>
      <x:c r="Z22" s="24" t="n">
        <x:f>IF($A22="","",INDEX(Settings!$C$29:$C$33,MATCH(E22,Settings!$A$29:$A$33,0)))</x:f>
        <x:v>4200</x:v>
      </x:c>
      <x:c r="AA22" s="22" t="n">
        <x:f>IF($A22="","",G22/Z22)</x:f>
        <x:v>1.019047619047619</x:v>
      </x:c>
      <x:c r="AB22" s="25" t="n">
        <x:f>IF($A22="","",IF(ISNUMBER(Y22),Y22,Settings!$B$10))</x:f>
        <x:v>0.03</x:v>
      </x:c>
      <x:c r="AC22" s="23" t="n">
        <x:f>IF($A22="","",G22*(1+AB22))</x:f>
        <x:v>4408.400000000001</x:v>
      </x:c>
      <x:c r="AD22" s="23" t="n">
        <x:f>IF($A22="","",G22*F22*12)</x:f>
        <x:v>51360</x:v>
      </x:c>
      <x:c r="AE22" s="23" t="n">
        <x:f>IF($A22="","",G22*F22*J22)</x:f>
        <x:v>4280</x:v>
      </x:c>
      <x:c r="AF22" s="24" t="n">
        <x:f>IF($A22="","",L22*F22*K22*Settings!$B$13)</x:f>
        <x:v>3937.6000000000004</x:v>
      </x:c>
      <x:c r="AG22" s="23" t="n">
        <x:f>IF($A22="","",AD22*H22*I22)</x:f>
        <x:v>4108.8</x:v>
      </x:c>
      <x:c r="AH22" s="24" t="n">
        <x:f>IF($A22="","",SUM(AD22:AE22,AG22)*SUM(Settings!$B$11:$B$12))</x:f>
        <x:v>14937.2</x:v>
      </x:c>
      <x:c r="AI22" s="24" t="n">
        <x:f>IF($A22="","",M22*Settings!$B$16)</x:f>
        <x:v>1853.28</x:v>
      </x:c>
      <x:c r="AJ22" s="24" t="n">
        <x:f>IF($A22="","",M22*Settings!$B$15)</x:f>
        <x:v>226.72000000000003</x:v>
      </x:c>
      <x:c r="AK22" s="24" t="n">
        <x:f>IF($A22="","",O22*Settings!$B$18)</x:f>
        <x:v>0</x:v>
      </x:c>
      <x:c r="AL22" s="24" t="n">
        <x:f>IF($A22="","",P22*Settings!$B$20+Q22*Settings!$B$21+R22*Settings!$B$22+S22*Settings!$B$23)</x:f>
        <x:v>2184.76</x:v>
      </x:c>
      <x:c r="AM22" s="24" t="n">
        <x:f>IF($A22="","",T22*Settings!$B$24)</x:f>
        <x:v>40</x:v>
      </x:c>
      <x:c r="AN22" s="23" t="n">
        <x:f>IF($A22="","",SUM(AI22,N22,AK22:AM22,U22))</x:f>
        <x:v>4328.04</x:v>
      </x:c>
      <x:c r="AO22" s="23" t="n">
        <x:f>IF($A22="","",SUM(AD22:AI22,N22,AK22:AM22,U22))</x:f>
        <x:v>82951.64</x:v>
      </x:c>
      <x:c r="AP22" s="24" t="n">
        <x:f>IF($A22="","",G22*F22*AB22*((13-Settings!$B$9)*(1+H22*I22)+J22)*(1+SUM(Settings!$B$11:$B$12)))</x:f>
        <x:v>1720.5600000000002</x:v>
      </x:c>
      <x:c r="AQ22" s="23" t="n">
        <x:f>IF($A22="","",SUM(AO22:AP22))</x:f>
        <x:v>84672.2</x:v>
      </x:c>
      <x:c r="AR22" s="23" t="n">
        <x:f>IF($A22="","",AQ22-X22)</x:f>
        <x:v>-1227.800000000003</x:v>
      </x:c>
      <x:c r="AS22" s="22" t="n">
        <x:f>IF($A22="","",IF(W22=0,"n.a.",V22/W22))</x:f>
        <x:v>0.004347826086956522</x:v>
      </x:c>
      <x:c r="AT22" s="26" t="str">
        <x:f>IF($A22="",IF(COUNTA(B22:Y22)&gt;0,"Missing ID",""),IF(COUNTIFS($A$9:$A$508,A22)&gt;1,"Duplicate ID",IF(OR(B22="",C22="",D22="",E22="",COUNT(F22:X22)&lt;&gt;19),"Missing / text input",IF(OR(COUNTIFS(Settings!$A$59:$A$64,B22)&lt;&gt;1,COUNTIFS(Settings!$A$29:$A$33,E22)&lt;&gt;1),"Unknown department / grade",IF(OR(F22&lt;=0,F22&gt;1,G22&lt;=0,L22&lt;=0,H22&lt;0,I22&lt;0,J22&lt;0,K22&lt;0,K22&gt;1,MIN(M22:X22)&lt;0,W22=0,V22&gt;W22,M22&gt;W22-V22,P22&gt;8,Q22&gt;4,R22&gt;12,S22&gt;12,T22&gt;1,AB22&lt;0),"Review quantity / rate",IF(OR(N22&gt;Settings!$C$17,AK22&gt;Settings!$C$19),"Review benefit ceiling","OK"))))))</x:f>
        <x:v>OK</x:v>
      </x:c>
    </x:row>
    <x:row r="23" ht="23" customHeight="1">
      <x:c r="A23" s="8" t="str">
        <x:v>BE-0015</x:v>
      </x:c>
      <x:c r="B23" s="8" t="str">
        <x:v>Technology</x:v>
      </x:c>
      <x:c r="C23" s="8" t="str">
        <x:v>Ghent</x:v>
      </x:c>
      <x:c r="D23" s="8" t="str">
        <x:v>Senior engineer</x:v>
      </x:c>
      <x:c r="E23" s="8" t="str">
        <x:v>G3</x:v>
      </x:c>
      <x:c r="F23" s="20" t="n">
        <x:v>0.8</x:v>
      </x:c>
      <x:c r="G23" s="12" t="n">
        <x:v>4240</x:v>
      </x:c>
      <x:c r="H23" s="21" t="n">
        <x:v>0.08</x:v>
      </x:c>
      <x:c r="I23" s="20" t="n">
        <x:v>1.1</x:v>
      </x:c>
      <x:c r="J23" s="20" t="n">
        <x:v>1</x:v>
      </x:c>
      <x:c r="K23" s="20" t="n">
        <x:v>1</x:v>
      </x:c>
      <x:c r="L23" s="12" t="n">
        <x:v>4240</x:v>
      </x:c>
      <x:c r="M23" s="8" t="n">
        <x:v>171</x:v>
      </x:c>
      <x:c r="N23" s="12" t="n">
        <x:v>200</x:v>
      </x:c>
      <x:c r="O23" s="8" t="n">
        <x:v>0</x:v>
      </x:c>
      <x:c r="P23" s="8" t="n">
        <x:v>8</x:v>
      </x:c>
      <x:c r="Q23" s="8" t="n">
        <x:v>4</x:v>
      </x:c>
      <x:c r="R23" s="8" t="n">
        <x:v>12</x:v>
      </x:c>
      <x:c r="S23" s="8" t="n">
        <x:v>0</x:v>
      </x:c>
      <x:c r="T23" s="8" t="n">
        <x:v>1</x:v>
      </x:c>
      <x:c r="U23" s="12" t="n">
        <x:v>0</x:v>
      </x:c>
      <x:c r="V23" s="8" t="n">
        <x:v>2</x:v>
      </x:c>
      <x:c r="W23" s="8" t="n">
        <x:v>184</x:v>
      </x:c>
      <x:c r="X23" s="12" t="n">
        <x:v>69100</x:v>
      </x:c>
      <x:c r="Y23" s="21"/>
      <x:c r="Z23" s="24" t="n">
        <x:f>IF($A23="","",INDEX(Settings!$C$29:$C$33,MATCH(E23,Settings!$A$29:$A$33,0)))</x:f>
        <x:v>4200</x:v>
      </x:c>
      <x:c r="AA23" s="22" t="n">
        <x:f>IF($A23="","",G23/Z23)</x:f>
        <x:v>1.0095238095238095</x:v>
      </x:c>
      <x:c r="AB23" s="25" t="n">
        <x:f>IF($A23="","",IF(ISNUMBER(Y23),Y23,Settings!$B$10))</x:f>
        <x:v>0.03</x:v>
      </x:c>
      <x:c r="AC23" s="23" t="n">
        <x:f>IF($A23="","",G23*(1+AB23))</x:f>
        <x:v>4367.2</x:v>
      </x:c>
      <x:c r="AD23" s="23" t="n">
        <x:f>IF($A23="","",G23*F23*12)</x:f>
        <x:v>40704</x:v>
      </x:c>
      <x:c r="AE23" s="23" t="n">
        <x:f>IF($A23="","",G23*F23*J23)</x:f>
        <x:v>3392</x:v>
      </x:c>
      <x:c r="AF23" s="24" t="n">
        <x:f>IF($A23="","",L23*F23*K23*Settings!$B$13)</x:f>
        <x:v>3120.6400000000003</x:v>
      </x:c>
      <x:c r="AG23" s="23" t="n">
        <x:f>IF($A23="","",AD23*H23*I23)</x:f>
        <x:v>3581.9520000000007</x:v>
      </x:c>
      <x:c r="AH23" s="24" t="n">
        <x:f>IF($A23="","",SUM(AD23:AE23,AG23)*SUM(Settings!$B$11:$B$12))</x:f>
        <x:v>11919.488</x:v>
      </x:c>
      <x:c r="AI23" s="24" t="n">
        <x:f>IF($A23="","",M23*Settings!$B$16)</x:f>
        <x:v>1523.6100000000001</x:v>
      </x:c>
      <x:c r="AJ23" s="24" t="n">
        <x:f>IF($A23="","",M23*Settings!$B$15)</x:f>
        <x:v>186.39000000000001</x:v>
      </x:c>
      <x:c r="AK23" s="24" t="n">
        <x:f>IF($A23="","",O23*Settings!$B$18)</x:f>
        <x:v>0</x:v>
      </x:c>
      <x:c r="AL23" s="24" t="n">
        <x:f>IF($A23="","",P23*Settings!$B$20+Q23*Settings!$B$21+R23*Settings!$B$22+S23*Settings!$B$23)</x:f>
        <x:v>2184.76</x:v>
      </x:c>
      <x:c r="AM23" s="24" t="n">
        <x:f>IF($A23="","",T23*Settings!$B$24)</x:f>
        <x:v>40</x:v>
      </x:c>
      <x:c r="AN23" s="23" t="n">
        <x:f>IF($A23="","",SUM(AI23,N23,AK23:AM23,U23))</x:f>
        <x:v>3948.3700000000003</x:v>
      </x:c>
      <x:c r="AO23" s="23" t="n">
        <x:f>IF($A23="","",SUM(AD23:AI23,N23,AK23:AM23,U23))</x:f>
        <x:v>66666.45</x:v>
      </x:c>
      <x:c r="AP23" s="24" t="n">
        <x:f>IF($A23="","",G23*F23*AB23*((13-Settings!$B$9)*(1+H23*I23)+J23)*(1+SUM(Settings!$B$11:$B$12)))</x:f>
        <x:v>1372.7424</x:v>
      </x:c>
      <x:c r="AQ23" s="23" t="n">
        <x:f>IF($A23="","",SUM(AO23:AP23))</x:f>
        <x:v>68039.1924</x:v>
      </x:c>
      <x:c r="AR23" s="23" t="n">
        <x:f>IF($A23="","",AQ23-X23)</x:f>
        <x:v>-1060.8076</x:v>
      </x:c>
      <x:c r="AS23" s="22" t="n">
        <x:f>IF($A23="","",IF(W23=0,"n.a.",V23/W23))</x:f>
        <x:v>0.010869565217391304</x:v>
      </x:c>
      <x:c r="AT23" s="26" t="str">
        <x:f>IF($A23="",IF(COUNTA(B23:Y23)&gt;0,"Missing ID",""),IF(COUNTIFS($A$9:$A$508,A23)&gt;1,"Duplicate ID",IF(OR(B23="",C23="",D23="",E23="",COUNT(F23:X23)&lt;&gt;19),"Missing / text input",IF(OR(COUNTIFS(Settings!$A$59:$A$64,B23)&lt;&gt;1,COUNTIFS(Settings!$A$29:$A$33,E23)&lt;&gt;1),"Unknown department / grade",IF(OR(F23&lt;=0,F23&gt;1,G23&lt;=0,L23&lt;=0,H23&lt;0,I23&lt;0,J23&lt;0,K23&lt;0,K23&gt;1,MIN(M23:X23)&lt;0,W23=0,V23&gt;W23,M23&gt;W23-V23,P23&gt;8,Q23&gt;4,R23&gt;12,S23&gt;12,T23&gt;1,AB23&lt;0),"Review quantity / rate",IF(OR(N23&gt;Settings!$C$17,AK23&gt;Settings!$C$19),"Review benefit ceiling","OK"))))))</x:f>
        <x:v>OK</x:v>
      </x:c>
    </x:row>
    <x:row r="24" ht="23" customHeight="1">
      <x:c r="A24" s="8" t="str">
        <x:v>BE-0016</x:v>
      </x:c>
      <x:c r="B24" s="8" t="str">
        <x:v>Sales</x:v>
      </x:c>
      <x:c r="C24" s="8" t="str">
        <x:v>Brussels</x:v>
      </x:c>
      <x:c r="D24" s="8" t="str">
        <x:v>Senior account manager</x:v>
      </x:c>
      <x:c r="E24" s="8" t="str">
        <x:v>G3</x:v>
      </x:c>
      <x:c r="F24" s="20" t="n">
        <x:v>1</x:v>
      </x:c>
      <x:c r="G24" s="12" t="n">
        <x:v>3990</x:v>
      </x:c>
      <x:c r="H24" s="21" t="n">
        <x:v>0.08</x:v>
      </x:c>
      <x:c r="I24" s="20" t="n">
        <x:v>0.8</x:v>
      </x:c>
      <x:c r="J24" s="20" t="n">
        <x:v>1</x:v>
      </x:c>
      <x:c r="K24" s="20" t="n">
        <x:v>1</x:v>
      </x:c>
      <x:c r="L24" s="12" t="n">
        <x:v>3990</x:v>
      </x:c>
      <x:c r="M24" s="8" t="n">
        <x:v>213</x:v>
      </x:c>
      <x:c r="N24" s="12" t="n">
        <x:v>250</x:v>
      </x:c>
      <x:c r="O24" s="8" t="n">
        <x:v>1950</x:v>
      </x:c>
      <x:c r="P24" s="8" t="n">
        <x:v>8</x:v>
      </x:c>
      <x:c r="Q24" s="8" t="n">
        <x:v>4</x:v>
      </x:c>
      <x:c r="R24" s="8" t="n">
        <x:v>12</x:v>
      </x:c>
      <x:c r="S24" s="8" t="n">
        <x:v>12</x:v>
      </x:c>
      <x:c r="T24" s="8" t="n">
        <x:v>1</x:v>
      </x:c>
      <x:c r="U24" s="12" t="n">
        <x:v>0</x:v>
      </x:c>
      <x:c r="V24" s="8" t="n">
        <x:v>3</x:v>
      </x:c>
      <x:c r="W24" s="8" t="n">
        <x:v>230</x:v>
      </x:c>
      <x:c r="X24" s="12" t="n">
        <x:v>78100</x:v>
      </x:c>
      <x:c r="Y24" s="21"/>
      <x:c r="Z24" s="24" t="n">
        <x:f>IF($A24="","",INDEX(Settings!$C$29:$C$33,MATCH(E24,Settings!$A$29:$A$33,0)))</x:f>
        <x:v>4200</x:v>
      </x:c>
      <x:c r="AA24" s="22" t="n">
        <x:f>IF($A24="","",G24/Z24)</x:f>
        <x:v>0.95</x:v>
      </x:c>
      <x:c r="AB24" s="25" t="n">
        <x:f>IF($A24="","",IF(ISNUMBER(Y24),Y24,Settings!$B$10))</x:f>
        <x:v>0.03</x:v>
      </x:c>
      <x:c r="AC24" s="23" t="n">
        <x:f>IF($A24="","",G24*(1+AB24))</x:f>
        <x:v>4109.7</x:v>
      </x:c>
      <x:c r="AD24" s="23" t="n">
        <x:f>IF($A24="","",G24*F24*12)</x:f>
        <x:v>47880</x:v>
      </x:c>
      <x:c r="AE24" s="23" t="n">
        <x:f>IF($A24="","",G24*F24*J24)</x:f>
        <x:v>3990</x:v>
      </x:c>
      <x:c r="AF24" s="24" t="n">
        <x:f>IF($A24="","",L24*F24*K24*Settings!$B$13)</x:f>
        <x:v>3670.8</x:v>
      </x:c>
      <x:c r="AG24" s="23" t="n">
        <x:f>IF($A24="","",AD24*H24*I24)</x:f>
        <x:v>3064.32</x:v>
      </x:c>
      <x:c r="AH24" s="24" t="n">
        <x:f>IF($A24="","",SUM(AD24:AE24,AG24)*SUM(Settings!$B$11:$B$12))</x:f>
        <x:v>13733.58</x:v>
      </x:c>
      <x:c r="AI24" s="24" t="n">
        <x:f>IF($A24="","",M24*Settings!$B$16)</x:f>
        <x:v>1897.83</x:v>
      </x:c>
      <x:c r="AJ24" s="24" t="n">
        <x:f>IF($A24="","",M24*Settings!$B$15)</x:f>
        <x:v>232.17000000000002</x:v>
      </x:c>
      <x:c r="AK24" s="24" t="n">
        <x:f>IF($A24="","",O24*Settings!$B$18)</x:f>
        <x:v>721.5</x:v>
      </x:c>
      <x:c r="AL24" s="24" t="n">
        <x:f>IF($A24="","",P24*Settings!$B$20+Q24*Settings!$B$21+R24*Settings!$B$22+S24*Settings!$B$23)</x:f>
        <x:v>2424.76</x:v>
      </x:c>
      <x:c r="AM24" s="24" t="n">
        <x:f>IF($A24="","",T24*Settings!$B$24)</x:f>
        <x:v>40</x:v>
      </x:c>
      <x:c r="AN24" s="23" t="n">
        <x:f>IF($A24="","",SUM(AI24,N24,AK24:AM24,U24))</x:f>
        <x:v>5334.09</x:v>
      </x:c>
      <x:c r="AO24" s="23" t="n">
        <x:f>IF($A24="","",SUM(AD24:AI24,N24,AK24:AM24,U24))</x:f>
        <x:v>77672.79</x:v>
      </x:c>
      <x:c r="AP24" s="24" t="n">
        <x:f>IF($A24="","",G24*F24*AB24*((13-Settings!$B$9)*(1+H24*I24)+J24)*(1+SUM(Settings!$B$11:$B$12)))</x:f>
        <x:v>1582.4339999999997</x:v>
      </x:c>
      <x:c r="AQ24" s="23" t="n">
        <x:f>IF($A24="","",SUM(AO24:AP24))</x:f>
        <x:v>79255.22399999999</x:v>
      </x:c>
      <x:c r="AR24" s="23" t="n">
        <x:f>IF($A24="","",AQ24-X24)</x:f>
        <x:v>1155.2239999999874</x:v>
      </x:c>
      <x:c r="AS24" s="22" t="n">
        <x:f>IF($A24="","",IF(W24=0,"n.a.",V24/W24))</x:f>
        <x:v>0.013043478260869565</x:v>
      </x:c>
      <x:c r="AT24" s="26" t="str">
        <x:f>IF($A24="",IF(COUNTA(B24:Y24)&gt;0,"Missing ID",""),IF(COUNTIFS($A$9:$A$508,A24)&gt;1,"Duplicate ID",IF(OR(B24="",C24="",D24="",E24="",COUNT(F24:X24)&lt;&gt;19),"Missing / text input",IF(OR(COUNTIFS(Settings!$A$59:$A$64,B24)&lt;&gt;1,COUNTIFS(Settings!$A$29:$A$33,E24)&lt;&gt;1),"Unknown department / grade",IF(OR(F24&lt;=0,F24&gt;1,G24&lt;=0,L24&lt;=0,H24&lt;0,I24&lt;0,J24&lt;0,K24&lt;0,K24&gt;1,MIN(M24:X24)&lt;0,W24=0,V24&gt;W24,M24&gt;W24-V24,P24&gt;8,Q24&gt;4,R24&gt;12,S24&gt;12,T24&gt;1,AB24&lt;0),"Review quantity / rate",IF(OR(N24&gt;Settings!$C$17,AK24&gt;Settings!$C$19),"Review benefit ceiling","OK"))))))</x:f>
        <x:v>OK</x:v>
      </x:c>
    </x:row>
    <x:row r="25" ht="23" customHeight="1">
      <x:c r="A25" s="8" t="str">
        <x:v>BE-0017</x:v>
      </x:c>
      <x:c r="B25" s="8" t="str">
        <x:v>Customer Operations</x:v>
      </x:c>
      <x:c r="C25" s="8" t="str">
        <x:v>Antwerp</x:v>
      </x:c>
      <x:c r="D25" s="8" t="str">
        <x:v>Senior service specialist</x:v>
      </x:c>
      <x:c r="E25" s="8" t="str">
        <x:v>G3</x:v>
      </x:c>
      <x:c r="F25" s="20" t="n">
        <x:v>1</x:v>
      </x:c>
      <x:c r="G25" s="12" t="n">
        <x:v>4340</x:v>
      </x:c>
      <x:c r="H25" s="21" t="n">
        <x:v>0.08</x:v>
      </x:c>
      <x:c r="I25" s="20" t="n">
        <x:v>1</x:v>
      </x:c>
      <x:c r="J25" s="20" t="n">
        <x:v>1</x:v>
      </x:c>
      <x:c r="K25" s="20" t="n">
        <x:v>1</x:v>
      </x:c>
      <x:c r="L25" s="12" t="n">
        <x:v>4340</x:v>
      </x:c>
      <x:c r="M25" s="8" t="n">
        <x:v>212</x:v>
      </x:c>
      <x:c r="N25" s="12" t="n">
        <x:v>250</x:v>
      </x:c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1</x:v>
      </x:c>
      <x:c r="U25" s="12" t="n">
        <x:v>0</x:v>
      </x:c>
      <x:c r="V25" s="8" t="n">
        <x:v>4</x:v>
      </x:c>
      <x:c r="W25" s="8" t="n">
        <x:v>230</x:v>
      </x:c>
      <x:c r="X25" s="12" t="n">
        <x:v>84900</x:v>
      </x:c>
      <x:c r="Y25" s="21"/>
      <x:c r="Z25" s="24" t="n">
        <x:f>IF($A25="","",INDEX(Settings!$C$29:$C$33,MATCH(E25,Settings!$A$29:$A$33,0)))</x:f>
        <x:v>4200</x:v>
      </x:c>
      <x:c r="AA25" s="22" t="n">
        <x:f>IF($A25="","",G25/Z25)</x:f>
        <x:v>1.0333333333333334</x:v>
      </x:c>
      <x:c r="AB25" s="25" t="n">
        <x:f>IF($A25="","",IF(ISNUMBER(Y25),Y25,Settings!$B$10))</x:f>
        <x:v>0.03</x:v>
      </x:c>
      <x:c r="AC25" s="23" t="n">
        <x:f>IF($A25="","",G25*(1+AB25))</x:f>
        <x:v>4470.2</x:v>
      </x:c>
      <x:c r="AD25" s="23" t="n">
        <x:f>IF($A25="","",G25*F25*12)</x:f>
        <x:v>52080</x:v>
      </x:c>
      <x:c r="AE25" s="23" t="n">
        <x:f>IF($A25="","",G25*F25*J25)</x:f>
        <x:v>4340</x:v>
      </x:c>
      <x:c r="AF25" s="24" t="n">
        <x:f>IF($A25="","",L25*F25*K25*Settings!$B$13)</x:f>
        <x:v>3992.8</x:v>
      </x:c>
      <x:c r="AG25" s="23" t="n">
        <x:f>IF($A25="","",AD25*H25*I25)</x:f>
        <x:v>4166.4</x:v>
      </x:c>
      <x:c r="AH25" s="24" t="n">
        <x:f>IF($A25="","",SUM(AD25:AE25,AG25)*SUM(Settings!$B$11:$B$12))</x:f>
        <x:v>15146.6</x:v>
      </x:c>
      <x:c r="AI25" s="24" t="n">
        <x:f>IF($A25="","",M25*Settings!$B$16)</x:f>
        <x:v>1888.92</x:v>
      </x:c>
      <x:c r="AJ25" s="24" t="n">
        <x:f>IF($A25="","",M25*Settings!$B$15)</x:f>
        <x:v>231.08</x:v>
      </x:c>
      <x:c r="AK25" s="24" t="n">
        <x:f>IF($A25="","",O25*Settings!$B$18)</x:f>
        <x:v>0</x:v>
      </x:c>
      <x:c r="AL25" s="24" t="n">
        <x:f>IF($A25="","",P25*Settings!$B$20+Q25*Settings!$B$21+R25*Settings!$B$22+S25*Settings!$B$23)</x:f>
        <x:v>0</x:v>
      </x:c>
      <x:c r="AM25" s="24" t="n">
        <x:f>IF($A25="","",T25*Settings!$B$24)</x:f>
        <x:v>40</x:v>
      </x:c>
      <x:c r="AN25" s="23" t="n">
        <x:f>IF($A25="","",SUM(AI25,N25,AK25:AM25,U25))</x:f>
        <x:v>2178.92</x:v>
      </x:c>
      <x:c r="AO25" s="23" t="n">
        <x:f>IF($A25="","",SUM(AD25:AI25,N25,AK25:AM25,U25))</x:f>
        <x:v>81904.72</x:v>
      </x:c>
      <x:c r="AP25" s="24" t="n">
        <x:f>IF($A25="","",G25*F25*AB25*((13-Settings!$B$9)*(1+H25*I25)+J25)*(1+SUM(Settings!$B$11:$B$12)))</x:f>
        <x:v>1744.6799999999998</x:v>
      </x:c>
      <x:c r="AQ25" s="23" t="n">
        <x:f>IF($A25="","",SUM(AO25:AP25))</x:f>
        <x:v>83649.4</x:v>
      </x:c>
      <x:c r="AR25" s="23" t="n">
        <x:f>IF($A25="","",AQ25-X25)</x:f>
        <x:v>-1250.6000000000058</x:v>
      </x:c>
      <x:c r="AS25" s="22" t="n">
        <x:f>IF($A25="","",IF(W25=0,"n.a.",V25/W25))</x:f>
        <x:v>0.017391304347826087</x:v>
      </x:c>
      <x:c r="AT25" s="26" t="str">
        <x:f>IF($A25="",IF(COUNTA(B25:Y25)&gt;0,"Missing ID",""),IF(COUNTIFS($A$9:$A$508,A25)&gt;1,"Duplicate ID",IF(OR(B25="",C25="",D25="",E25="",COUNT(F25:X25)&lt;&gt;19),"Missing / text input",IF(OR(COUNTIFS(Settings!$A$59:$A$64,B25)&lt;&gt;1,COUNTIFS(Settings!$A$29:$A$33,E25)&lt;&gt;1),"Unknown department / grade",IF(OR(F25&lt;=0,F25&gt;1,G25&lt;=0,L25&lt;=0,H25&lt;0,I25&lt;0,J25&lt;0,K25&lt;0,K25&gt;1,MIN(M25:X25)&lt;0,W25=0,V25&gt;W25,M25&gt;W25-V25,P25&gt;8,Q25&gt;4,R25&gt;12,S25&gt;12,T25&gt;1,AB25&lt;0),"Review quantity / rate",IF(OR(N25&gt;Settings!$C$17,AK25&gt;Settings!$C$19),"Review benefit ceiling","OK"))))))</x:f>
        <x:v>OK</x:v>
      </x:c>
    </x:row>
    <x:row r="26" ht="23" customHeight="1">
      <x:c r="A26" s="8" t="str">
        <x:v>BE-0018</x:v>
      </x:c>
      <x:c r="B26" s="8" t="str">
        <x:v>Business Support</x:v>
      </x:c>
      <x:c r="C26" s="8" t="str">
        <x:v>Ghent</x:v>
      </x:c>
      <x:c r="D26" s="8" t="str">
        <x:v>Support manager</x:v>
      </x:c>
      <x:c r="E26" s="8" t="str">
        <x:v>G4</x:v>
      </x:c>
      <x:c r="F26" s="20" t="n">
        <x:v>1</x:v>
      </x:c>
      <x:c r="G26" s="12" t="n">
        <x:v>5800</x:v>
      </x:c>
      <x:c r="H26" s="21" t="n">
        <x:v>0.12</x:v>
      </x:c>
      <x:c r="I26" s="20" t="n">
        <x:v>1.1</x:v>
      </x:c>
      <x:c r="J26" s="20" t="n">
        <x:v>1</x:v>
      </x:c>
      <x:c r="K26" s="20" t="n">
        <x:v>1</x:v>
      </x:c>
      <x:c r="L26" s="12" t="n">
        <x:v>5800</x:v>
      </x:c>
      <x:c r="M26" s="8" t="n">
        <x:v>211</x:v>
      </x:c>
      <x:c r="N26" s="12" t="n">
        <x:v>250</x:v>
      </x:c>
      <x:c r="O26" s="8" t="n">
        <x:v>0</x:v>
      </x:c>
      <x:c r="P26" s="8" t="n">
        <x:v>8</x:v>
      </x:c>
      <x:c r="Q26" s="8" t="n">
        <x:v>4</x:v>
      </x:c>
      <x:c r="R26" s="8" t="n">
        <x:v>12</x:v>
      </x:c>
      <x:c r="S26" s="8" t="n">
        <x:v>0</x:v>
      </x:c>
      <x:c r="T26" s="8" t="n">
        <x:v>1</x:v>
      </x:c>
      <x:c r="U26" s="12" t="n">
        <x:v>0</x:v>
      </x:c>
      <x:c r="V26" s="8" t="n">
        <x:v>5</x:v>
      </x:c>
      <x:c r="W26" s="8" t="n">
        <x:v>230</x:v>
      </x:c>
      <x:c r="X26" s="12" t="n">
        <x:v>119600</x:v>
      </x:c>
      <x:c r="Y26" s="21"/>
      <x:c r="Z26" s="24" t="n">
        <x:f>IF($A26="","",INDEX(Settings!$C$29:$C$33,MATCH(E26,Settings!$A$29:$A$33,0)))</x:f>
        <x:v>5400</x:v>
      </x:c>
      <x:c r="AA26" s="22" t="n">
        <x:f>IF($A26="","",G26/Z26)</x:f>
        <x:v>1.0740740740740742</x:v>
      </x:c>
      <x:c r="AB26" s="25" t="n">
        <x:f>IF($A26="","",IF(ISNUMBER(Y26),Y26,Settings!$B$10))</x:f>
        <x:v>0.03</x:v>
      </x:c>
      <x:c r="AC26" s="23" t="n">
        <x:f>IF($A26="","",G26*(1+AB26))</x:f>
        <x:v>5974</x:v>
      </x:c>
      <x:c r="AD26" s="23" t="n">
        <x:f>IF($A26="","",G26*F26*12)</x:f>
        <x:v>69600</x:v>
      </x:c>
      <x:c r="AE26" s="23" t="n">
        <x:f>IF($A26="","",G26*F26*J26)</x:f>
        <x:v>5800</x:v>
      </x:c>
      <x:c r="AF26" s="24" t="n">
        <x:f>IF($A26="","",L26*F26*K26*Settings!$B$13)</x:f>
        <x:v>5336</x:v>
      </x:c>
      <x:c r="AG26" s="23" t="n">
        <x:f>IF($A26="","",AD26*H26*I26)</x:f>
        <x:v>9187.2</x:v>
      </x:c>
      <x:c r="AH26" s="24" t="n">
        <x:f>IF($A26="","",SUM(AD26:AE26,AG26)*SUM(Settings!$B$11:$B$12))</x:f>
        <x:v>21146.8</x:v>
      </x:c>
      <x:c r="AI26" s="24" t="n">
        <x:f>IF($A26="","",M26*Settings!$B$16)</x:f>
        <x:v>1880.01</x:v>
      </x:c>
      <x:c r="AJ26" s="24" t="n">
        <x:f>IF($A26="","",M26*Settings!$B$15)</x:f>
        <x:v>229.99</x:v>
      </x:c>
      <x:c r="AK26" s="24" t="n">
        <x:f>IF($A26="","",O26*Settings!$B$18)</x:f>
        <x:v>0</x:v>
      </x:c>
      <x:c r="AL26" s="24" t="n">
        <x:f>IF($A26="","",P26*Settings!$B$20+Q26*Settings!$B$21+R26*Settings!$B$22+S26*Settings!$B$23)</x:f>
        <x:v>2184.76</x:v>
      </x:c>
      <x:c r="AM26" s="24" t="n">
        <x:f>IF($A26="","",T26*Settings!$B$24)</x:f>
        <x:v>40</x:v>
      </x:c>
      <x:c r="AN26" s="23" t="n">
        <x:f>IF($A26="","",SUM(AI26,N26,AK26:AM26,U26))</x:f>
        <x:v>4354.77</x:v>
      </x:c>
      <x:c r="AO26" s="23" t="n">
        <x:f>IF($A26="","",SUM(AD26:AI26,N26,AK26:AM26,U26))</x:f>
        <x:v>115424.76999999999</x:v>
      </x:c>
      <x:c r="AP26" s="24" t="n">
        <x:f>IF($A26="","",G26*F26*AB26*((13-Settings!$B$9)*(1+H26*I26)+J26)*(1+SUM(Settings!$B$11:$B$12)))</x:f>
        <x:v>2433.3900000000003</x:v>
      </x:c>
      <x:c r="AQ26" s="23" t="n">
        <x:f>IF($A26="","",SUM(AO26:AP26))</x:f>
        <x:v>117858.15999999999</x:v>
      </x:c>
      <x:c r="AR26" s="23" t="n">
        <x:f>IF($A26="","",AQ26-X26)</x:f>
        <x:v>-1741.840000000011</x:v>
      </x:c>
      <x:c r="AS26" s="22" t="n">
        <x:f>IF($A26="","",IF(W26=0,"n.a.",V26/W26))</x:f>
        <x:v>0.021739130434782608</x:v>
      </x:c>
      <x:c r="AT26" s="26" t="str">
        <x:f>IF($A26="",IF(COUNTA(B26:Y26)&gt;0,"Missing ID",""),IF(COUNTIFS($A$9:$A$508,A26)&gt;1,"Duplicate ID",IF(OR(B26="",C26="",D26="",E26="",COUNT(F26:X26)&lt;&gt;19),"Missing / text input",IF(OR(COUNTIFS(Settings!$A$59:$A$64,B26)&lt;&gt;1,COUNTIFS(Settings!$A$29:$A$33,E26)&lt;&gt;1),"Unknown department / grade",IF(OR(F26&lt;=0,F26&gt;1,G26&lt;=0,L26&lt;=0,H26&lt;0,I26&lt;0,J26&lt;0,K26&lt;0,K26&gt;1,MIN(M26:X26)&lt;0,W26=0,V26&gt;W26,M26&gt;W26-V26,P26&gt;8,Q26&gt;4,R26&gt;12,S26&gt;12,T26&gt;1,AB26&lt;0),"Review quantity / rate",IF(OR(N26&gt;Settings!$C$17,AK26&gt;Settings!$C$19),"Review benefit ceiling","OK"))))))</x:f>
        <x:v>OK</x:v>
      </x:c>
    </x:row>
    <x:row r="27" ht="23" customHeight="1">
      <x:c r="A27" s="8" t="str">
        <x:v>BE-0019</x:v>
      </x:c>
      <x:c r="B27" s="8" t="str">
        <x:v>Finance</x:v>
      </x:c>
      <x:c r="C27" s="8" t="str">
        <x:v>Brussels</x:v>
      </x:c>
      <x:c r="D27" s="8" t="str">
        <x:v>Finance manager</x:v>
      </x:c>
      <x:c r="E27" s="8" t="str">
        <x:v>G4</x:v>
      </x:c>
      <x:c r="F27" s="20" t="n">
        <x:v>0.6</x:v>
      </x:c>
      <x:c r="G27" s="12" t="n">
        <x:v>4880</x:v>
      </x:c>
      <x:c r="H27" s="21" t="n">
        <x:v>0.12</x:v>
      </x:c>
      <x:c r="I27" s="20" t="n">
        <x:v>0.8</x:v>
      </x:c>
      <x:c r="J27" s="20" t="n">
        <x:v>1</x:v>
      </x:c>
      <x:c r="K27" s="20" t="n">
        <x:v>1</x:v>
      </x:c>
      <x:c r="L27" s="12" t="n">
        <x:v>4880</x:v>
      </x:c>
      <x:c r="M27" s="8" t="n">
        <x:v>124</x:v>
      </x:c>
      <x:c r="N27" s="12" t="n">
        <x:v>150</x:v>
      </x:c>
      <x:c r="O27" s="8" t="n">
        <x:v>2280</x:v>
      </x:c>
      <x:c r="P27" s="8" t="n">
        <x:v>8</x:v>
      </x:c>
      <x:c r="Q27" s="8" t="n">
        <x:v>4</x:v>
      </x:c>
      <x:c r="R27" s="8" t="n">
        <x:v>12</x:v>
      </x:c>
      <x:c r="S27" s="8" t="n">
        <x:v>0</x:v>
      </x:c>
      <x:c r="T27" s="8" t="n">
        <x:v>1</x:v>
      </x:c>
      <x:c r="U27" s="12" t="n">
        <x:v>0</x:v>
      </x:c>
      <x:c r="V27" s="8" t="n">
        <x:v>6</x:v>
      </x:c>
      <x:c r="W27" s="8" t="n">
        <x:v>138</x:v>
      </x:c>
      <x:c r="X27" s="12" t="n">
        <x:v>60900</x:v>
      </x:c>
      <x:c r="Y27" s="21"/>
      <x:c r="Z27" s="24" t="n">
        <x:f>IF($A27="","",INDEX(Settings!$C$29:$C$33,MATCH(E27,Settings!$A$29:$A$33,0)))</x:f>
        <x:v>5400</x:v>
      </x:c>
      <x:c r="AA27" s="22" t="n">
        <x:f>IF($A27="","",G27/Z27)</x:f>
        <x:v>0.9037037037037037</x:v>
      </x:c>
      <x:c r="AB27" s="25" t="n">
        <x:f>IF($A27="","",IF(ISNUMBER(Y27),Y27,Settings!$B$10))</x:f>
        <x:v>0.03</x:v>
      </x:c>
      <x:c r="AC27" s="23" t="n">
        <x:f>IF($A27="","",G27*(1+AB27))</x:f>
        <x:v>5026.400000000001</x:v>
      </x:c>
      <x:c r="AD27" s="23" t="n">
        <x:f>IF($A27="","",G27*F27*12)</x:f>
        <x:v>35136</x:v>
      </x:c>
      <x:c r="AE27" s="23" t="n">
        <x:f>IF($A27="","",G27*F27*J27)</x:f>
        <x:v>2928</x:v>
      </x:c>
      <x:c r="AF27" s="24" t="n">
        <x:f>IF($A27="","",L27*F27*K27*Settings!$B$13)</x:f>
        <x:v>2693.76</x:v>
      </x:c>
      <x:c r="AG27" s="23" t="n">
        <x:f>IF($A27="","",AD27*H27*I27)</x:f>
        <x:v>3373.056</x:v>
      </x:c>
      <x:c r="AH27" s="24" t="n">
        <x:f>IF($A27="","",SUM(AD27:AE27,AG27)*SUM(Settings!$B$11:$B$12))</x:f>
        <x:v>10359.264</x:v>
      </x:c>
      <x:c r="AI27" s="24" t="n">
        <x:f>IF($A27="","",M27*Settings!$B$16)</x:f>
        <x:v>1104.84</x:v>
      </x:c>
      <x:c r="AJ27" s="24" t="n">
        <x:f>IF($A27="","",M27*Settings!$B$15)</x:f>
        <x:v>135.16</x:v>
      </x:c>
      <x:c r="AK27" s="24" t="n">
        <x:f>IF($A27="","",O27*Settings!$B$18)</x:f>
        <x:v>843.6</x:v>
      </x:c>
      <x:c r="AL27" s="24" t="n">
        <x:f>IF($A27="","",P27*Settings!$B$20+Q27*Settings!$B$21+R27*Settings!$B$22+S27*Settings!$B$23)</x:f>
        <x:v>2184.76</x:v>
      </x:c>
      <x:c r="AM27" s="24" t="n">
        <x:f>IF($A27="","",T27*Settings!$B$24)</x:f>
        <x:v>40</x:v>
      </x:c>
      <x:c r="AN27" s="23" t="n">
        <x:f>IF($A27="","",SUM(AI27,N27,AK27:AM27,U27))</x:f>
        <x:v>4323.2</x:v>
      </x:c>
      <x:c r="AO27" s="23" t="n">
        <x:f>IF($A27="","",SUM(AD27:AI27,N27,AK27:AM27,U27))</x:f>
        <x:v>58813.28</x:v>
      </x:c>
      <x:c r="AP27" s="24" t="n">
        <x:f>IF($A27="","",G27*F27*AB27*((13-Settings!$B$9)*(1+H27*I27)+J27)*(1+SUM(Settings!$B$11:$B$12)))</x:f>
        <x:v>1192.8672000000001</x:v>
      </x:c>
      <x:c r="AQ27" s="23" t="n">
        <x:f>IF($A27="","",SUM(AO27:AP27))</x:f>
        <x:v>60006.1472</x:v>
      </x:c>
      <x:c r="AR27" s="23" t="n">
        <x:f>IF($A27="","",AQ27-X27)</x:f>
        <x:v>-893.8528000000006</x:v>
      </x:c>
      <x:c r="AS27" s="22" t="n">
        <x:f>IF($A27="","",IF(W27=0,"n.a.",V27/W27))</x:f>
        <x:v>0.043478260869565216</x:v>
      </x:c>
      <x:c r="AT27" s="26" t="str">
        <x:f>IF($A27="",IF(COUNTA(B27:Y27)&gt;0,"Missing ID",""),IF(COUNTIFS($A$9:$A$508,A27)&gt;1,"Duplicate ID",IF(OR(B27="",C27="",D27="",E27="",COUNT(F27:X27)&lt;&gt;19),"Missing / text input",IF(OR(COUNTIFS(Settings!$A$59:$A$64,B27)&lt;&gt;1,COUNTIFS(Settings!$A$29:$A$33,E27)&lt;&gt;1),"Unknown department / grade",IF(OR(F27&lt;=0,F27&gt;1,G27&lt;=0,L27&lt;=0,H27&lt;0,I27&lt;0,J27&lt;0,K27&lt;0,K27&gt;1,MIN(M27:X27)&lt;0,W27=0,V27&gt;W27,M27&gt;W27-V27,P27&gt;8,Q27&gt;4,R27&gt;12,S27&gt;12,T27&gt;1,AB27&lt;0),"Review quantity / rate",IF(OR(N27&gt;Settings!$C$17,AK27&gt;Settings!$C$19),"Review benefit ceiling","OK"))))))</x:f>
        <x:v>OK</x:v>
      </x:c>
    </x:row>
    <x:row r="28" ht="23" customHeight="1">
      <x:c r="A28" s="8" t="str">
        <x:v>BE-0020</x:v>
      </x:c>
      <x:c r="B28" s="8" t="str">
        <x:v>People &amp; Culture</x:v>
      </x:c>
      <x:c r="C28" s="8" t="str">
        <x:v>Antwerp</x:v>
      </x:c>
      <x:c r="D28" s="8" t="str">
        <x:v>Head of People</x:v>
      </x:c>
      <x:c r="E28" s="8" t="str">
        <x:v>G5</x:v>
      </x:c>
      <x:c r="F28" s="20" t="n">
        <x:v>1</x:v>
      </x:c>
      <x:c r="G28" s="12" t="n">
        <x:v>7700</x:v>
      </x:c>
      <x:c r="H28" s="21" t="n">
        <x:v>0.18</x:v>
      </x:c>
      <x:c r="I28" s="20" t="n">
        <x:v>1</x:v>
      </x:c>
      <x:c r="J28" s="20" t="n">
        <x:v>1</x:v>
      </x:c>
      <x:c r="K28" s="20" t="n">
        <x:v>1</x:v>
      </x:c>
      <x:c r="L28" s="12" t="n">
        <x:v>7700</x:v>
      </x:c>
      <x:c r="M28" s="8" t="n">
        <x:v>209</x:v>
      </x:c>
      <x:c r="N28" s="12" t="n">
        <x:v>250</x:v>
      </x:c>
      <x:c r="O28" s="8" t="n">
        <x:v>0</x:v>
      </x:c>
      <x:c r="P28" s="8" t="n">
        <x:v>8</x:v>
      </x:c>
      <x:c r="Q28" s="8" t="n">
        <x:v>4</x:v>
      </x:c>
      <x:c r="R28" s="8" t="n">
        <x:v>12</x:v>
      </x:c>
      <x:c r="S28" s="8" t="n">
        <x:v>0</x:v>
      </x:c>
      <x:c r="T28" s="8" t="n">
        <x:v>1</x:v>
      </x:c>
      <x:c r="U28" s="12" t="n">
        <x:v>0</x:v>
      </x:c>
      <x:c r="V28" s="8" t="n">
        <x:v>7</x:v>
      </x:c>
      <x:c r="W28" s="8" t="n">
        <x:v>230</x:v>
      </x:c>
      <x:c r="X28" s="12" t="n">
        <x:v>163100</x:v>
      </x:c>
      <x:c r="Y28" s="21"/>
      <x:c r="Z28" s="24" t="n">
        <x:f>IF($A28="","",INDEX(Settings!$C$29:$C$33,MATCH(E28,Settings!$A$29:$A$33,0)))</x:f>
        <x:v>7500</x:v>
      </x:c>
      <x:c r="AA28" s="22" t="n">
        <x:f>IF($A28="","",G28/Z28)</x:f>
        <x:v>1.0266666666666666</x:v>
      </x:c>
      <x:c r="AB28" s="25" t="n">
        <x:f>IF($A28="","",IF(ISNUMBER(Y28),Y28,Settings!$B$10))</x:f>
        <x:v>0.03</x:v>
      </x:c>
      <x:c r="AC28" s="23" t="n">
        <x:f>IF($A28="","",G28*(1+AB28))</x:f>
        <x:v>7931</x:v>
      </x:c>
      <x:c r="AD28" s="23" t="n">
        <x:f>IF($A28="","",G28*F28*12)</x:f>
        <x:v>92400</x:v>
      </x:c>
      <x:c r="AE28" s="23" t="n">
        <x:f>IF($A28="","",G28*F28*J28)</x:f>
        <x:v>7700</x:v>
      </x:c>
      <x:c r="AF28" s="24" t="n">
        <x:f>IF($A28="","",L28*F28*K28*Settings!$B$13)</x:f>
        <x:v>7084</x:v>
      </x:c>
      <x:c r="AG28" s="23" t="n">
        <x:f>IF($A28="","",AD28*H28*I28)</x:f>
        <x:v>16632</x:v>
      </x:c>
      <x:c r="AH28" s="24" t="n">
        <x:f>IF($A28="","",SUM(AD28:AE28,AG28)*SUM(Settings!$B$11:$B$12))</x:f>
        <x:v>29183</x:v>
      </x:c>
      <x:c r="AI28" s="24" t="n">
        <x:f>IF($A28="","",M28*Settings!$B$16)</x:f>
        <x:v>1862.19</x:v>
      </x:c>
      <x:c r="AJ28" s="24" t="n">
        <x:f>IF($A28="","",M28*Settings!$B$15)</x:f>
        <x:v>227.81000000000003</x:v>
      </x:c>
      <x:c r="AK28" s="24" t="n">
        <x:f>IF($A28="","",O28*Settings!$B$18)</x:f>
        <x:v>0</x:v>
      </x:c>
      <x:c r="AL28" s="24" t="n">
        <x:f>IF($A28="","",P28*Settings!$B$20+Q28*Settings!$B$21+R28*Settings!$B$22+S28*Settings!$B$23)</x:f>
        <x:v>2184.76</x:v>
      </x:c>
      <x:c r="AM28" s="24" t="n">
        <x:f>IF($A28="","",T28*Settings!$B$24)</x:f>
        <x:v>40</x:v>
      </x:c>
      <x:c r="AN28" s="23" t="n">
        <x:f>IF($A28="","",SUM(AI28,N28,AK28:AM28,U28))</x:f>
        <x:v>4336.950000000001</x:v>
      </x:c>
      <x:c r="AO28" s="23" t="n">
        <x:f>IF($A28="","",SUM(AD28:AI28,N28,AK28:AM28,U28))</x:f>
        <x:v>157335.95</x:v>
      </x:c>
      <x:c r="AP28" s="24" t="n">
        <x:f>IF($A28="","",G28*F28*AB28*((13-Settings!$B$9)*(1+H28*I28)+J28)*(1+SUM(Settings!$B$11:$B$12)))</x:f>
        <x:v>3355.2749999999996</x:v>
      </x:c>
      <x:c r="AQ28" s="23" t="n">
        <x:f>IF($A28="","",SUM(AO28:AP28))</x:f>
        <x:v>160691.225</x:v>
      </x:c>
      <x:c r="AR28" s="23" t="n">
        <x:f>IF($A28="","",AQ28-X28)</x:f>
        <x:v>-2408.774999999994</x:v>
      </x:c>
      <x:c r="AS28" s="22" t="n">
        <x:f>IF($A28="","",IF(W28=0,"n.a.",V28/W28))</x:f>
        <x:v>0.030434782608695653</x:v>
      </x:c>
      <x:c r="AT28" s="26" t="str">
        <x:f>IF($A28="",IF(COUNTA(B28:Y28)&gt;0,"Missing ID",""),IF(COUNTIFS($A$9:$A$508,A28)&gt;1,"Duplicate ID",IF(OR(B28="",C28="",D28="",E28="",COUNT(F28:X28)&lt;&gt;19),"Missing / text input",IF(OR(COUNTIFS(Settings!$A$59:$A$64,B28)&lt;&gt;1,COUNTIFS(Settings!$A$29:$A$33,E28)&lt;&gt;1),"Unknown department / grade",IF(OR(F28&lt;=0,F28&gt;1,G28&lt;=0,L28&lt;=0,H28&lt;0,I28&lt;0,J28&lt;0,K28&lt;0,K28&gt;1,MIN(M28:X28)&lt;0,W28=0,V28&gt;W28,M28&gt;W28-V28,P28&gt;8,Q28&gt;4,R28&gt;12,S28&gt;12,T28&gt;1,AB28&lt;0),"Review quantity / rate",IF(OR(N28&gt;Settings!$C$17,AK28&gt;Settings!$C$19),"Review benefit ceiling","OK"))))))</x:f>
        <x:v>OK</x:v>
      </x:c>
    </x:row>
    <x:row r="29" ht="23" customHeight="1">
      <x:c r="A29" s="8" t="str">
        <x:v>BE-0021</x:v>
      </x:c>
      <x:c r="B29" s="8" t="str">
        <x:v>Technology</x:v>
      </x:c>
      <x:c r="C29" s="8" t="str">
        <x:v>Ghent</x:v>
      </x:c>
      <x:c r="D29" s="8" t="str">
        <x:v>IT coordinator</x:v>
      </x:c>
      <x:c r="E29" s="8" t="str">
        <x:v>G1</x:v>
      </x:c>
      <x:c r="F29" s="20" t="n">
        <x:v>1</x:v>
      </x:c>
      <x:c r="G29" s="12" t="n">
        <x:v>2960</x:v>
      </x:c>
      <x:c r="H29" s="21" t="n">
        <x:v>0.03</x:v>
      </x:c>
      <x:c r="I29" s="20" t="n">
        <x:v>1.1</x:v>
      </x:c>
      <x:c r="J29" s="20" t="n">
        <x:v>1</x:v>
      </x:c>
      <x:c r="K29" s="20" t="n">
        <x:v>1</x:v>
      </x:c>
      <x:c r="L29" s="12" t="n">
        <x:v>2960</x:v>
      </x:c>
      <x:c r="M29" s="8" t="n">
        <x:v>208</x:v>
      </x:c>
      <x:c r="N29" s="12" t="n">
        <x:v>250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  <x:c r="T29" s="8" t="n">
        <x:v>1</x:v>
      </x:c>
      <x:c r="U29" s="12" t="n">
        <x:v>0</x:v>
      </x:c>
      <x:c r="V29" s="8" t="n">
        <x:v>8</x:v>
      </x:c>
      <x:c r="W29" s="8" t="n">
        <x:v>230</x:v>
      </x:c>
      <x:c r="X29" s="12" t="n">
        <x:v>54700</x:v>
      </x:c>
      <x:c r="Y29" s="21"/>
      <x:c r="Z29" s="24" t="n">
        <x:f>IF($A29="","",INDEX(Settings!$C$29:$C$33,MATCH(E29,Settings!$A$29:$A$33,0)))</x:f>
        <x:v>2700</x:v>
      </x:c>
      <x:c r="AA29" s="22" t="n">
        <x:f>IF($A29="","",G29/Z29)</x:f>
        <x:v>1.0962962962962963</x:v>
      </x:c>
      <x:c r="AB29" s="25" t="n">
        <x:f>IF($A29="","",IF(ISNUMBER(Y29),Y29,Settings!$B$10))</x:f>
        <x:v>0.03</x:v>
      </x:c>
      <x:c r="AC29" s="23" t="n">
        <x:f>IF($A29="","",G29*(1+AB29))</x:f>
        <x:v>3048.8</x:v>
      </x:c>
      <x:c r="AD29" s="23" t="n">
        <x:f>IF($A29="","",G29*F29*12)</x:f>
        <x:v>35520</x:v>
      </x:c>
      <x:c r="AE29" s="23" t="n">
        <x:f>IF($A29="","",G29*F29*J29)</x:f>
        <x:v>2960</x:v>
      </x:c>
      <x:c r="AF29" s="24" t="n">
        <x:f>IF($A29="","",L29*F29*K29*Settings!$B$13)</x:f>
        <x:v>2723.2000000000003</x:v>
      </x:c>
      <x:c r="AG29" s="23" t="n">
        <x:f>IF($A29="","",AD29*H29*I29)</x:f>
        <x:v>1172.16</x:v>
      </x:c>
      <x:c r="AH29" s="24" t="n">
        <x:f>IF($A29="","",SUM(AD29:AE29,AG29)*SUM(Settings!$B$11:$B$12))</x:f>
        <x:v>9913.04</x:v>
      </x:c>
      <x:c r="AI29" s="24" t="n">
        <x:f>IF($A29="","",M29*Settings!$B$16)</x:f>
        <x:v>1853.28</x:v>
      </x:c>
      <x:c r="AJ29" s="24" t="n">
        <x:f>IF($A29="","",M29*Settings!$B$15)</x:f>
        <x:v>226.72000000000003</x:v>
      </x:c>
      <x:c r="AK29" s="24" t="n">
        <x:f>IF($A29="","",O29*Settings!$B$18)</x:f>
        <x:v>0</x:v>
      </x:c>
      <x:c r="AL29" s="24" t="n">
        <x:f>IF($A29="","",P29*Settings!$B$20+Q29*Settings!$B$21+R29*Settings!$B$22+S29*Settings!$B$23)</x:f>
        <x:v>0</x:v>
      </x:c>
      <x:c r="AM29" s="24" t="n">
        <x:f>IF($A29="","",T29*Settings!$B$24)</x:f>
        <x:v>40</x:v>
      </x:c>
      <x:c r="AN29" s="23" t="n">
        <x:f>IF($A29="","",SUM(AI29,N29,AK29:AM29,U29))</x:f>
        <x:v>2143.2799999999997</x:v>
      </x:c>
      <x:c r="AO29" s="23" t="n">
        <x:f>IF($A29="","",SUM(AD29:AI29,N29,AK29:AM29,U29))</x:f>
        <x:v>54431.68</x:v>
      </x:c>
      <x:c r="AP29" s="24" t="n">
        <x:f>IF($A29="","",G29*F29*AB29*((13-Settings!$B$9)*(1+H29*I29)+J29)*(1+SUM(Settings!$B$11:$B$12)))</x:f>
        <x:v>1142.9669999999999</x:v>
      </x:c>
      <x:c r="AQ29" s="23" t="n">
        <x:f>IF($A29="","",SUM(AO29:AP29))</x:f>
        <x:v>55574.647</x:v>
      </x:c>
      <x:c r="AR29" s="23" t="n">
        <x:f>IF($A29="","",AQ29-X29)</x:f>
        <x:v>874.6469999999972</x:v>
      </x:c>
      <x:c r="AS29" s="22" t="n">
        <x:f>IF($A29="","",IF(W29=0,"n.a.",V29/W29))</x:f>
        <x:v>0.034782608695652174</x:v>
      </x:c>
      <x:c r="AT29" s="26" t="str">
        <x:f>IF($A29="",IF(COUNTA(B29:Y29)&gt;0,"Missing ID",""),IF(COUNTIFS($A$9:$A$508,A29)&gt;1,"Duplicate ID",IF(OR(B29="",C29="",D29="",E29="",COUNT(F29:X29)&lt;&gt;19),"Missing / text input",IF(OR(COUNTIFS(Settings!$A$59:$A$64,B29)&lt;&gt;1,COUNTIFS(Settings!$A$29:$A$33,E29)&lt;&gt;1),"Unknown department / grade",IF(OR(F29&lt;=0,F29&gt;1,G29&lt;=0,L29&lt;=0,H29&lt;0,I29&lt;0,J29&lt;0,K29&lt;0,K29&gt;1,MIN(M29:X29)&lt;0,W29=0,V29&gt;W29,M29&gt;W29-V29,P29&gt;8,Q29&gt;4,R29&gt;12,S29&gt;12,T29&gt;1,AB29&lt;0),"Review quantity / rate",IF(OR(N29&gt;Settings!$C$17,AK29&gt;Settings!$C$19),"Review benefit ceiling","OK"))))))</x:f>
        <x:v>OK</x:v>
      </x:c>
    </x:row>
    <x:row r="30" ht="23" customHeight="1">
      <x:c r="A30" s="8" t="str">
        <x:v>BE-0022</x:v>
      </x:c>
      <x:c r="B30" s="8" t="str">
        <x:v>Sales</x:v>
      </x:c>
      <x:c r="C30" s="8" t="str">
        <x:v>Brussels</x:v>
      </x:c>
      <x:c r="D30" s="8" t="str">
        <x:v>Sales coordinator</x:v>
      </x:c>
      <x:c r="E30" s="8" t="str">
        <x:v>G1</x:v>
      </x:c>
      <x:c r="F30" s="20" t="n">
        <x:v>0.8</x:v>
      </x:c>
      <x:c r="G30" s="12" t="n">
        <x:v>2590</x:v>
      </x:c>
      <x:c r="H30" s="21" t="n">
        <x:v>0.03</x:v>
      </x:c>
      <x:c r="I30" s="20" t="n">
        <x:v>0.8</x:v>
      </x:c>
      <x:c r="J30" s="20" t="n">
        <x:v>1</x:v>
      </x:c>
      <x:c r="K30" s="20" t="n">
        <x:v>1</x:v>
      </x:c>
      <x:c r="L30" s="12" t="n">
        <x:v>2590</x:v>
      </x:c>
      <x:c r="M30" s="8" t="n">
        <x:v>171</x:v>
      </x:c>
      <x:c r="N30" s="12" t="n">
        <x:v>200</x:v>
      </x:c>
      <x:c r="O30" s="8" t="n">
        <x:v>520</x:v>
      </x:c>
      <x:c r="P30" s="8" t="n">
        <x:v>8</x:v>
      </x:c>
      <x:c r="Q30" s="8" t="n">
        <x:v>4</x:v>
      </x:c>
      <x:c r="R30" s="8" t="n">
        <x:v>12</x:v>
      </x:c>
      <x:c r="S30" s="8" t="n">
        <x:v>0</x:v>
      </x:c>
      <x:c r="T30" s="8" t="n">
        <x:v>1</x:v>
      </x:c>
      <x:c r="U30" s="12" t="n">
        <x:v>0</x:v>
      </x:c>
      <x:c r="V30" s="8" t="n">
        <x:v>9</x:v>
      </x:c>
      <x:c r="W30" s="8" t="n">
        <x:v>184</x:v>
      </x:c>
      <x:c r="X30" s="12" t="n">
        <x:v>41900</x:v>
      </x:c>
      <x:c r="Y30" s="21"/>
      <x:c r="Z30" s="24" t="n">
        <x:f>IF($A30="","",INDEX(Settings!$C$29:$C$33,MATCH(E30,Settings!$A$29:$A$33,0)))</x:f>
        <x:v>2700</x:v>
      </x:c>
      <x:c r="AA30" s="22" t="n">
        <x:f>IF($A30="","",G30/Z30)</x:f>
        <x:v>0.9592592592592593</x:v>
      </x:c>
      <x:c r="AB30" s="25" t="n">
        <x:f>IF($A30="","",IF(ISNUMBER(Y30),Y30,Settings!$B$10))</x:f>
        <x:v>0.03</x:v>
      </x:c>
      <x:c r="AC30" s="23" t="n">
        <x:f>IF($A30="","",G30*(1+AB30))</x:f>
        <x:v>2667.7000000000003</x:v>
      </x:c>
      <x:c r="AD30" s="23" t="n">
        <x:f>IF($A30="","",G30*F30*12)</x:f>
        <x:v>24864</x:v>
      </x:c>
      <x:c r="AE30" s="23" t="n">
        <x:f>IF($A30="","",G30*F30*J30)</x:f>
        <x:v>2072</x:v>
      </x:c>
      <x:c r="AF30" s="24" t="n">
        <x:f>IF($A30="","",L30*F30*K30*Settings!$B$13)</x:f>
        <x:v>1906.24</x:v>
      </x:c>
      <x:c r="AG30" s="23" t="n">
        <x:f>IF($A30="","",AD30*H30*I30)</x:f>
        <x:v>596.736</x:v>
      </x:c>
      <x:c r="AH30" s="24" t="n">
        <x:f>IF($A30="","",SUM(AD30:AE30,AG30)*SUM(Settings!$B$11:$B$12))</x:f>
        <x:v>6883.184</x:v>
      </x:c>
      <x:c r="AI30" s="24" t="n">
        <x:f>IF($A30="","",M30*Settings!$B$16)</x:f>
        <x:v>1523.6100000000001</x:v>
      </x:c>
      <x:c r="AJ30" s="24" t="n">
        <x:f>IF($A30="","",M30*Settings!$B$15)</x:f>
        <x:v>186.39000000000001</x:v>
      </x:c>
      <x:c r="AK30" s="24" t="n">
        <x:f>IF($A30="","",O30*Settings!$B$18)</x:f>
        <x:v>192.4</x:v>
      </x:c>
      <x:c r="AL30" s="24" t="n">
        <x:f>IF($A30="","",P30*Settings!$B$20+Q30*Settings!$B$21+R30*Settings!$B$22+S30*Settings!$B$23)</x:f>
        <x:v>2184.76</x:v>
      </x:c>
      <x:c r="AM30" s="24" t="n">
        <x:f>IF($A30="","",T30*Settings!$B$24)</x:f>
        <x:v>40</x:v>
      </x:c>
      <x:c r="AN30" s="23" t="n">
        <x:f>IF($A30="","",SUM(AI30,N30,AK30:AM30,U30))</x:f>
        <x:v>4140.77</x:v>
      </x:c>
      <x:c r="AO30" s="23" t="n">
        <x:f>IF($A30="","",SUM(AD30:AI30,N30,AK30:AM30,U30))</x:f>
        <x:v>40462.93000000001</x:v>
      </x:c>
      <x:c r="AP30" s="24" t="n">
        <x:f>IF($A30="","",G30*F30*AB30*((13-Settings!$B$9)*(1+H30*I30)+J30)*(1+SUM(Settings!$B$11:$B$12)))</x:f>
        <x:v>793.7832000000001</x:v>
      </x:c>
      <x:c r="AQ30" s="23" t="n">
        <x:f>IF($A30="","",SUM(AO30:AP30))</x:f>
        <x:v>41256.713200000006</x:v>
      </x:c>
      <x:c r="AR30" s="23" t="n">
        <x:f>IF($A30="","",AQ30-X30)</x:f>
        <x:v>-643.2867999999944</x:v>
      </x:c>
      <x:c r="AS30" s="22" t="n">
        <x:f>IF($A30="","",IF(W30=0,"n.a.",V30/W30))</x:f>
        <x:v>0.04891304347826087</x:v>
      </x:c>
      <x:c r="AT30" s="26" t="str">
        <x:f>IF($A30="",IF(COUNTA(B30:Y30)&gt;0,"Missing ID",""),IF(COUNTIFS($A$9:$A$508,A30)&gt;1,"Duplicate ID",IF(OR(B30="",C30="",D30="",E30="",COUNT(F30:X30)&lt;&gt;19),"Missing / text input",IF(OR(COUNTIFS(Settings!$A$59:$A$64,B30)&lt;&gt;1,COUNTIFS(Settings!$A$29:$A$33,E30)&lt;&gt;1),"Unknown department / grade",IF(OR(F30&lt;=0,F30&gt;1,G30&lt;=0,L30&lt;=0,H30&lt;0,I30&lt;0,J30&lt;0,K30&lt;0,K30&gt;1,MIN(M30:X30)&lt;0,W30=0,V30&gt;W30,M30&gt;W30-V30,P30&gt;8,Q30&gt;4,R30&gt;12,S30&gt;12,T30&gt;1,AB30&lt;0),"Review quantity / rate",IF(OR(N30&gt;Settings!$C$17,AK30&gt;Settings!$C$19),"Review benefit ceiling","OK"))))))</x:f>
        <x:v>OK</x:v>
      </x:c>
    </x:row>
    <x:row r="31" ht="23" customHeight="1">
      <x:c r="A31" s="8" t="str">
        <x:v>BE-0023</x:v>
      </x:c>
      <x:c r="B31" s="8" t="str">
        <x:v>Customer Operations</x:v>
      </x:c>
      <x:c r="C31" s="8" t="str">
        <x:v>Antwerp</x:v>
      </x:c>
      <x:c r="D31" s="8" t="str">
        <x:v>Service administrator</x:v>
      </x:c>
      <x:c r="E31" s="8" t="str">
        <x:v>G1</x:v>
      </x:c>
      <x:c r="F31" s="20" t="n">
        <x:v>1</x:v>
      </x:c>
      <x:c r="G31" s="12" t="n">
        <x:v>2960</x:v>
      </x:c>
      <x:c r="H31" s="21" t="n">
        <x:v>0.03</x:v>
      </x:c>
      <x:c r="I31" s="20" t="n">
        <x:v>1</x:v>
      </x:c>
      <x:c r="J31" s="20" t="n">
        <x:v>1</x:v>
      </x:c>
      <x:c r="K31" s="20" t="n">
        <x:v>1</x:v>
      </x:c>
      <x:c r="L31" s="12" t="n">
        <x:v>2960</x:v>
      </x:c>
      <x:c r="M31" s="8" t="n">
        <x:v>213</x:v>
      </x:c>
      <x:c r="N31" s="12" t="n">
        <x:v>250</x:v>
      </x:c>
      <x:c r="O31" s="8" t="n">
        <x:v>0</x:v>
      </x:c>
      <x:c r="P31" s="8" t="n">
        <x:v>8</x:v>
      </x:c>
      <x:c r="Q31" s="8" t="n">
        <x:v>4</x:v>
      </x:c>
      <x:c r="R31" s="8" t="n">
        <x:v>12</x:v>
      </x:c>
      <x:c r="S31" s="8" t="n">
        <x:v>0</x:v>
      </x:c>
      <x:c r="T31" s="8" t="n">
        <x:v>1</x:v>
      </x:c>
      <x:c r="U31" s="12" t="n">
        <x:v>0</x:v>
      </x:c>
      <x:c r="V31" s="8" t="n">
        <x:v>10</x:v>
      </x:c>
      <x:c r="W31" s="8" t="n">
        <x:v>230</x:v>
      </x:c>
      <x:c r="X31" s="12" t="n">
        <x:v>57400</x:v>
      </x:c>
      <x:c r="Y31" s="21" t="n">
        <x:v>0</x:v>
      </x:c>
      <x:c r="Z31" s="24" t="n">
        <x:f>IF($A31="","",INDEX(Settings!$C$29:$C$33,MATCH(E31,Settings!$A$29:$A$33,0)))</x:f>
        <x:v>2700</x:v>
      </x:c>
      <x:c r="AA31" s="22" t="n">
        <x:f>IF($A31="","",G31/Z31)</x:f>
        <x:v>1.0962962962962963</x:v>
      </x:c>
      <x:c r="AB31" s="25" t="n">
        <x:f>IF($A31="","",IF(ISNUMBER(Y31),Y31,Settings!$B$10))</x:f>
        <x:v>0</x:v>
      </x:c>
      <x:c r="AC31" s="23" t="n">
        <x:f>IF($A31="","",G31*(1+AB31))</x:f>
        <x:v>2960</x:v>
      </x:c>
      <x:c r="AD31" s="23" t="n">
        <x:f>IF($A31="","",G31*F31*12)</x:f>
        <x:v>35520</x:v>
      </x:c>
      <x:c r="AE31" s="23" t="n">
        <x:f>IF($A31="","",G31*F31*J31)</x:f>
        <x:v>2960</x:v>
      </x:c>
      <x:c r="AF31" s="24" t="n">
        <x:f>IF($A31="","",L31*F31*K31*Settings!$B$13)</x:f>
        <x:v>2723.2000000000003</x:v>
      </x:c>
      <x:c r="AG31" s="23" t="n">
        <x:f>IF($A31="","",AD31*H31*I31)</x:f>
        <x:v>1065.6</x:v>
      </x:c>
      <x:c r="AH31" s="24" t="n">
        <x:f>IF($A31="","",SUM(AD31:AE31,AG31)*SUM(Settings!$B$11:$B$12))</x:f>
        <x:v>9886.4</x:v>
      </x:c>
      <x:c r="AI31" s="24" t="n">
        <x:f>IF($A31="","",M31*Settings!$B$16)</x:f>
        <x:v>1897.83</x:v>
      </x:c>
      <x:c r="AJ31" s="24" t="n">
        <x:f>IF($A31="","",M31*Settings!$B$15)</x:f>
        <x:v>232.17000000000002</x:v>
      </x:c>
      <x:c r="AK31" s="24" t="n">
        <x:f>IF($A31="","",O31*Settings!$B$18)</x:f>
        <x:v>0</x:v>
      </x:c>
      <x:c r="AL31" s="24" t="n">
        <x:f>IF($A31="","",P31*Settings!$B$20+Q31*Settings!$B$21+R31*Settings!$B$22+S31*Settings!$B$23)</x:f>
        <x:v>2184.76</x:v>
      </x:c>
      <x:c r="AM31" s="24" t="n">
        <x:f>IF($A31="","",T31*Settings!$B$24)</x:f>
        <x:v>40</x:v>
      </x:c>
      <x:c r="AN31" s="23" t="n">
        <x:f>IF($A31="","",SUM(AI31,N31,AK31:AM31,U31))</x:f>
        <x:v>4372.59</x:v>
      </x:c>
      <x:c r="AO31" s="23" t="n">
        <x:f>IF($A31="","",SUM(AD31:AI31,N31,AK31:AM31,U31))</x:f>
        <x:v>56527.79</x:v>
      </x:c>
      <x:c r="AP31" s="24" t="n">
        <x:f>IF($A31="","",G31*F31*AB31*((13-Settings!$B$9)*(1+H31*I31)+J31)*(1+SUM(Settings!$B$11:$B$12)))</x:f>
        <x:v>0</x:v>
      </x:c>
      <x:c r="AQ31" s="23" t="n">
        <x:f>IF($A31="","",SUM(AO31:AP31))</x:f>
        <x:v>56527.79</x:v>
      </x:c>
      <x:c r="AR31" s="23" t="n">
        <x:f>IF($A31="","",AQ31-X31)</x:f>
        <x:v>-872.2099999999991</x:v>
      </x:c>
      <x:c r="AS31" s="22" t="n">
        <x:f>IF($A31="","",IF(W31=0,"n.a.",V31/W31))</x:f>
        <x:v>0.043478260869565216</x:v>
      </x:c>
      <x:c r="AT31" s="26" t="str">
        <x:f>IF($A31="",IF(COUNTA(B31:Y31)&gt;0,"Missing ID",""),IF(COUNTIFS($A$9:$A$508,A31)&gt;1,"Duplicate ID",IF(OR(B31="",C31="",D31="",E31="",COUNT(F31:X31)&lt;&gt;19),"Missing / text input",IF(OR(COUNTIFS(Settings!$A$59:$A$64,B31)&lt;&gt;1,COUNTIFS(Settings!$A$29:$A$33,E31)&lt;&gt;1),"Unknown department / grade",IF(OR(F31&lt;=0,F31&gt;1,G31&lt;=0,L31&lt;=0,H31&lt;0,I31&lt;0,J31&lt;0,K31&lt;0,K31&gt;1,MIN(M31:X31)&lt;0,W31=0,V31&gt;W31,M31&gt;W31-V31,P31&gt;8,Q31&gt;4,R31&gt;12,S31&gt;12,T31&gt;1,AB31&lt;0),"Review quantity / rate",IF(OR(N31&gt;Settings!$C$17,AK31&gt;Settings!$C$19),"Review benefit ceiling","OK"))))))</x:f>
        <x:v>OK</x:v>
      </x:c>
    </x:row>
    <x:row r="32" ht="23" customHeight="1">
      <x:c r="A32" s="8" t="str">
        <x:v>BE-0024</x:v>
      </x:c>
      <x:c r="B32" s="8" t="str">
        <x:v>Business Support</x:v>
      </x:c>
      <x:c r="C32" s="8" t="str">
        <x:v>Ghent</x:v>
      </x:c>
      <x:c r="D32" s="8" t="str">
        <x:v>Office administrator</x:v>
      </x:c>
      <x:c r="E32" s="8" t="str">
        <x:v>G1</x:v>
      </x:c>
      <x:c r="F32" s="20" t="n">
        <x:v>1</x:v>
      </x:c>
      <x:c r="G32" s="12" t="n">
        <x:v>2950</x:v>
      </x:c>
      <x:c r="H32" s="21" t="n">
        <x:v>0.03</x:v>
      </x:c>
      <x:c r="I32" s="20" t="n">
        <x:v>1.1</x:v>
      </x:c>
      <x:c r="J32" s="20" t="n">
        <x:v>1</x:v>
      </x:c>
      <x:c r="K32" s="20" t="n">
        <x:v>1</x:v>
      </x:c>
      <x:c r="L32" s="12" t="n">
        <x:v>2950</x:v>
      </x:c>
      <x:c r="M32" s="8" t="n">
        <x:v>212</x:v>
      </x:c>
      <x:c r="N32" s="12" t="n">
        <x:v>250</x:v>
      </x:c>
      <x:c r="O32" s="8" t="n">
        <x:v>0</x:v>
      </x:c>
      <x:c r="P32" s="8" t="n">
        <x:v>8</x:v>
      </x:c>
      <x:c r="Q32" s="8" t="n">
        <x:v>4</x:v>
      </x:c>
      <x:c r="R32" s="8" t="n">
        <x:v>12</x:v>
      </x:c>
      <x:c r="S32" s="8" t="n">
        <x:v>0</x:v>
      </x:c>
      <x:c r="T32" s="8" t="n">
        <x:v>1</x:v>
      </x:c>
      <x:c r="U32" s="12" t="n">
        <x:v>0</x:v>
      </x:c>
      <x:c r="V32" s="8" t="n">
        <x:v>11</x:v>
      </x:c>
      <x:c r="W32" s="8" t="n">
        <x:v>230</x:v>
      </x:c>
      <x:c r="X32" s="12" t="n">
        <x:v>58500</x:v>
      </x:c>
      <x:c r="Y32" s="21"/>
      <x:c r="Z32" s="24" t="n">
        <x:f>IF($A32="","",INDEX(Settings!$C$29:$C$33,MATCH(E32,Settings!$A$29:$A$33,0)))</x:f>
        <x:v>2700</x:v>
      </x:c>
      <x:c r="AA32" s="22" t="n">
        <x:f>IF($A32="","",G32/Z32)</x:f>
        <x:v>1.0925925925925926</x:v>
      </x:c>
      <x:c r="AB32" s="25" t="n">
        <x:f>IF($A32="","",IF(ISNUMBER(Y32),Y32,Settings!$B$10))</x:f>
        <x:v>0.03</x:v>
      </x:c>
      <x:c r="AC32" s="23" t="n">
        <x:f>IF($A32="","",G32*(1+AB32))</x:f>
        <x:v>3038.5</x:v>
      </x:c>
      <x:c r="AD32" s="23" t="n">
        <x:f>IF($A32="","",G32*F32*12)</x:f>
        <x:v>35400</x:v>
      </x:c>
      <x:c r="AE32" s="23" t="n">
        <x:f>IF($A32="","",G32*F32*J32)</x:f>
        <x:v>2950</x:v>
      </x:c>
      <x:c r="AF32" s="24" t="n">
        <x:f>IF($A32="","",L32*F32*K32*Settings!$B$13)</x:f>
        <x:v>2714</x:v>
      </x:c>
      <x:c r="AG32" s="23" t="n">
        <x:f>IF($A32="","",AD32*H32*I32)</x:f>
        <x:v>1168.2</x:v>
      </x:c>
      <x:c r="AH32" s="24" t="n">
        <x:f>IF($A32="","",SUM(AD32:AE32,AG32)*SUM(Settings!$B$11:$B$12))</x:f>
        <x:v>9879.55</x:v>
      </x:c>
      <x:c r="AI32" s="24" t="n">
        <x:f>IF($A32="","",M32*Settings!$B$16)</x:f>
        <x:v>1888.92</x:v>
      </x:c>
      <x:c r="AJ32" s="24" t="n">
        <x:f>IF($A32="","",M32*Settings!$B$15)</x:f>
        <x:v>231.08</x:v>
      </x:c>
      <x:c r="AK32" s="24" t="n">
        <x:f>IF($A32="","",O32*Settings!$B$18)</x:f>
        <x:v>0</x:v>
      </x:c>
      <x:c r="AL32" s="24" t="n">
        <x:f>IF($A32="","",P32*Settings!$B$20+Q32*Settings!$B$21+R32*Settings!$B$22+S32*Settings!$B$23)</x:f>
        <x:v>2184.76</x:v>
      </x:c>
      <x:c r="AM32" s="24" t="n">
        <x:f>IF($A32="","",T32*Settings!$B$24)</x:f>
        <x:v>40</x:v>
      </x:c>
      <x:c r="AN32" s="23" t="n">
        <x:f>IF($A32="","",SUM(AI32,N32,AK32:AM32,U32))</x:f>
        <x:v>4363.68</x:v>
      </x:c>
      <x:c r="AO32" s="23" t="n">
        <x:f>IF($A32="","",SUM(AD32:AI32,N32,AK32:AM32,U32))</x:f>
        <x:v>56475.43</x:v>
      </x:c>
      <x:c r="AP32" s="24" t="n">
        <x:f>IF($A32="","",G32*F32*AB32*((13-Settings!$B$9)*(1+H32*I32)+J32)*(1+SUM(Settings!$B$11:$B$12)))</x:f>
        <x:v>1139.105625</x:v>
      </x:c>
      <x:c r="AQ32" s="23" t="n">
        <x:f>IF($A32="","",SUM(AO32:AP32))</x:f>
        <x:v>57614.535625</x:v>
      </x:c>
      <x:c r="AR32" s="23" t="n">
        <x:f>IF($A32="","",AQ32-X32)</x:f>
        <x:v>-885.4643750000032</x:v>
      </x:c>
      <x:c r="AS32" s="22" t="n">
        <x:f>IF($A32="","",IF(W32=0,"n.a.",V32/W32))</x:f>
        <x:v>0.04782608695652174</x:v>
      </x:c>
      <x:c r="AT32" s="26" t="str">
        <x:f>IF($A32="",IF(COUNTA(B32:Y32)&gt;0,"Missing ID",""),IF(COUNTIFS($A$9:$A$508,A32)&gt;1,"Duplicate ID",IF(OR(B32="",C32="",D32="",E32="",COUNT(F32:X32)&lt;&gt;19),"Missing / text input",IF(OR(COUNTIFS(Settings!$A$59:$A$64,B32)&lt;&gt;1,COUNTIFS(Settings!$A$29:$A$33,E32)&lt;&gt;1),"Unknown department / grade",IF(OR(F32&lt;=0,F32&gt;1,G32&lt;=0,L32&lt;=0,H32&lt;0,I32&lt;0,J32&lt;0,K32&lt;0,K32&gt;1,MIN(M32:X32)&lt;0,W32=0,V32&gt;W32,M32&gt;W32-V32,P32&gt;8,Q32&gt;4,R32&gt;12,S32&gt;12,T32&gt;1,AB32&lt;0),"Review quantity / rate",IF(OR(N32&gt;Settings!$C$17,AK32&gt;Settings!$C$19),"Review benefit ceiling","OK"))))))</x:f>
        <x:v>OK</x:v>
      </x:c>
    </x:row>
    <x:row r="33" ht="23" customHeight="1">
      <x:c r="A33" s="8" t="str">
        <x:v>BE-0025</x:v>
      </x:c>
      <x:c r="B33" s="8" t="str">
        <x:v>Finance</x:v>
      </x:c>
      <x:c r="C33" s="8" t="str">
        <x:v>Brussels</x:v>
      </x:c>
      <x:c r="D33" s="8" t="str">
        <x:v>Finance administrator</x:v>
      </x:c>
      <x:c r="E33" s="8" t="str">
        <x:v>G1</x:v>
      </x:c>
      <x:c r="F33" s="20" t="n">
        <x:v>1</x:v>
      </x:c>
      <x:c r="G33" s="12" t="n">
        <x:v>2750</x:v>
      </x:c>
      <x:c r="H33" s="21" t="n">
        <x:v>0.03</x:v>
      </x:c>
      <x:c r="I33" s="20" t="n">
        <x:v>0.8</x:v>
      </x:c>
      <x:c r="J33" s="20" t="n">
        <x:v>1</x:v>
      </x:c>
      <x:c r="K33" s="20" t="n">
        <x:v>1</x:v>
      </x:c>
      <x:c r="L33" s="12" t="n">
        <x:v>2750</x:v>
      </x:c>
      <x:c r="M33" s="8" t="n">
        <x:v>211</x:v>
      </x:c>
      <x:c r="N33" s="12" t="n">
        <x:v>250</x:v>
      </x:c>
      <x:c r="O33" s="8" t="n">
        <x:v>850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  <x:c r="T33" s="8" t="n">
        <x:v>1</x:v>
      </x:c>
      <x:c r="U33" s="12" t="n">
        <x:v>0</x:v>
      </x:c>
      <x:c r="V33" s="8" t="n">
        <x:v>0</x:v>
      </x:c>
      <x:c r="W33" s="8" t="n">
        <x:v>230</x:v>
      </x:c>
      <x:c r="X33" s="12" t="n">
        <x:v>52500</x:v>
      </x:c>
      <x:c r="Y33" s="21"/>
      <x:c r="Z33" s="24" t="n">
        <x:f>IF($A33="","",INDEX(Settings!$C$29:$C$33,MATCH(E33,Settings!$A$29:$A$33,0)))</x:f>
        <x:v>2700</x:v>
      </x:c>
      <x:c r="AA33" s="22" t="n">
        <x:f>IF($A33="","",G33/Z33)</x:f>
        <x:v>1.0185185185185186</x:v>
      </x:c>
      <x:c r="AB33" s="25" t="n">
        <x:f>IF($A33="","",IF(ISNUMBER(Y33),Y33,Settings!$B$10))</x:f>
        <x:v>0.03</x:v>
      </x:c>
      <x:c r="AC33" s="23" t="n">
        <x:f>IF($A33="","",G33*(1+AB33))</x:f>
        <x:v>2832.5</x:v>
      </x:c>
      <x:c r="AD33" s="23" t="n">
        <x:f>IF($A33="","",G33*F33*12)</x:f>
        <x:v>33000</x:v>
      </x:c>
      <x:c r="AE33" s="23" t="n">
        <x:f>IF($A33="","",G33*F33*J33)</x:f>
        <x:v>2750</x:v>
      </x:c>
      <x:c r="AF33" s="24" t="n">
        <x:f>IF($A33="","",L33*F33*K33*Settings!$B$13)</x:f>
        <x:v>2530</x:v>
      </x:c>
      <x:c r="AG33" s="23" t="n">
        <x:f>IF($A33="","",AD33*H33*I33)</x:f>
        <x:v>792</x:v>
      </x:c>
      <x:c r="AH33" s="24" t="n">
        <x:f>IF($A33="","",SUM(AD33:AE33,AG33)*SUM(Settings!$B$11:$B$12))</x:f>
        <x:v>9135.5</x:v>
      </x:c>
      <x:c r="AI33" s="24" t="n">
        <x:f>IF($A33="","",M33*Settings!$B$16)</x:f>
        <x:v>1880.01</x:v>
      </x:c>
      <x:c r="AJ33" s="24" t="n">
        <x:f>IF($A33="","",M33*Settings!$B$15)</x:f>
        <x:v>229.99</x:v>
      </x:c>
      <x:c r="AK33" s="24" t="n">
        <x:f>IF($A33="","",O33*Settings!$B$18)</x:f>
        <x:v>314.5</x:v>
      </x:c>
      <x:c r="AL33" s="24" t="n">
        <x:f>IF($A33="","",P33*Settings!$B$20+Q33*Settings!$B$21+R33*Settings!$B$22+S33*Settings!$B$23)</x:f>
        <x:v>0</x:v>
      </x:c>
      <x:c r="AM33" s="24" t="n">
        <x:f>IF($A33="","",T33*Settings!$B$24)</x:f>
        <x:v>40</x:v>
      </x:c>
      <x:c r="AN33" s="23" t="n">
        <x:f>IF($A33="","",SUM(AI33,N33,AK33:AM33,U33))</x:f>
        <x:v>2484.51</x:v>
      </x:c>
      <x:c r="AO33" s="23" t="n">
        <x:f>IF($A33="","",SUM(AD33:AI33,N33,AK33:AM33,U33))</x:f>
        <x:v>50692.01</x:v>
      </x:c>
      <x:c r="AP33" s="24" t="n">
        <x:f>IF($A33="","",G33*F33*AB33*((13-Settings!$B$9)*(1+H33*I33)+J33)*(1+SUM(Settings!$B$11:$B$12)))</x:f>
        <x:v>1053.525</x:v>
      </x:c>
      <x:c r="AQ33" s="23" t="n">
        <x:f>IF($A33="","",SUM(AO33:AP33))</x:f>
        <x:v>51745.535</x:v>
      </x:c>
      <x:c r="AR33" s="23" t="n">
        <x:f>IF($A33="","",AQ33-X33)</x:f>
        <x:v>-754.4649999999965</x:v>
      </x:c>
      <x:c r="AS33" s="22" t="n">
        <x:f>IF($A33="","",IF(W33=0,"n.a.",V33/W33))</x:f>
        <x:v>0</x:v>
      </x:c>
      <x:c r="AT33" s="26" t="str">
        <x:f>IF($A33="",IF(COUNTA(B33:Y33)&gt;0,"Missing ID",""),IF(COUNTIFS($A$9:$A$508,A33)&gt;1,"Duplicate ID",IF(OR(B33="",C33="",D33="",E33="",COUNT(F33:X33)&lt;&gt;19),"Missing / text input",IF(OR(COUNTIFS(Settings!$A$59:$A$64,B33)&lt;&gt;1,COUNTIFS(Settings!$A$29:$A$33,E33)&lt;&gt;1),"Unknown department / grade",IF(OR(F33&lt;=0,F33&gt;1,G33&lt;=0,L33&lt;=0,H33&lt;0,I33&lt;0,J33&lt;0,K33&lt;0,K33&gt;1,MIN(M33:X33)&lt;0,W33=0,V33&gt;W33,M33&gt;W33-V33,P33&gt;8,Q33&gt;4,R33&gt;12,S33&gt;12,T33&gt;1,AB33&lt;0),"Review quantity / rate",IF(OR(N33&gt;Settings!$C$17,AK33&gt;Settings!$C$19),"Review benefit ceiling","OK"))))))</x:f>
        <x:v>OK</x:v>
      </x:c>
    </x:row>
    <x:row r="34" ht="23" customHeight="1">
      <x:c r="A34" s="8" t="str">
        <x:v>BE-0026</x:v>
      </x:c>
      <x:c r="B34" s="8" t="str">
        <x:v>People &amp; Culture</x:v>
      </x:c>
      <x:c r="C34" s="8" t="str">
        <x:v>Antwerp</x:v>
      </x:c>
      <x:c r="D34" s="8" t="str">
        <x:v>HR specialist</x:v>
      </x:c>
      <x:c r="E34" s="8" t="str">
        <x:v>G2</x:v>
      </x:c>
      <x:c r="F34" s="20" t="n">
        <x:v>1</x:v>
      </x:c>
      <x:c r="G34" s="12" t="n">
        <x:v>2980</x:v>
      </x:c>
      <x:c r="H34" s="21" t="n">
        <x:v>0.05</x:v>
      </x:c>
      <x:c r="I34" s="20" t="n">
        <x:v>1</x:v>
      </x:c>
      <x:c r="J34" s="20" t="n">
        <x:v>1</x:v>
      </x:c>
      <x:c r="K34" s="20" t="n">
        <x:v>1</x:v>
      </x:c>
      <x:c r="L34" s="12" t="n">
        <x:v>2980</x:v>
      </x:c>
      <x:c r="M34" s="8" t="n">
        <x:v>210</x:v>
      </x:c>
      <x:c r="N34" s="12" t="n">
        <x:v>250</x:v>
      </x:c>
      <x:c r="O34" s="8" t="n">
        <x:v>0</x:v>
      </x:c>
      <x:c r="P34" s="8" t="n">
        <x:v>8</x:v>
      </x:c>
      <x:c r="Q34" s="8" t="n">
        <x:v>4</x:v>
      </x:c>
      <x:c r="R34" s="8" t="n">
        <x:v>12</x:v>
      </x:c>
      <x:c r="S34" s="8" t="n">
        <x:v>12</x:v>
      </x:c>
      <x:c r="T34" s="8" t="n">
        <x:v>1</x:v>
      </x:c>
      <x:c r="U34" s="12" t="n">
        <x:v>0</x:v>
      </x:c>
      <x:c r="V34" s="8" t="n">
        <x:v>1</x:v>
      </x:c>
      <x:c r="W34" s="8" t="n">
        <x:v>230</x:v>
      </x:c>
      <x:c r="X34" s="12" t="n">
        <x:v>58300</x:v>
      </x:c>
      <x:c r="Y34" s="21"/>
      <x:c r="Z34" s="24" t="n">
        <x:f>IF($A34="","",INDEX(Settings!$C$29:$C$33,MATCH(E34,Settings!$A$29:$A$33,0)))</x:f>
        <x:v>3300</x:v>
      </x:c>
      <x:c r="AA34" s="22" t="n">
        <x:f>IF($A34="","",G34/Z34)</x:f>
        <x:v>0.9030303030303031</x:v>
      </x:c>
      <x:c r="AB34" s="25" t="n">
        <x:f>IF($A34="","",IF(ISNUMBER(Y34),Y34,Settings!$B$10))</x:f>
        <x:v>0.03</x:v>
      </x:c>
      <x:c r="AC34" s="23" t="n">
        <x:f>IF($A34="","",G34*(1+AB34))</x:f>
        <x:v>3069.4</x:v>
      </x:c>
      <x:c r="AD34" s="23" t="n">
        <x:f>IF($A34="","",G34*F34*12)</x:f>
        <x:v>35760</x:v>
      </x:c>
      <x:c r="AE34" s="23" t="n">
        <x:f>IF($A34="","",G34*F34*J34)</x:f>
        <x:v>2980</x:v>
      </x:c>
      <x:c r="AF34" s="24" t="n">
        <x:f>IF($A34="","",L34*F34*K34*Settings!$B$13)</x:f>
        <x:v>2741.6</x:v>
      </x:c>
      <x:c r="AG34" s="23" t="n">
        <x:f>IF($A34="","",AD34*H34*I34)</x:f>
        <x:v>1788</x:v>
      </x:c>
      <x:c r="AH34" s="24" t="n">
        <x:f>IF($A34="","",SUM(AD34:AE34,AG34)*SUM(Settings!$B$11:$B$12))</x:f>
        <x:v>10132</x:v>
      </x:c>
      <x:c r="AI34" s="24" t="n">
        <x:f>IF($A34="","",M34*Settings!$B$16)</x:f>
        <x:v>1871.1000000000001</x:v>
      </x:c>
      <x:c r="AJ34" s="24" t="n">
        <x:f>IF($A34="","",M34*Settings!$B$15)</x:f>
        <x:v>228.9</x:v>
      </x:c>
      <x:c r="AK34" s="24" t="n">
        <x:f>IF($A34="","",O34*Settings!$B$18)</x:f>
        <x:v>0</x:v>
      </x:c>
      <x:c r="AL34" s="24" t="n">
        <x:f>IF($A34="","",P34*Settings!$B$20+Q34*Settings!$B$21+R34*Settings!$B$22+S34*Settings!$B$23)</x:f>
        <x:v>2424.76</x:v>
      </x:c>
      <x:c r="AM34" s="24" t="n">
        <x:f>IF($A34="","",T34*Settings!$B$24)</x:f>
        <x:v>40</x:v>
      </x:c>
      <x:c r="AN34" s="23" t="n">
        <x:f>IF($A34="","",SUM(AI34,N34,AK34:AM34,U34))</x:f>
        <x:v>4585.860000000001</x:v>
      </x:c>
      <x:c r="AO34" s="23" t="n">
        <x:f>IF($A34="","",SUM(AD34:AI34,N34,AK34:AM34,U34))</x:f>
        <x:v>57987.46</x:v>
      </x:c>
      <x:c r="AP34" s="24" t="n">
        <x:f>IF($A34="","",G34*F34*AB34*((13-Settings!$B$9)*(1+H34*I34)+J34)*(1+SUM(Settings!$B$11:$B$12)))</x:f>
        <x:v>1167.7875</x:v>
      </x:c>
      <x:c r="AQ34" s="23" t="n">
        <x:f>IF($A34="","",SUM(AO34:AP34))</x:f>
        <x:v>59155.2475</x:v>
      </x:c>
      <x:c r="AR34" s="23" t="n">
        <x:f>IF($A34="","",AQ34-X34)</x:f>
        <x:v>855.2474999999977</x:v>
      </x:c>
      <x:c r="AS34" s="22" t="n">
        <x:f>IF($A34="","",IF(W34=0,"n.a.",V34/W34))</x:f>
        <x:v>0.004347826086956522</x:v>
      </x:c>
      <x:c r="AT34" s="26" t="str">
        <x:f>IF($A34="",IF(COUNTA(B34:Y34)&gt;0,"Missing ID",""),IF(COUNTIFS($A$9:$A$508,A34)&gt;1,"Duplicate ID",IF(OR(B34="",C34="",D34="",E34="",COUNT(F34:X34)&lt;&gt;19),"Missing / text input",IF(OR(COUNTIFS(Settings!$A$59:$A$64,B34)&lt;&gt;1,COUNTIFS(Settings!$A$29:$A$33,E34)&lt;&gt;1),"Unknown department / grade",IF(OR(F34&lt;=0,F34&gt;1,G34&lt;=0,L34&lt;=0,H34&lt;0,I34&lt;0,J34&lt;0,K34&lt;0,K34&gt;1,MIN(M34:X34)&lt;0,W34=0,V34&gt;W34,M34&gt;W34-V34,P34&gt;8,Q34&gt;4,R34&gt;12,S34&gt;12,T34&gt;1,AB34&lt;0),"Review quantity / rate",IF(OR(N34&gt;Settings!$C$17,AK34&gt;Settings!$C$19),"Review benefit ceiling","OK"))))))</x:f>
        <x:v>OK</x:v>
      </x:c>
    </x:row>
    <x:row r="35" ht="23" customHeight="1">
      <x:c r="A35" s="8" t="str">
        <x:v>BE-0027</x:v>
      </x:c>
      <x:c r="B35" s="8" t="str">
        <x:v>Technology</x:v>
      </x:c>
      <x:c r="C35" s="8" t="str">
        <x:v>Ghent</x:v>
      </x:c>
      <x:c r="D35" s="8" t="str">
        <x:v>Developer</x:v>
      </x:c>
      <x:c r="E35" s="8" t="str">
        <x:v>G2</x:v>
      </x:c>
      <x:c r="F35" s="20" t="n">
        <x:v>1</x:v>
      </x:c>
      <x:c r="G35" s="12" t="n">
        <x:v>2990</x:v>
      </x:c>
      <x:c r="H35" s="21" t="n">
        <x:v>0.05</x:v>
      </x:c>
      <x:c r="I35" s="20" t="n">
        <x:v>1.1</x:v>
      </x:c>
      <x:c r="J35" s="20" t="n">
        <x:v>1</x:v>
      </x:c>
      <x:c r="K35" s="20" t="n">
        <x:v>1</x:v>
      </x:c>
      <x:c r="L35" s="12" t="n">
        <x:v>2990</x:v>
      </x:c>
      <x:c r="M35" s="8" t="n">
        <x:v>209</x:v>
      </x:c>
      <x:c r="N35" s="12" t="n">
        <x:v>250</x:v>
      </x:c>
      <x:c r="O35" s="8" t="n">
        <x:v>0</x:v>
      </x:c>
      <x:c r="P35" s="8" t="n">
        <x:v>8</x:v>
      </x:c>
      <x:c r="Q35" s="8" t="n">
        <x:v>4</x:v>
      </x:c>
      <x:c r="R35" s="8" t="n">
        <x:v>12</x:v>
      </x:c>
      <x:c r="S35" s="8" t="n">
        <x:v>0</x:v>
      </x:c>
      <x:c r="T35" s="8" t="n">
        <x:v>1</x:v>
      </x:c>
      <x:c r="U35" s="12" t="n">
        <x:v>0</x:v>
      </x:c>
      <x:c r="V35" s="8" t="n">
        <x:v>2</x:v>
      </x:c>
      <x:c r="W35" s="8" t="n">
        <x:v>230</x:v>
      </x:c>
      <x:c r="X35" s="12" t="n">
        <x:v>60200</x:v>
      </x:c>
      <x:c r="Y35" s="21"/>
      <x:c r="Z35" s="24" t="n">
        <x:f>IF($A35="","",INDEX(Settings!$C$29:$C$33,MATCH(E35,Settings!$A$29:$A$33,0)))</x:f>
        <x:v>3300</x:v>
      </x:c>
      <x:c r="AA35" s="22" t="n">
        <x:f>IF($A35="","",G35/Z35)</x:f>
        <x:v>0.906060606060606</x:v>
      </x:c>
      <x:c r="AB35" s="25" t="n">
        <x:f>IF($A35="","",IF(ISNUMBER(Y35),Y35,Settings!$B$10))</x:f>
        <x:v>0.03</x:v>
      </x:c>
      <x:c r="AC35" s="23" t="n">
        <x:f>IF($A35="","",G35*(1+AB35))</x:f>
        <x:v>3079.7000000000003</x:v>
      </x:c>
      <x:c r="AD35" s="23" t="n">
        <x:f>IF($A35="","",G35*F35*12)</x:f>
        <x:v>35880</x:v>
      </x:c>
      <x:c r="AE35" s="23" t="n">
        <x:f>IF($A35="","",G35*F35*J35)</x:f>
        <x:v>2990</x:v>
      </x:c>
      <x:c r="AF35" s="24" t="n">
        <x:f>IF($A35="","",L35*F35*K35*Settings!$B$13)</x:f>
        <x:v>2750.8</x:v>
      </x:c>
      <x:c r="AG35" s="23" t="n">
        <x:f>IF($A35="","",AD35*H35*I35)</x:f>
        <x:v>1973.4</x:v>
      </x:c>
      <x:c r="AH35" s="24" t="n">
        <x:f>IF($A35="","",SUM(AD35:AE35,AG35)*SUM(Settings!$B$11:$B$12))</x:f>
        <x:v>10210.85</x:v>
      </x:c>
      <x:c r="AI35" s="24" t="n">
        <x:f>IF($A35="","",M35*Settings!$B$16)</x:f>
        <x:v>1862.19</x:v>
      </x:c>
      <x:c r="AJ35" s="24" t="n">
        <x:f>IF($A35="","",M35*Settings!$B$15)</x:f>
        <x:v>227.81000000000003</x:v>
      </x:c>
      <x:c r="AK35" s="24" t="n">
        <x:f>IF($A35="","",O35*Settings!$B$18)</x:f>
        <x:v>0</x:v>
      </x:c>
      <x:c r="AL35" s="24" t="n">
        <x:f>IF($A35="","",P35*Settings!$B$20+Q35*Settings!$B$21+R35*Settings!$B$22+S35*Settings!$B$23)</x:f>
        <x:v>2184.76</x:v>
      </x:c>
      <x:c r="AM35" s="24" t="n">
        <x:f>IF($A35="","",T35*Settings!$B$24)</x:f>
        <x:v>40</x:v>
      </x:c>
      <x:c r="AN35" s="23" t="n">
        <x:f>IF($A35="","",SUM(AI35,N35,AK35:AM35,U35))</x:f>
        <x:v>4336.950000000001</x:v>
      </x:c>
      <x:c r="AO35" s="23" t="n">
        <x:f>IF($A35="","",SUM(AD35:AI35,N35,AK35:AM35,U35))</x:f>
        <x:v>58142.00000000001</x:v>
      </x:c>
      <x:c r="AP35" s="24" t="n">
        <x:f>IF($A35="","",G35*F35*AB35*((13-Settings!$B$9)*(1+H35*I35)+J35)*(1+SUM(Settings!$B$11:$B$12)))</x:f>
        <x:v>1176.751875</x:v>
      </x:c>
      <x:c r="AQ35" s="23" t="n">
        <x:f>IF($A35="","",SUM(AO35:AP35))</x:f>
        <x:v>59318.75187500001</x:v>
      </x:c>
      <x:c r="AR35" s="23" t="n">
        <x:f>IF($A35="","",AQ35-X35)</x:f>
        <x:v>-881.248124999991</x:v>
      </x:c>
      <x:c r="AS35" s="22" t="n">
        <x:f>IF($A35="","",IF(W35=0,"n.a.",V35/W35))</x:f>
        <x:v>0.008695652173913044</x:v>
      </x:c>
      <x:c r="AT35" s="26" t="str">
        <x:f>IF($A35="",IF(COUNTA(B35:Y35)&gt;0,"Missing ID",""),IF(COUNTIFS($A$9:$A$508,A35)&gt;1,"Duplicate ID",IF(OR(B35="",C35="",D35="",E35="",COUNT(F35:X35)&lt;&gt;19),"Missing / text input",IF(OR(COUNTIFS(Settings!$A$59:$A$64,B35)&lt;&gt;1,COUNTIFS(Settings!$A$29:$A$33,E35)&lt;&gt;1),"Unknown department / grade",IF(OR(F35&lt;=0,F35&gt;1,G35&lt;=0,L35&lt;=0,H35&lt;0,I35&lt;0,J35&lt;0,K35&lt;0,K35&gt;1,MIN(M35:X35)&lt;0,W35=0,V35&gt;W35,M35&gt;W35-V35,P35&gt;8,Q35&gt;4,R35&gt;12,S35&gt;12,T35&gt;1,AB35&lt;0),"Review quantity / rate",IF(OR(N35&gt;Settings!$C$17,AK35&gt;Settings!$C$19),"Review benefit ceiling","OK"))))))</x:f>
        <x:v>OK</x:v>
      </x:c>
    </x:row>
    <x:row r="36" ht="23" customHeight="1">
      <x:c r="A36" s="8" t="str">
        <x:v>BE-0028</x:v>
      </x:c>
      <x:c r="B36" s="8" t="str">
        <x:v>Sales</x:v>
      </x:c>
      <x:c r="C36" s="8" t="str">
        <x:v>Brussels</x:v>
      </x:c>
      <x:c r="D36" s="8" t="str">
        <x:v>Account manager</x:v>
      </x:c>
      <x:c r="E36" s="8" t="str">
        <x:v>G2</x:v>
      </x:c>
      <x:c r="F36" s="20" t="n">
        <x:v>0.6</x:v>
      </x:c>
      <x:c r="G36" s="12" t="n">
        <x:v>3030</x:v>
      </x:c>
      <x:c r="H36" s="21" t="n">
        <x:v>0.05</x:v>
      </x:c>
      <x:c r="I36" s="20" t="n">
        <x:v>0.8</x:v>
      </x:c>
      <x:c r="J36" s="20" t="n">
        <x:v>1</x:v>
      </x:c>
      <x:c r="K36" s="20" t="n">
        <x:v>1</x:v>
      </x:c>
      <x:c r="L36" s="12" t="n">
        <x:v>3030</x:v>
      </x:c>
      <x:c r="M36" s="8" t="n">
        <x:v>122</x:v>
      </x:c>
      <x:c r="N36" s="12" t="n">
        <x:v>150</x:v>
      </x:c>
      <x:c r="O36" s="8" t="n">
        <x:v>1180</x:v>
      </x:c>
      <x:c r="P36" s="8" t="n">
        <x:v>8</x:v>
      </x:c>
      <x:c r="Q36" s="8" t="n">
        <x:v>4</x:v>
      </x:c>
      <x:c r="R36" s="8" t="n">
        <x:v>12</x:v>
      </x:c>
      <x:c r="S36" s="8" t="n">
        <x:v>0</x:v>
      </x:c>
      <x:c r="T36" s="8" t="n">
        <x:v>1</x:v>
      </x:c>
      <x:c r="U36" s="12" t="n">
        <x:v>0</x:v>
      </x:c>
      <x:c r="V36" s="8" t="n">
        <x:v>3</x:v>
      </x:c>
      <x:c r="W36" s="8" t="n">
        <x:v>138</x:v>
      </x:c>
      <x:c r="X36" s="12" t="n">
        <x:v>37500</x:v>
      </x:c>
      <x:c r="Y36" s="21"/>
      <x:c r="Z36" s="24" t="n">
        <x:f>IF($A36="","",INDEX(Settings!$C$29:$C$33,MATCH(E36,Settings!$A$29:$A$33,0)))</x:f>
        <x:v>3300</x:v>
      </x:c>
      <x:c r="AA36" s="22" t="n">
        <x:f>IF($A36="","",G36/Z36)</x:f>
        <x:v>0.9181818181818182</x:v>
      </x:c>
      <x:c r="AB36" s="25" t="n">
        <x:f>IF($A36="","",IF(ISNUMBER(Y36),Y36,Settings!$B$10))</x:f>
        <x:v>0.03</x:v>
      </x:c>
      <x:c r="AC36" s="23" t="n">
        <x:f>IF($A36="","",G36*(1+AB36))</x:f>
        <x:v>3120.9</x:v>
      </x:c>
      <x:c r="AD36" s="23" t="n">
        <x:f>IF($A36="","",G36*F36*12)</x:f>
        <x:v>21816</x:v>
      </x:c>
      <x:c r="AE36" s="23" t="n">
        <x:f>IF($A36="","",G36*F36*J36)</x:f>
        <x:v>1818</x:v>
      </x:c>
      <x:c r="AF36" s="24" t="n">
        <x:f>IF($A36="","",L36*F36*K36*Settings!$B$13)</x:f>
        <x:v>1672.5600000000002</x:v>
      </x:c>
      <x:c r="AG36" s="23" t="n">
        <x:f>IF($A36="","",AD36*H36*I36)</x:f>
        <x:v>872.64</x:v>
      </x:c>
      <x:c r="AH36" s="24" t="n">
        <x:f>IF($A36="","",SUM(AD36:AE36,AG36)*SUM(Settings!$B$11:$B$12))</x:f>
        <x:v>6126.66</x:v>
      </x:c>
      <x:c r="AI36" s="24" t="n">
        <x:f>IF($A36="","",M36*Settings!$B$16)</x:f>
        <x:v>1087.02</x:v>
      </x:c>
      <x:c r="AJ36" s="24" t="n">
        <x:f>IF($A36="","",M36*Settings!$B$15)</x:f>
        <x:v>132.98000000000002</x:v>
      </x:c>
      <x:c r="AK36" s="24" t="n">
        <x:f>IF($A36="","",O36*Settings!$B$18)</x:f>
        <x:v>436.6</x:v>
      </x:c>
      <x:c r="AL36" s="24" t="n">
        <x:f>IF($A36="","",P36*Settings!$B$20+Q36*Settings!$B$21+R36*Settings!$B$22+S36*Settings!$B$23)</x:f>
        <x:v>2184.76</x:v>
      </x:c>
      <x:c r="AM36" s="24" t="n">
        <x:f>IF($A36="","",T36*Settings!$B$24)</x:f>
        <x:v>40</x:v>
      </x:c>
      <x:c r="AN36" s="23" t="n">
        <x:f>IF($A36="","",SUM(AI36,N36,AK36:AM36,U36))</x:f>
        <x:v>3898.38</x:v>
      </x:c>
      <x:c r="AO36" s="23" t="n">
        <x:f>IF($A36="","",SUM(AD36:AI36,N36,AK36:AM36,U36))</x:f>
        <x:v>36204.24</x:v>
      </x:c>
      <x:c r="AP36" s="24" t="n">
        <x:f>IF($A36="","",G36*F36*AB36*((13-Settings!$B$9)*(1+H36*I36)+J36)*(1+SUM(Settings!$B$11:$B$12)))</x:f>
        <x:v>706.293</x:v>
      </x:c>
      <x:c r="AQ36" s="23" t="n">
        <x:f>IF($A36="","",SUM(AO36:AP36))</x:f>
        <x:v>36910.532999999996</x:v>
      </x:c>
      <x:c r="AR36" s="23" t="n">
        <x:f>IF($A36="","",AQ36-X36)</x:f>
        <x:v>-589.4670000000042</x:v>
      </x:c>
      <x:c r="AS36" s="22" t="n">
        <x:f>IF($A36="","",IF(W36=0,"n.a.",V36/W36))</x:f>
        <x:v>0.021739130434782608</x:v>
      </x:c>
      <x:c r="AT36" s="26" t="str">
        <x:f>IF($A36="",IF(COUNTA(B36:Y36)&gt;0,"Missing ID",""),IF(COUNTIFS($A$9:$A$508,A36)&gt;1,"Duplicate ID",IF(OR(B36="",C36="",D36="",E36="",COUNT(F36:X36)&lt;&gt;19),"Missing / text input",IF(OR(COUNTIFS(Settings!$A$59:$A$64,B36)&lt;&gt;1,COUNTIFS(Settings!$A$29:$A$33,E36)&lt;&gt;1),"Unknown department / grade",IF(OR(F36&lt;=0,F36&gt;1,G36&lt;=0,L36&lt;=0,H36&lt;0,I36&lt;0,J36&lt;0,K36&lt;0,K36&gt;1,MIN(M36:X36)&lt;0,W36=0,V36&gt;W36,M36&gt;W36-V36,P36&gt;8,Q36&gt;4,R36&gt;12,S36&gt;12,T36&gt;1,AB36&lt;0),"Review quantity / rate",IF(OR(N36&gt;Settings!$C$17,AK36&gt;Settings!$C$19),"Review benefit ceiling","OK"))))))</x:f>
        <x:v>OK</x:v>
      </x:c>
    </x:row>
    <x:row r="37" ht="23" customHeight="1">
      <x:c r="A37" s="8" t="str">
        <x:v>BE-0029</x:v>
      </x:c>
      <x:c r="B37" s="8" t="str">
        <x:v>Customer Operations</x:v>
      </x:c>
      <x:c r="C37" s="8" t="str">
        <x:v>Antwerp</x:v>
      </x:c>
      <x:c r="D37" s="8" t="str">
        <x:v>Service specialist</x:v>
      </x:c>
      <x:c r="E37" s="8" t="str">
        <x:v>G2</x:v>
      </x:c>
      <x:c r="F37" s="20" t="n">
        <x:v>0.8</x:v>
      </x:c>
      <x:c r="G37" s="12" t="n">
        <x:v>3070</x:v>
      </x:c>
      <x:c r="H37" s="21" t="n">
        <x:v>0.05</x:v>
      </x:c>
      <x:c r="I37" s="20" t="n">
        <x:v>1</x:v>
      </x:c>
      <x:c r="J37" s="20" t="n">
        <x:v>1</x:v>
      </x:c>
      <x:c r="K37" s="20" t="n">
        <x:v>1</x:v>
      </x:c>
      <x:c r="L37" s="12" t="n">
        <x:v>3070</x:v>
      </x:c>
      <x:c r="M37" s="8" t="n">
        <x:v>171</x:v>
      </x:c>
      <x:c r="N37" s="12" t="n">
        <x:v>200</x:v>
      </x:c>
      <x:c r="O37" s="8" t="n">
        <x:v>0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  <x:c r="T37" s="8" t="n">
        <x:v>1</x:v>
      </x:c>
      <x:c r="U37" s="12" t="n">
        <x:v>0</x:v>
      </x:c>
      <x:c r="V37" s="8" t="n">
        <x:v>4</x:v>
      </x:c>
      <x:c r="W37" s="8" t="n">
        <x:v>184</x:v>
      </x:c>
      <x:c r="X37" s="12" t="n">
        <x:v>47400</x:v>
      </x:c>
      <x:c r="Y37" s="21"/>
      <x:c r="Z37" s="24" t="n">
        <x:f>IF($A37="","",INDEX(Settings!$C$29:$C$33,MATCH(E37,Settings!$A$29:$A$33,0)))</x:f>
        <x:v>3300</x:v>
      </x:c>
      <x:c r="AA37" s="22" t="n">
        <x:f>IF($A37="","",G37/Z37)</x:f>
        <x:v>0.9303030303030303</x:v>
      </x:c>
      <x:c r="AB37" s="25" t="n">
        <x:f>IF($A37="","",IF(ISNUMBER(Y37),Y37,Settings!$B$10))</x:f>
        <x:v>0.03</x:v>
      </x:c>
      <x:c r="AC37" s="23" t="n">
        <x:f>IF($A37="","",G37*(1+AB37))</x:f>
        <x:v>3162.1</x:v>
      </x:c>
      <x:c r="AD37" s="23" t="n">
        <x:f>IF($A37="","",G37*F37*12)</x:f>
        <x:v>29472</x:v>
      </x:c>
      <x:c r="AE37" s="23" t="n">
        <x:f>IF($A37="","",G37*F37*J37)</x:f>
        <x:v>2456</x:v>
      </x:c>
      <x:c r="AF37" s="24" t="n">
        <x:f>IF($A37="","",L37*F37*K37*Settings!$B$13)</x:f>
        <x:v>2259.52</x:v>
      </x:c>
      <x:c r="AG37" s="23" t="n">
        <x:f>IF($A37="","",AD37*H37*I37)</x:f>
        <x:v>1473.6000000000001</x:v>
      </x:c>
      <x:c r="AH37" s="24" t="n">
        <x:f>IF($A37="","",SUM(AD37:AE37,AG37)*SUM(Settings!$B$11:$B$12))</x:f>
        <x:v>8350.4</x:v>
      </x:c>
      <x:c r="AI37" s="24" t="n">
        <x:f>IF($A37="","",M37*Settings!$B$16)</x:f>
        <x:v>1523.6100000000001</x:v>
      </x:c>
      <x:c r="AJ37" s="24" t="n">
        <x:f>IF($A37="","",M37*Settings!$B$15)</x:f>
        <x:v>186.39000000000001</x:v>
      </x:c>
      <x:c r="AK37" s="24" t="n">
        <x:f>IF($A37="","",O37*Settings!$B$18)</x:f>
        <x:v>0</x:v>
      </x:c>
      <x:c r="AL37" s="24" t="n">
        <x:f>IF($A37="","",P37*Settings!$B$20+Q37*Settings!$B$21+R37*Settings!$B$22+S37*Settings!$B$23)</x:f>
        <x:v>0</x:v>
      </x:c>
      <x:c r="AM37" s="24" t="n">
        <x:f>IF($A37="","",T37*Settings!$B$24)</x:f>
        <x:v>40</x:v>
      </x:c>
      <x:c r="AN37" s="23" t="n">
        <x:f>IF($A37="","",SUM(AI37,N37,AK37:AM37,U37))</x:f>
        <x:v>1763.6100000000001</x:v>
      </x:c>
      <x:c r="AO37" s="23" t="n">
        <x:f>IF($A37="","",SUM(AD37:AI37,N37,AK37:AM37,U37))</x:f>
        <x:v>45775.13</x:v>
      </x:c>
      <x:c r="AP37" s="24" t="n">
        <x:f>IF($A37="","",G37*F37*AB37*((13-Settings!$B$9)*(1+H37*I37)+J37)*(1+SUM(Settings!$B$11:$B$12)))</x:f>
        <x:v>962.445</x:v>
      </x:c>
      <x:c r="AQ37" s="23" t="n">
        <x:f>IF($A37="","",SUM(AO37:AP37))</x:f>
        <x:v>46737.575</x:v>
      </x:c>
      <x:c r="AR37" s="23" t="n">
        <x:f>IF($A37="","",AQ37-X37)</x:f>
        <x:v>-662.4250000000029</x:v>
      </x:c>
      <x:c r="AS37" s="22" t="n">
        <x:f>IF($A37="","",IF(W37=0,"n.a.",V37/W37))</x:f>
        <x:v>0.021739130434782608</x:v>
      </x:c>
      <x:c r="AT37" s="26" t="str">
        <x:f>IF($A37="",IF(COUNTA(B37:Y37)&gt;0,"Missing ID",""),IF(COUNTIFS($A$9:$A$508,A37)&gt;1,"Duplicate ID",IF(OR(B37="",C37="",D37="",E37="",COUNT(F37:X37)&lt;&gt;19),"Missing / text input",IF(OR(COUNTIFS(Settings!$A$59:$A$64,B37)&lt;&gt;1,COUNTIFS(Settings!$A$29:$A$33,E37)&lt;&gt;1),"Unknown department / grade",IF(OR(F37&lt;=0,F37&gt;1,G37&lt;=0,L37&lt;=0,H37&lt;0,I37&lt;0,J37&lt;0,K37&lt;0,K37&gt;1,MIN(M37:X37)&lt;0,W37=0,V37&gt;W37,M37&gt;W37-V37,P37&gt;8,Q37&gt;4,R37&gt;12,S37&gt;12,T37&gt;1,AB37&lt;0),"Review quantity / rate",IF(OR(N37&gt;Settings!$C$17,AK37&gt;Settings!$C$19),"Review benefit ceiling","OK"))))))</x:f>
        <x:v>OK</x:v>
      </x:c>
    </x:row>
    <x:row r="38" ht="23" customHeight="1">
      <x:c r="A38" s="8" t="str">
        <x:v>BE-0030</x:v>
      </x:c>
      <x:c r="B38" s="8" t="str">
        <x:v>Business Support</x:v>
      </x:c>
      <x:c r="C38" s="8" t="str">
        <x:v>Ghent</x:v>
      </x:c>
      <x:c r="D38" s="8" t="str">
        <x:v>Business specialist</x:v>
      </x:c>
      <x:c r="E38" s="8" t="str">
        <x:v>G2</x:v>
      </x:c>
      <x:c r="F38" s="20" t="n">
        <x:v>1</x:v>
      </x:c>
      <x:c r="G38" s="12" t="n">
        <x:v>3260</x:v>
      </x:c>
      <x:c r="H38" s="21" t="n">
        <x:v>0.05</x:v>
      </x:c>
      <x:c r="I38" s="20" t="n">
        <x:v>1.1</x:v>
      </x:c>
      <x:c r="J38" s="20" t="n">
        <x:v>1</x:v>
      </x:c>
      <x:c r="K38" s="20" t="n">
        <x:v>1</x:v>
      </x:c>
      <x:c r="L38" s="12" t="n">
        <x:v>3260</x:v>
      </x:c>
      <x:c r="M38" s="8" t="n">
        <x:v>213</x:v>
      </x:c>
      <x:c r="N38" s="12" t="n">
        <x:v>250</x:v>
      </x:c>
      <x:c r="O38" s="8" t="n">
        <x:v>0</x:v>
      </x:c>
      <x:c r="P38" s="8" t="n">
        <x:v>8</x:v>
      </x:c>
      <x:c r="Q38" s="8" t="n">
        <x:v>4</x:v>
      </x:c>
      <x:c r="R38" s="8" t="n">
        <x:v>12</x:v>
      </x:c>
      <x:c r="S38" s="8" t="n">
        <x:v>0</x:v>
      </x:c>
      <x:c r="T38" s="8" t="n">
        <x:v>1</x:v>
      </x:c>
      <x:c r="U38" s="12" t="n">
        <x:v>0</x:v>
      </x:c>
      <x:c r="V38" s="8" t="n">
        <x:v>5</x:v>
      </x:c>
      <x:c r="W38" s="8" t="n">
        <x:v>230</x:v>
      </x:c>
      <x:c r="X38" s="12" t="n">
        <x:v>65300</x:v>
      </x:c>
      <x:c r="Y38" s="21"/>
      <x:c r="Z38" s="24" t="n">
        <x:f>IF($A38="","",INDEX(Settings!$C$29:$C$33,MATCH(E38,Settings!$A$29:$A$33,0)))</x:f>
        <x:v>3300</x:v>
      </x:c>
      <x:c r="AA38" s="22" t="n">
        <x:f>IF($A38="","",G38/Z38)</x:f>
        <x:v>0.9878787878787879</x:v>
      </x:c>
      <x:c r="AB38" s="25" t="n">
        <x:f>IF($A38="","",IF(ISNUMBER(Y38),Y38,Settings!$B$10))</x:f>
        <x:v>0.03</x:v>
      </x:c>
      <x:c r="AC38" s="23" t="n">
        <x:f>IF($A38="","",G38*(1+AB38))</x:f>
        <x:v>3357.8</x:v>
      </x:c>
      <x:c r="AD38" s="23" t="n">
        <x:f>IF($A38="","",G38*F38*12)</x:f>
        <x:v>39120</x:v>
      </x:c>
      <x:c r="AE38" s="23" t="n">
        <x:f>IF($A38="","",G38*F38*J38)</x:f>
        <x:v>3260</x:v>
      </x:c>
      <x:c r="AF38" s="24" t="n">
        <x:f>IF($A38="","",L38*F38*K38*Settings!$B$13)</x:f>
        <x:v>2999.2000000000003</x:v>
      </x:c>
      <x:c r="AG38" s="23" t="n">
        <x:f>IF($A38="","",AD38*H38*I38)</x:f>
        <x:v>2151.6000000000004</x:v>
      </x:c>
      <x:c r="AH38" s="24" t="n">
        <x:f>IF($A38="","",SUM(AD38:AE38,AG38)*SUM(Settings!$B$11:$B$12))</x:f>
        <x:v>11132.9</x:v>
      </x:c>
      <x:c r="AI38" s="24" t="n">
        <x:f>IF($A38="","",M38*Settings!$B$16)</x:f>
        <x:v>1897.83</x:v>
      </x:c>
      <x:c r="AJ38" s="24" t="n">
        <x:f>IF($A38="","",M38*Settings!$B$15)</x:f>
        <x:v>232.17000000000002</x:v>
      </x:c>
      <x:c r="AK38" s="24" t="n">
        <x:f>IF($A38="","",O38*Settings!$B$18)</x:f>
        <x:v>0</x:v>
      </x:c>
      <x:c r="AL38" s="24" t="n">
        <x:f>IF($A38="","",P38*Settings!$B$20+Q38*Settings!$B$21+R38*Settings!$B$22+S38*Settings!$B$23)</x:f>
        <x:v>2184.76</x:v>
      </x:c>
      <x:c r="AM38" s="24" t="n">
        <x:f>IF($A38="","",T38*Settings!$B$24)</x:f>
        <x:v>40</x:v>
      </x:c>
      <x:c r="AN38" s="23" t="n">
        <x:f>IF($A38="","",SUM(AI38,N38,AK38:AM38,U38))</x:f>
        <x:v>4372.59</x:v>
      </x:c>
      <x:c r="AO38" s="23" t="n">
        <x:f>IF($A38="","",SUM(AD38:AI38,N38,AK38:AM38,U38))</x:f>
        <x:v>63036.29</x:v>
      </x:c>
      <x:c r="AP38" s="24" t="n">
        <x:f>IF($A38="","",G38*F38*AB38*((13-Settings!$B$9)*(1+H38*I38)+J38)*(1+SUM(Settings!$B$11:$B$12)))</x:f>
        <x:v>1283.0137499999998</x:v>
      </x:c>
      <x:c r="AQ38" s="23" t="n">
        <x:f>IF($A38="","",SUM(AO38:AP38))</x:f>
        <x:v>64319.30375</x:v>
      </x:c>
      <x:c r="AR38" s="23" t="n">
        <x:f>IF($A38="","",AQ38-X38)</x:f>
        <x:v>-980.6962500000009</x:v>
      </x:c>
      <x:c r="AS38" s="22" t="n">
        <x:f>IF($A38="","",IF(W38=0,"n.a.",V38/W38))</x:f>
        <x:v>0.021739130434782608</x:v>
      </x:c>
      <x:c r="AT38" s="26" t="str">
        <x:f>IF($A38="",IF(COUNTA(B38:Y38)&gt;0,"Missing ID",""),IF(COUNTIFS($A$9:$A$508,A38)&gt;1,"Duplicate ID",IF(OR(B38="",C38="",D38="",E38="",COUNT(F38:X38)&lt;&gt;19),"Missing / text input",IF(OR(COUNTIFS(Settings!$A$59:$A$64,B38)&lt;&gt;1,COUNTIFS(Settings!$A$29:$A$33,E38)&lt;&gt;1),"Unknown department / grade",IF(OR(F38&lt;=0,F38&gt;1,G38&lt;=0,L38&lt;=0,H38&lt;0,I38&lt;0,J38&lt;0,K38&lt;0,K38&gt;1,MIN(M38:X38)&lt;0,W38=0,V38&gt;W38,M38&gt;W38-V38,P38&gt;8,Q38&gt;4,R38&gt;12,S38&gt;12,T38&gt;1,AB38&lt;0),"Review quantity / rate",IF(OR(N38&gt;Settings!$C$17,AK38&gt;Settings!$C$19),"Review benefit ceiling","OK"))))))</x:f>
        <x:v>OK</x:v>
      </x:c>
    </x:row>
    <x:row r="39" ht="23" customHeight="1">
      <x:c r="A39" s="8" t="str">
        <x:v>BE-0031</x:v>
      </x:c>
      <x:c r="B39" s="8" t="str">
        <x:v>Finance</x:v>
      </x:c>
      <x:c r="C39" s="8" t="str">
        <x:v>Brussels</x:v>
      </x:c>
      <x:c r="D39" s="8" t="str">
        <x:v>Accountant</x:v>
      </x:c>
      <x:c r="E39" s="8" t="str">
        <x:v>G2</x:v>
      </x:c>
      <x:c r="F39" s="20" t="n">
        <x:v>1</x:v>
      </x:c>
      <x:c r="G39" s="12" t="n">
        <x:v>3610</x:v>
      </x:c>
      <x:c r="H39" s="21" t="n">
        <x:v>0.05</x:v>
      </x:c>
      <x:c r="I39" s="20" t="n">
        <x:v>0.8</x:v>
      </x:c>
      <x:c r="J39" s="20" t="n">
        <x:v>1</x:v>
      </x:c>
      <x:c r="K39" s="20" t="n">
        <x:v>1</x:v>
      </x:c>
      <x:c r="L39" s="12" t="n">
        <x:v>3610</x:v>
      </x:c>
      <x:c r="M39" s="8" t="n">
        <x:v>212</x:v>
      </x:c>
      <x:c r="N39" s="12" t="n">
        <x:v>250</x:v>
      </x:c>
      <x:c r="O39" s="8" t="n">
        <x:v>1510</x:v>
      </x:c>
      <x:c r="P39" s="8" t="n">
        <x:v>8</x:v>
      </x:c>
      <x:c r="Q39" s="8" t="n">
        <x:v>4</x:v>
      </x:c>
      <x:c r="R39" s="8" t="n">
        <x:v>12</x:v>
      </x:c>
      <x:c r="S39" s="8" t="n">
        <x:v>12</x:v>
      </x:c>
      <x:c r="T39" s="8" t="n">
        <x:v>1</x:v>
      </x:c>
      <x:c r="U39" s="12" t="n">
        <x:v>0</x:v>
      </x:c>
      <x:c r="V39" s="8" t="n">
        <x:v>6</x:v>
      </x:c>
      <x:c r="W39" s="8" t="n">
        <x:v>230</x:v>
      </x:c>
      <x:c r="X39" s="12" t="n">
        <x:v>69700</x:v>
      </x:c>
      <x:c r="Y39" s="21"/>
      <x:c r="Z39" s="24" t="n">
        <x:f>IF($A39="","",INDEX(Settings!$C$29:$C$33,MATCH(E39,Settings!$A$29:$A$33,0)))</x:f>
        <x:v>3300</x:v>
      </x:c>
      <x:c r="AA39" s="22" t="n">
        <x:f>IF($A39="","",G39/Z39)</x:f>
        <x:v>1.093939393939394</x:v>
      </x:c>
      <x:c r="AB39" s="25" t="n">
        <x:f>IF($A39="","",IF(ISNUMBER(Y39),Y39,Settings!$B$10))</x:f>
        <x:v>0.03</x:v>
      </x:c>
      <x:c r="AC39" s="23" t="n">
        <x:f>IF($A39="","",G39*(1+AB39))</x:f>
        <x:v>3718.3</x:v>
      </x:c>
      <x:c r="AD39" s="23" t="n">
        <x:f>IF($A39="","",G39*F39*12)</x:f>
        <x:v>43320</x:v>
      </x:c>
      <x:c r="AE39" s="23" t="n">
        <x:f>IF($A39="","",G39*F39*J39)</x:f>
        <x:v>3610</x:v>
      </x:c>
      <x:c r="AF39" s="24" t="n">
        <x:f>IF($A39="","",L39*F39*K39*Settings!$B$13)</x:f>
        <x:v>3321.2000000000003</x:v>
      </x:c>
      <x:c r="AG39" s="23" t="n">
        <x:f>IF($A39="","",AD39*H39*I39)</x:f>
        <x:v>1732.8000000000002</x:v>
      </x:c>
      <x:c r="AH39" s="24" t="n">
        <x:f>IF($A39="","",SUM(AD39:AE39,AG39)*SUM(Settings!$B$11:$B$12))</x:f>
        <x:v>12165.7</x:v>
      </x:c>
      <x:c r="AI39" s="24" t="n">
        <x:f>IF($A39="","",M39*Settings!$B$16)</x:f>
        <x:v>1888.92</x:v>
      </x:c>
      <x:c r="AJ39" s="24" t="n">
        <x:f>IF($A39="","",M39*Settings!$B$15)</x:f>
        <x:v>231.08</x:v>
      </x:c>
      <x:c r="AK39" s="24" t="n">
        <x:f>IF($A39="","",O39*Settings!$B$18)</x:f>
        <x:v>558.7</x:v>
      </x:c>
      <x:c r="AL39" s="24" t="n">
        <x:f>IF($A39="","",P39*Settings!$B$20+Q39*Settings!$B$21+R39*Settings!$B$22+S39*Settings!$B$23)</x:f>
        <x:v>2424.76</x:v>
      </x:c>
      <x:c r="AM39" s="24" t="n">
        <x:f>IF($A39="","",T39*Settings!$B$24)</x:f>
        <x:v>40</x:v>
      </x:c>
      <x:c r="AN39" s="23" t="n">
        <x:f>IF($A39="","",SUM(AI39,N39,AK39:AM39,U39))</x:f>
        <x:v>5162.38</x:v>
      </x:c>
      <x:c r="AO39" s="23" t="n">
        <x:f>IF($A39="","",SUM(AD39:AI39,N39,AK39:AM39,U39))</x:f>
        <x:v>69312.08</x:v>
      </x:c>
      <x:c r="AP39" s="24" t="n">
        <x:f>IF($A39="","",G39*F39*AB39*((13-Settings!$B$9)*(1+H39*I39)+J39)*(1+SUM(Settings!$B$11:$B$12)))</x:f>
        <x:v>1402.4849999999997</x:v>
      </x:c>
      <x:c r="AQ39" s="23" t="n">
        <x:f>IF($A39="","",SUM(AO39:AP39))</x:f>
        <x:v>70714.565</x:v>
      </x:c>
      <x:c r="AR39" s="23" t="n">
        <x:f>IF($A39="","",AQ39-X39)</x:f>
        <x:v>1014.5650000000023</x:v>
      </x:c>
      <x:c r="AS39" s="22" t="n">
        <x:f>IF($A39="","",IF(W39=0,"n.a.",V39/W39))</x:f>
        <x:v>0.02608695652173913</x:v>
      </x:c>
      <x:c r="AT39" s="26" t="str">
        <x:f>IF($A39="",IF(COUNTA(B39:Y39)&gt;0,"Missing ID",""),IF(COUNTIFS($A$9:$A$508,A39)&gt;1,"Duplicate ID",IF(OR(B39="",C39="",D39="",E39="",COUNT(F39:X39)&lt;&gt;19),"Missing / text input",IF(OR(COUNTIFS(Settings!$A$59:$A$64,B39)&lt;&gt;1,COUNTIFS(Settings!$A$29:$A$33,E39)&lt;&gt;1),"Unknown department / grade",IF(OR(F39&lt;=0,F39&gt;1,G39&lt;=0,L39&lt;=0,H39&lt;0,I39&lt;0,J39&lt;0,K39&lt;0,K39&gt;1,MIN(M39:X39)&lt;0,W39=0,V39&gt;W39,M39&gt;W39-V39,P39&gt;8,Q39&gt;4,R39&gt;12,S39&gt;12,T39&gt;1,AB39&lt;0),"Review quantity / rate",IF(OR(N39&gt;Settings!$C$17,AK39&gt;Settings!$C$19),"Review benefit ceiling","OK"))))))</x:f>
        <x:v>OK</x:v>
      </x:c>
    </x:row>
    <x:row r="40" ht="23" customHeight="1">
      <x:c r="A40" s="8" t="str">
        <x:v>BE-0032</x:v>
      </x:c>
      <x:c r="B40" s="8" t="str">
        <x:v>People &amp; Culture</x:v>
      </x:c>
      <x:c r="C40" s="8" t="str">
        <x:v>Antwerp</x:v>
      </x:c>
      <x:c r="D40" s="8" t="str">
        <x:v>HR specialist</x:v>
      </x:c>
      <x:c r="E40" s="8" t="str">
        <x:v>G2</x:v>
      </x:c>
      <x:c r="F40" s="20" t="n">
        <x:v>1</x:v>
      </x:c>
      <x:c r="G40" s="12" t="n">
        <x:v>3370</x:v>
      </x:c>
      <x:c r="H40" s="21" t="n">
        <x:v>0.05</x:v>
      </x:c>
      <x:c r="I40" s="20" t="n">
        <x:v>1</x:v>
      </x:c>
      <x:c r="J40" s="20" t="n">
        <x:v>1</x:v>
      </x:c>
      <x:c r="K40" s="20" t="n">
        <x:v>1</x:v>
      </x:c>
      <x:c r="L40" s="12" t="n">
        <x:v>3370</x:v>
      </x:c>
      <x:c r="M40" s="8" t="n">
        <x:v>211</x:v>
      </x:c>
      <x:c r="N40" s="12" t="n">
        <x:v>250</x:v>
      </x:c>
      <x:c r="O40" s="8" t="n">
        <x:v>0</x:v>
      </x:c>
      <x:c r="P40" s="8" t="n">
        <x:v>8</x:v>
      </x:c>
      <x:c r="Q40" s="8" t="n">
        <x:v>4</x:v>
      </x:c>
      <x:c r="R40" s="8" t="n">
        <x:v>12</x:v>
      </x:c>
      <x:c r="S40" s="8" t="n">
        <x:v>0</x:v>
      </x:c>
      <x:c r="T40" s="8" t="n">
        <x:v>1</x:v>
      </x:c>
      <x:c r="U40" s="12" t="n">
        <x:v>0</x:v>
      </x:c>
      <x:c r="V40" s="8" t="n">
        <x:v>7</x:v>
      </x:c>
      <x:c r="W40" s="8" t="n">
        <x:v>230</x:v>
      </x:c>
      <x:c r="X40" s="12" t="n">
        <x:v>67100</x:v>
      </x:c>
      <x:c r="Y40" s="21"/>
      <x:c r="Z40" s="24" t="n">
        <x:f>IF($A40="","",INDEX(Settings!$C$29:$C$33,MATCH(E40,Settings!$A$29:$A$33,0)))</x:f>
        <x:v>3300</x:v>
      </x:c>
      <x:c r="AA40" s="22" t="n">
        <x:f>IF($A40="","",G40/Z40)</x:f>
        <x:v>1.0212121212121212</x:v>
      </x:c>
      <x:c r="AB40" s="25" t="n">
        <x:f>IF($A40="","",IF(ISNUMBER(Y40),Y40,Settings!$B$10))</x:f>
        <x:v>0.03</x:v>
      </x:c>
      <x:c r="AC40" s="23" t="n">
        <x:f>IF($A40="","",G40*(1+AB40))</x:f>
        <x:v>3471.1</x:v>
      </x:c>
      <x:c r="AD40" s="23" t="n">
        <x:f>IF($A40="","",G40*F40*12)</x:f>
        <x:v>40440</x:v>
      </x:c>
      <x:c r="AE40" s="23" t="n">
        <x:f>IF($A40="","",G40*F40*J40)</x:f>
        <x:v>3370</x:v>
      </x:c>
      <x:c r="AF40" s="24" t="n">
        <x:f>IF($A40="","",L40*F40*K40*Settings!$B$13)</x:f>
        <x:v>3100.4</x:v>
      </x:c>
      <x:c r="AG40" s="23" t="n">
        <x:f>IF($A40="","",AD40*H40*I40)</x:f>
        <x:v>2022</x:v>
      </x:c>
      <x:c r="AH40" s="24" t="n">
        <x:f>IF($A40="","",SUM(AD40:AE40,AG40)*SUM(Settings!$B$11:$B$12))</x:f>
        <x:v>11458</x:v>
      </x:c>
      <x:c r="AI40" s="24" t="n">
        <x:f>IF($A40="","",M40*Settings!$B$16)</x:f>
        <x:v>1880.01</x:v>
      </x:c>
      <x:c r="AJ40" s="24" t="n">
        <x:f>IF($A40="","",M40*Settings!$B$15)</x:f>
        <x:v>229.99</x:v>
      </x:c>
      <x:c r="AK40" s="24" t="n">
        <x:f>IF($A40="","",O40*Settings!$B$18)</x:f>
        <x:v>0</x:v>
      </x:c>
      <x:c r="AL40" s="24" t="n">
        <x:f>IF($A40="","",P40*Settings!$B$20+Q40*Settings!$B$21+R40*Settings!$B$22+S40*Settings!$B$23)</x:f>
        <x:v>2184.76</x:v>
      </x:c>
      <x:c r="AM40" s="24" t="n">
        <x:f>IF($A40="","",T40*Settings!$B$24)</x:f>
        <x:v>40</x:v>
      </x:c>
      <x:c r="AN40" s="23" t="n">
        <x:f>IF($A40="","",SUM(AI40,N40,AK40:AM40,U40))</x:f>
        <x:v>4354.77</x:v>
      </x:c>
      <x:c r="AO40" s="23" t="n">
        <x:f>IF($A40="","",SUM(AD40:AI40,N40,AK40:AM40,U40))</x:f>
        <x:v>64745.170000000006</x:v>
      </x:c>
      <x:c r="AP40" s="24" t="n">
        <x:f>IF($A40="","",G40*F40*AB40*((13-Settings!$B$9)*(1+H40*I40)+J40)*(1+SUM(Settings!$B$11:$B$12)))</x:f>
        <x:v>1320.61875</x:v>
      </x:c>
      <x:c r="AQ40" s="23" t="n">
        <x:f>IF($A40="","",SUM(AO40:AP40))</x:f>
        <x:v>66065.78875</x:v>
      </x:c>
      <x:c r="AR40" s="23" t="n">
        <x:f>IF($A40="","",AQ40-X40)</x:f>
        <x:v>-1034.211249999993</x:v>
      </x:c>
      <x:c r="AS40" s="22" t="n">
        <x:f>IF($A40="","",IF(W40=0,"n.a.",V40/W40))</x:f>
        <x:v>0.030434782608695653</x:v>
      </x:c>
      <x:c r="AT40" s="26" t="str">
        <x:f>IF($A40="",IF(COUNTA(B40:Y40)&gt;0,"Missing ID",""),IF(COUNTIFS($A$9:$A$508,A40)&gt;1,"Duplicate ID",IF(OR(B40="",C40="",D40="",E40="",COUNT(F40:X40)&lt;&gt;19),"Missing / text input",IF(OR(COUNTIFS(Settings!$A$59:$A$64,B40)&lt;&gt;1,COUNTIFS(Settings!$A$29:$A$33,E40)&lt;&gt;1),"Unknown department / grade",IF(OR(F40&lt;=0,F40&gt;1,G40&lt;=0,L40&lt;=0,H40&lt;0,I40&lt;0,J40&lt;0,K40&lt;0,K40&gt;1,MIN(M40:X40)&lt;0,W40=0,V40&gt;W40,M40&gt;W40-V40,P40&gt;8,Q40&gt;4,R40&gt;12,S40&gt;12,T40&gt;1,AB40&lt;0),"Review quantity / rate",IF(OR(N40&gt;Settings!$C$17,AK40&gt;Settings!$C$19),"Review benefit ceiling","OK"))))))</x:f>
        <x:v>OK</x:v>
      </x:c>
    </x:row>
    <x:row r="41" ht="23" customHeight="1">
      <x:c r="A41" s="8" t="str">
        <x:v>BE-0033</x:v>
      </x:c>
      <x:c r="B41" s="8" t="str">
        <x:v>Technology</x:v>
      </x:c>
      <x:c r="C41" s="8" t="str">
        <x:v>Ghent</x:v>
      </x:c>
      <x:c r="D41" s="8" t="str">
        <x:v>Senior engineer</x:v>
      </x:c>
      <x:c r="E41" s="8" t="str">
        <x:v>G3</x:v>
      </x:c>
      <x:c r="F41" s="20" t="n">
        <x:v>1</x:v>
      </x:c>
      <x:c r="G41" s="12" t="n">
        <x:v>3960</x:v>
      </x:c>
      <x:c r="H41" s="21" t="n">
        <x:v>0.08</x:v>
      </x:c>
      <x:c r="I41" s="20" t="n">
        <x:v>1.1</x:v>
      </x:c>
      <x:c r="J41" s="20" t="n">
        <x:v>1</x:v>
      </x:c>
      <x:c r="K41" s="20" t="n">
        <x:v>1</x:v>
      </x:c>
      <x:c r="L41" s="12" t="n">
        <x:v>3960</x:v>
      </x:c>
      <x:c r="M41" s="8" t="n">
        <x:v>210</x:v>
      </x:c>
      <x:c r="N41" s="12" t="n">
        <x:v>250</x:v>
      </x:c>
      <x:c r="O41" s="8" t="n">
        <x:v>0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1</x:v>
      </x:c>
      <x:c r="U41" s="12" t="n">
        <x:v>0</x:v>
      </x:c>
      <x:c r="V41" s="8" t="n">
        <x:v>8</x:v>
      </x:c>
      <x:c r="W41" s="8" t="n">
        <x:v>230</x:v>
      </x:c>
      <x:c r="X41" s="12" t="n">
        <x:v>78100</x:v>
      </x:c>
      <x:c r="Y41" s="21"/>
      <x:c r="Z41" s="24" t="n">
        <x:f>IF($A41="","",INDEX(Settings!$C$29:$C$33,MATCH(E41,Settings!$A$29:$A$33,0)))</x:f>
        <x:v>4200</x:v>
      </x:c>
      <x:c r="AA41" s="22" t="n">
        <x:f>IF($A41="","",G41/Z41)</x:f>
        <x:v>0.9428571428571428</x:v>
      </x:c>
      <x:c r="AB41" s="25" t="n">
        <x:f>IF($A41="","",IF(ISNUMBER(Y41),Y41,Settings!$B$10))</x:f>
        <x:v>0.03</x:v>
      </x:c>
      <x:c r="AC41" s="23" t="n">
        <x:f>IF($A41="","",G41*(1+AB41))</x:f>
        <x:v>4078.8</x:v>
      </x:c>
      <x:c r="AD41" s="23" t="n">
        <x:f>IF($A41="","",G41*F41*12)</x:f>
        <x:v>47520</x:v>
      </x:c>
      <x:c r="AE41" s="23" t="n">
        <x:f>IF($A41="","",G41*F41*J41)</x:f>
        <x:v>3960</x:v>
      </x:c>
      <x:c r="AF41" s="24" t="n">
        <x:f>IF($A41="","",L41*F41*K41*Settings!$B$13)</x:f>
        <x:v>3643.2000000000003</x:v>
      </x:c>
      <x:c r="AG41" s="23" t="n">
        <x:f>IF($A41="","",AD41*H41*I41)</x:f>
        <x:v>4181.76</x:v>
      </x:c>
      <x:c r="AH41" s="24" t="n">
        <x:f>IF($A41="","",SUM(AD41:AE41,AG41)*SUM(Settings!$B$11:$B$12))</x:f>
        <x:v>13915.44</x:v>
      </x:c>
      <x:c r="AI41" s="24" t="n">
        <x:f>IF($A41="","",M41*Settings!$B$16)</x:f>
        <x:v>1871.1000000000001</x:v>
      </x:c>
      <x:c r="AJ41" s="24" t="n">
        <x:f>IF($A41="","",M41*Settings!$B$15)</x:f>
        <x:v>228.9</x:v>
      </x:c>
      <x:c r="AK41" s="24" t="n">
        <x:f>IF($A41="","",O41*Settings!$B$18)</x:f>
        <x:v>0</x:v>
      </x:c>
      <x:c r="AL41" s="24" t="n">
        <x:f>IF($A41="","",P41*Settings!$B$20+Q41*Settings!$B$21+R41*Settings!$B$22+S41*Settings!$B$23)</x:f>
        <x:v>0</x:v>
      </x:c>
      <x:c r="AM41" s="24" t="n">
        <x:f>IF($A41="","",T41*Settings!$B$24)</x:f>
        <x:v>40</x:v>
      </x:c>
      <x:c r="AN41" s="23" t="n">
        <x:f>IF($A41="","",SUM(AI41,N41,AK41:AM41,U41))</x:f>
        <x:v>2161.1000000000004</x:v>
      </x:c>
      <x:c r="AO41" s="23" t="n">
        <x:f>IF($A41="","",SUM(AD41:AI41,N41,AK41:AM41,U41))</x:f>
        <x:v>75381.5</x:v>
      </x:c>
      <x:c r="AP41" s="24" t="n">
        <x:f>IF($A41="","",G41*F41*AB41*((13-Settings!$B$9)*(1+H41*I41)+J41)*(1+SUM(Settings!$B$11:$B$12)))</x:f>
        <x:v>1602.6120000000003</x:v>
      </x:c>
      <x:c r="AQ41" s="23" t="n">
        <x:f>IF($A41="","",SUM(AO41:AP41))</x:f>
        <x:v>76984.112</x:v>
      </x:c>
      <x:c r="AR41" s="23" t="n">
        <x:f>IF($A41="","",AQ41-X41)</x:f>
        <x:v>-1115.8880000000063</x:v>
      </x:c>
      <x:c r="AS41" s="22" t="n">
        <x:f>IF($A41="","",IF(W41=0,"n.a.",V41/W41))</x:f>
        <x:v>0.034782608695652174</x:v>
      </x:c>
      <x:c r="AT41" s="26" t="str">
        <x:f>IF($A41="",IF(COUNTA(B41:Y41)&gt;0,"Missing ID",""),IF(COUNTIFS($A$9:$A$508,A41)&gt;1,"Duplicate ID",IF(OR(B41="",C41="",D41="",E41="",COUNT(F41:X41)&lt;&gt;19),"Missing / text input",IF(OR(COUNTIFS(Settings!$A$59:$A$64,B41)&lt;&gt;1,COUNTIFS(Settings!$A$29:$A$33,E41)&lt;&gt;1),"Unknown department / grade",IF(OR(F41&lt;=0,F41&gt;1,G41&lt;=0,L41&lt;=0,H41&lt;0,I41&lt;0,J41&lt;0,K41&lt;0,K41&gt;1,MIN(M41:X41)&lt;0,W41=0,V41&gt;W41,M41&gt;W41-V41,P41&gt;8,Q41&gt;4,R41&gt;12,S41&gt;12,T41&gt;1,AB41&lt;0),"Review quantity / rate",IF(OR(N41&gt;Settings!$C$17,AK41&gt;Settings!$C$19),"Review benefit ceiling","OK"))))))</x:f>
        <x:v>OK</x:v>
      </x:c>
    </x:row>
    <x:row r="42" ht="23" customHeight="1">
      <x:c r="A42" s="8" t="str">
        <x:v>BE-0034</x:v>
      </x:c>
      <x:c r="B42" s="8" t="str">
        <x:v>Sales</x:v>
      </x:c>
      <x:c r="C42" s="8" t="str">
        <x:v>Brussels</x:v>
      </x:c>
      <x:c r="D42" s="8" t="str">
        <x:v>Senior account manager</x:v>
      </x:c>
      <x:c r="E42" s="8" t="str">
        <x:v>G3</x:v>
      </x:c>
      <x:c r="F42" s="20" t="n">
        <x:v>1</x:v>
      </x:c>
      <x:c r="G42" s="12" t="n">
        <x:v>4350</x:v>
      </x:c>
      <x:c r="H42" s="21" t="n">
        <x:v>0.08</x:v>
      </x:c>
      <x:c r="I42" s="20" t="n">
        <x:v>0.8</x:v>
      </x:c>
      <x:c r="J42" s="20" t="n">
        <x:v>1</x:v>
      </x:c>
      <x:c r="K42" s="20" t="n">
        <x:v>1</x:v>
      </x:c>
      <x:c r="L42" s="12" t="n">
        <x:v>4350</x:v>
      </x:c>
      <x:c r="M42" s="8" t="n">
        <x:v>209</x:v>
      </x:c>
      <x:c r="N42" s="12" t="n">
        <x:v>250</x:v>
      </x:c>
      <x:c r="O42" s="8" t="n">
        <x:v>1840</x:v>
      </x:c>
      <x:c r="P42" s="8" t="n">
        <x:v>8</x:v>
      </x:c>
      <x:c r="Q42" s="8" t="n">
        <x:v>4</x:v>
      </x:c>
      <x:c r="R42" s="8" t="n">
        <x:v>12</x:v>
      </x:c>
      <x:c r="S42" s="8" t="n">
        <x:v>0</x:v>
      </x:c>
      <x:c r="T42" s="8" t="n">
        <x:v>1</x:v>
      </x:c>
      <x:c r="U42" s="12" t="n">
        <x:v>0</x:v>
      </x:c>
      <x:c r="V42" s="8" t="n">
        <x:v>9</x:v>
      </x:c>
      <x:c r="W42" s="8" t="n">
        <x:v>230</x:v>
      </x:c>
      <x:c r="X42" s="12" t="n">
        <x:v>85100</x:v>
      </x:c>
      <x:c r="Y42" s="21" t="n">
        <x:v>0</x:v>
      </x:c>
      <x:c r="Z42" s="24" t="n">
        <x:f>IF($A42="","",INDEX(Settings!$C$29:$C$33,MATCH(E42,Settings!$A$29:$A$33,0)))</x:f>
        <x:v>4200</x:v>
      </x:c>
      <x:c r="AA42" s="22" t="n">
        <x:f>IF($A42="","",G42/Z42)</x:f>
        <x:v>1.0357142857142858</x:v>
      </x:c>
      <x:c r="AB42" s="25" t="n">
        <x:f>IF($A42="","",IF(ISNUMBER(Y42),Y42,Settings!$B$10))</x:f>
        <x:v>0</x:v>
      </x:c>
      <x:c r="AC42" s="23" t="n">
        <x:f>IF($A42="","",G42*(1+AB42))</x:f>
        <x:v>4350</x:v>
      </x:c>
      <x:c r="AD42" s="23" t="n">
        <x:f>IF($A42="","",G42*F42*12)</x:f>
        <x:v>52200</x:v>
      </x:c>
      <x:c r="AE42" s="23" t="n">
        <x:f>IF($A42="","",G42*F42*J42)</x:f>
        <x:v>4350</x:v>
      </x:c>
      <x:c r="AF42" s="24" t="n">
        <x:f>IF($A42="","",L42*F42*K42*Settings!$B$13)</x:f>
        <x:v>4002</x:v>
      </x:c>
      <x:c r="AG42" s="23" t="n">
        <x:f>IF($A42="","",AD42*H42*I42)</x:f>
        <x:v>3340.8</x:v>
      </x:c>
      <x:c r="AH42" s="24" t="n">
        <x:f>IF($A42="","",SUM(AD42:AE42,AG42)*SUM(Settings!$B$11:$B$12))</x:f>
        <x:v>14972.7</x:v>
      </x:c>
      <x:c r="AI42" s="24" t="n">
        <x:f>IF($A42="","",M42*Settings!$B$16)</x:f>
        <x:v>1862.19</x:v>
      </x:c>
      <x:c r="AJ42" s="24" t="n">
        <x:f>IF($A42="","",M42*Settings!$B$15)</x:f>
        <x:v>227.81000000000003</x:v>
      </x:c>
      <x:c r="AK42" s="24" t="n">
        <x:f>IF($A42="","",O42*Settings!$B$18)</x:f>
        <x:v>680.8</x:v>
      </x:c>
      <x:c r="AL42" s="24" t="n">
        <x:f>IF($A42="","",P42*Settings!$B$20+Q42*Settings!$B$21+R42*Settings!$B$22+S42*Settings!$B$23)</x:f>
        <x:v>2184.76</x:v>
      </x:c>
      <x:c r="AM42" s="24" t="n">
        <x:f>IF($A42="","",T42*Settings!$B$24)</x:f>
        <x:v>40</x:v>
      </x:c>
      <x:c r="AN42" s="23" t="n">
        <x:f>IF($A42="","",SUM(AI42,N42,AK42:AM42,U42))</x:f>
        <x:v>5017.75</x:v>
      </x:c>
      <x:c r="AO42" s="23" t="n">
        <x:f>IF($A42="","",SUM(AD42:AI42,N42,AK42:AM42,U42))</x:f>
        <x:v>83883.25</x:v>
      </x:c>
      <x:c r="AP42" s="24" t="n">
        <x:f>IF($A42="","",G42*F42*AB42*((13-Settings!$B$9)*(1+H42*I42)+J42)*(1+SUM(Settings!$B$11:$B$12)))</x:f>
        <x:v>0</x:v>
      </x:c>
      <x:c r="AQ42" s="23" t="n">
        <x:f>IF($A42="","",SUM(AO42:AP42))</x:f>
        <x:v>83883.25</x:v>
      </x:c>
      <x:c r="AR42" s="23" t="n">
        <x:f>IF($A42="","",AQ42-X42)</x:f>
        <x:v>-1216.75</x:v>
      </x:c>
      <x:c r="AS42" s="22" t="n">
        <x:f>IF($A42="","",IF(W42=0,"n.a.",V42/W42))</x:f>
        <x:v>0.0391304347826087</x:v>
      </x:c>
      <x:c r="AT42" s="26" t="str">
        <x:f>IF($A42="",IF(COUNTA(B42:Y42)&gt;0,"Missing ID",""),IF(COUNTIFS($A$9:$A$508,A42)&gt;1,"Duplicate ID",IF(OR(B42="",C42="",D42="",E42="",COUNT(F42:X42)&lt;&gt;19),"Missing / text input",IF(OR(COUNTIFS(Settings!$A$59:$A$64,B42)&lt;&gt;1,COUNTIFS(Settings!$A$29:$A$33,E42)&lt;&gt;1),"Unknown department / grade",IF(OR(F42&lt;=0,F42&gt;1,G42&lt;=0,L42&lt;=0,H42&lt;0,I42&lt;0,J42&lt;0,K42&lt;0,K42&gt;1,MIN(M42:X42)&lt;0,W42=0,V42&gt;W42,M42&gt;W42-V42,P42&gt;8,Q42&gt;4,R42&gt;12,S42&gt;12,T42&gt;1,AB42&lt;0),"Review quantity / rate",IF(OR(N42&gt;Settings!$C$17,AK42&gt;Settings!$C$19),"Review benefit ceiling","OK"))))))</x:f>
        <x:v>OK</x:v>
      </x:c>
    </x:row>
    <x:row r="43" ht="23" customHeight="1">
      <x:c r="A43" s="8" t="str">
        <x:v>BE-0035</x:v>
      </x:c>
      <x:c r="B43" s="8" t="str">
        <x:v>Customer Operations</x:v>
      </x:c>
      <x:c r="C43" s="8" t="str">
        <x:v>Antwerp</x:v>
      </x:c>
      <x:c r="D43" s="8" t="str">
        <x:v>Senior service specialist</x:v>
      </x:c>
      <x:c r="E43" s="8" t="str">
        <x:v>G3</x:v>
      </x:c>
      <x:c r="F43" s="20" t="n">
        <x:v>1</x:v>
      </x:c>
      <x:c r="G43" s="12" t="n">
        <x:v>4100</x:v>
      </x:c>
      <x:c r="H43" s="21" t="n">
        <x:v>0.08</x:v>
      </x:c>
      <x:c r="I43" s="20" t="n">
        <x:v>1</x:v>
      </x:c>
      <x:c r="J43" s="20" t="n">
        <x:v>1</x:v>
      </x:c>
      <x:c r="K43" s="20" t="n">
        <x:v>1</x:v>
      </x:c>
      <x:c r="L43" s="12" t="n">
        <x:v>4100</x:v>
      </x:c>
      <x:c r="M43" s="8" t="n">
        <x:v>208</x:v>
      </x:c>
      <x:c r="N43" s="12" t="n">
        <x:v>250</x:v>
      </x:c>
      <x:c r="O43" s="8" t="n">
        <x:v>0</x:v>
      </x:c>
      <x:c r="P43" s="8" t="n">
        <x:v>8</x:v>
      </x:c>
      <x:c r="Q43" s="8" t="n">
        <x:v>4</x:v>
      </x:c>
      <x:c r="R43" s="8" t="n">
        <x:v>12</x:v>
      </x:c>
      <x:c r="S43" s="8" t="n">
        <x:v>0</x:v>
      </x:c>
      <x:c r="T43" s="8" t="n">
        <x:v>1</x:v>
      </x:c>
      <x:c r="U43" s="12" t="n">
        <x:v>0</x:v>
      </x:c>
      <x:c r="V43" s="8" t="n">
        <x:v>10</x:v>
      </x:c>
      <x:c r="W43" s="8" t="n">
        <x:v>230</x:v>
      </x:c>
      <x:c r="X43" s="12" t="n">
        <x:v>82500</x:v>
      </x:c>
      <x:c r="Y43" s="21"/>
      <x:c r="Z43" s="24" t="n">
        <x:f>IF($A43="","",INDEX(Settings!$C$29:$C$33,MATCH(E43,Settings!$A$29:$A$33,0)))</x:f>
        <x:v>4200</x:v>
      </x:c>
      <x:c r="AA43" s="22" t="n">
        <x:f>IF($A43="","",G43/Z43)</x:f>
        <x:v>0.9761904761904762</x:v>
      </x:c>
      <x:c r="AB43" s="25" t="n">
        <x:f>IF($A43="","",IF(ISNUMBER(Y43),Y43,Settings!$B$10))</x:f>
        <x:v>0.03</x:v>
      </x:c>
      <x:c r="AC43" s="23" t="n">
        <x:f>IF($A43="","",G43*(1+AB43))</x:f>
        <x:v>4223</x:v>
      </x:c>
      <x:c r="AD43" s="23" t="n">
        <x:f>IF($A43="","",G43*F43*12)</x:f>
        <x:v>49200</x:v>
      </x:c>
      <x:c r="AE43" s="23" t="n">
        <x:f>IF($A43="","",G43*F43*J43)</x:f>
        <x:v>4100</x:v>
      </x:c>
      <x:c r="AF43" s="24" t="n">
        <x:f>IF($A43="","",L43*F43*K43*Settings!$B$13)</x:f>
        <x:v>3772</x:v>
      </x:c>
      <x:c r="AG43" s="23" t="n">
        <x:f>IF($A43="","",AD43*H43*I43)</x:f>
        <x:v>3936</x:v>
      </x:c>
      <x:c r="AH43" s="24" t="n">
        <x:f>IF($A43="","",SUM(AD43:AE43,AG43)*SUM(Settings!$B$11:$B$12))</x:f>
        <x:v>14309</x:v>
      </x:c>
      <x:c r="AI43" s="24" t="n">
        <x:f>IF($A43="","",M43*Settings!$B$16)</x:f>
        <x:v>1853.28</x:v>
      </x:c>
      <x:c r="AJ43" s="24" t="n">
        <x:f>IF($A43="","",M43*Settings!$B$15)</x:f>
        <x:v>226.72000000000003</x:v>
      </x:c>
      <x:c r="AK43" s="24" t="n">
        <x:f>IF($A43="","",O43*Settings!$B$18)</x:f>
        <x:v>0</x:v>
      </x:c>
      <x:c r="AL43" s="24" t="n">
        <x:f>IF($A43="","",P43*Settings!$B$20+Q43*Settings!$B$21+R43*Settings!$B$22+S43*Settings!$B$23)</x:f>
        <x:v>2184.76</x:v>
      </x:c>
      <x:c r="AM43" s="24" t="n">
        <x:f>IF($A43="","",T43*Settings!$B$24)</x:f>
        <x:v>40</x:v>
      </x:c>
      <x:c r="AN43" s="23" t="n">
        <x:f>IF($A43="","",SUM(AI43,N43,AK43:AM43,U43))</x:f>
        <x:v>4328.04</x:v>
      </x:c>
      <x:c r="AO43" s="23" t="n">
        <x:f>IF($A43="","",SUM(AD43:AI43,N43,AK43:AM43,U43))</x:f>
        <x:v>79645.04</x:v>
      </x:c>
      <x:c r="AP43" s="24" t="n">
        <x:f>IF($A43="","",G43*F43*AB43*((13-Settings!$B$9)*(1+H43*I43)+J43)*(1+SUM(Settings!$B$11:$B$12)))</x:f>
        <x:v>1648.2000000000003</x:v>
      </x:c>
      <x:c r="AQ43" s="23" t="n">
        <x:f>IF($A43="","",SUM(AO43:AP43))</x:f>
        <x:v>81293.23999999999</x:v>
      </x:c>
      <x:c r="AR43" s="23" t="n">
        <x:f>IF($A43="","",AQ43-X43)</x:f>
        <x:v>-1206.7600000000093</x:v>
      </x:c>
      <x:c r="AS43" s="22" t="n">
        <x:f>IF($A43="","",IF(W43=0,"n.a.",V43/W43))</x:f>
        <x:v>0.043478260869565216</x:v>
      </x:c>
      <x:c r="AT43" s="26" t="str">
        <x:f>IF($A43="",IF(COUNTA(B43:Y43)&gt;0,"Missing ID",""),IF(COUNTIFS($A$9:$A$508,A43)&gt;1,"Duplicate ID",IF(OR(B43="",C43="",D43="",E43="",COUNT(F43:X43)&lt;&gt;19),"Missing / text input",IF(OR(COUNTIFS(Settings!$A$59:$A$64,B43)&lt;&gt;1,COUNTIFS(Settings!$A$29:$A$33,E43)&lt;&gt;1),"Unknown department / grade",IF(OR(F43&lt;=0,F43&gt;1,G43&lt;=0,L43&lt;=0,H43&lt;0,I43&lt;0,J43&lt;0,K43&lt;0,K43&gt;1,MIN(M43:X43)&lt;0,W43=0,V43&gt;W43,M43&gt;W43-V43,P43&gt;8,Q43&gt;4,R43&gt;12,S43&gt;12,T43&gt;1,AB43&lt;0),"Review quantity / rate",IF(OR(N43&gt;Settings!$C$17,AK43&gt;Settings!$C$19),"Review benefit ceiling","OK"))))))</x:f>
        <x:v>OK</x:v>
      </x:c>
    </x:row>
    <x:row r="44" ht="23" customHeight="1">
      <x:c r="A44" s="8" t="str">
        <x:v>BE-0036</x:v>
      </x:c>
      <x:c r="B44" s="8" t="str">
        <x:v>Business Support</x:v>
      </x:c>
      <x:c r="C44" s="8" t="str">
        <x:v>Ghent</x:v>
      </x:c>
      <x:c r="D44" s="8" t="str">
        <x:v>Senior business analyst</x:v>
      </x:c>
      <x:c r="E44" s="8" t="str">
        <x:v>G3</x:v>
      </x:c>
      <x:c r="F44" s="20" t="n">
        <x:v>0.8</x:v>
      </x:c>
      <x:c r="G44" s="12" t="n">
        <x:v>4470</x:v>
      </x:c>
      <x:c r="H44" s="21" t="n">
        <x:v>0.08</x:v>
      </x:c>
      <x:c r="I44" s="20" t="n">
        <x:v>1.1</x:v>
      </x:c>
      <x:c r="J44" s="20" t="n">
        <x:v>1</x:v>
      </x:c>
      <x:c r="K44" s="20" t="n">
        <x:v>1</x:v>
      </x:c>
      <x:c r="L44" s="12" t="n">
        <x:v>4470</x:v>
      </x:c>
      <x:c r="M44" s="8" t="n">
        <x:v>171</x:v>
      </x:c>
      <x:c r="N44" s="12" t="n">
        <x:v>200</x:v>
      </x:c>
      <x:c r="O44" s="8" t="n">
        <x:v>0</x:v>
      </x:c>
      <x:c r="P44" s="8" t="n">
        <x:v>8</x:v>
      </x:c>
      <x:c r="Q44" s="8" t="n">
        <x:v>4</x:v>
      </x:c>
      <x:c r="R44" s="8" t="n">
        <x:v>12</x:v>
      </x:c>
      <x:c r="S44" s="8" t="n">
        <x:v>12</x:v>
      </x:c>
      <x:c r="T44" s="8" t="n">
        <x:v>1</x:v>
      </x:c>
      <x:c r="U44" s="12" t="n">
        <x:v>0</x:v>
      </x:c>
      <x:c r="V44" s="8" t="n">
        <x:v>11</x:v>
      </x:c>
      <x:c r="W44" s="8" t="n">
        <x:v>184</x:v>
      </x:c>
      <x:c r="X44" s="12" t="n">
        <x:v>70700</x:v>
      </x:c>
      <x:c r="Y44" s="21"/>
      <x:c r="Z44" s="24" t="n">
        <x:f>IF($A44="","",INDEX(Settings!$C$29:$C$33,MATCH(E44,Settings!$A$29:$A$33,0)))</x:f>
        <x:v>4200</x:v>
      </x:c>
      <x:c r="AA44" s="22" t="n">
        <x:f>IF($A44="","",G44/Z44)</x:f>
        <x:v>1.0642857142857143</x:v>
      </x:c>
      <x:c r="AB44" s="25" t="n">
        <x:f>IF($A44="","",IF(ISNUMBER(Y44),Y44,Settings!$B$10))</x:f>
        <x:v>0.03</x:v>
      </x:c>
      <x:c r="AC44" s="23" t="n">
        <x:f>IF($A44="","",G44*(1+AB44))</x:f>
        <x:v>4604.1</x:v>
      </x:c>
      <x:c r="AD44" s="23" t="n">
        <x:f>IF($A44="","",G44*F44*12)</x:f>
        <x:v>42912</x:v>
      </x:c>
      <x:c r="AE44" s="23" t="n">
        <x:f>IF($A44="","",G44*F44*J44)</x:f>
        <x:v>3576</x:v>
      </x:c>
      <x:c r="AF44" s="24" t="n">
        <x:f>IF($A44="","",L44*F44*K44*Settings!$B$13)</x:f>
        <x:v>3289.92</x:v>
      </x:c>
      <x:c r="AG44" s="23" t="n">
        <x:f>IF($A44="","",AD44*H44*I44)</x:f>
        <x:v>3776.2560000000003</x:v>
      </x:c>
      <x:c r="AH44" s="24" t="n">
        <x:f>IF($A44="","",SUM(AD44:AE44,AG44)*SUM(Settings!$B$11:$B$12))</x:f>
        <x:v>12566.064</x:v>
      </x:c>
      <x:c r="AI44" s="24" t="n">
        <x:f>IF($A44="","",M44*Settings!$B$16)</x:f>
        <x:v>1523.6100000000001</x:v>
      </x:c>
      <x:c r="AJ44" s="24" t="n">
        <x:f>IF($A44="","",M44*Settings!$B$15)</x:f>
        <x:v>186.39000000000001</x:v>
      </x:c>
      <x:c r="AK44" s="24" t="n">
        <x:f>IF($A44="","",O44*Settings!$B$18)</x:f>
        <x:v>0</x:v>
      </x:c>
      <x:c r="AL44" s="24" t="n">
        <x:f>IF($A44="","",P44*Settings!$B$20+Q44*Settings!$B$21+R44*Settings!$B$22+S44*Settings!$B$23)</x:f>
        <x:v>2424.76</x:v>
      </x:c>
      <x:c r="AM44" s="24" t="n">
        <x:f>IF($A44="","",T44*Settings!$B$24)</x:f>
        <x:v>40</x:v>
      </x:c>
      <x:c r="AN44" s="23" t="n">
        <x:f>IF($A44="","",SUM(AI44,N44,AK44:AM44,U44))</x:f>
        <x:v>4188.370000000001</x:v>
      </x:c>
      <x:c r="AO44" s="23" t="n">
        <x:f>IF($A44="","",SUM(AD44:AI44,N44,AK44:AM44,U44))</x:f>
        <x:v>70308.61</x:v>
      </x:c>
      <x:c r="AP44" s="24" t="n">
        <x:f>IF($A44="","",G44*F44*AB44*((13-Settings!$B$9)*(1+H44*I44)+J44)*(1+SUM(Settings!$B$11:$B$12)))</x:f>
        <x:v>1447.2072000000003</x:v>
      </x:c>
      <x:c r="AQ44" s="23" t="n">
        <x:f>IF($A44="","",SUM(AO44:AP44))</x:f>
        <x:v>71755.8172</x:v>
      </x:c>
      <x:c r="AR44" s="23" t="n">
        <x:f>IF($A44="","",AQ44-X44)</x:f>
        <x:v>1055.817200000005</x:v>
      </x:c>
      <x:c r="AS44" s="22" t="n">
        <x:f>IF($A44="","",IF(W44=0,"n.a.",V44/W44))</x:f>
        <x:v>0.059782608695652176</x:v>
      </x:c>
      <x:c r="AT44" s="26" t="str">
        <x:f>IF($A44="",IF(COUNTA(B44:Y44)&gt;0,"Missing ID",""),IF(COUNTIFS($A$9:$A$508,A44)&gt;1,"Duplicate ID",IF(OR(B44="",C44="",D44="",E44="",COUNT(F44:X44)&lt;&gt;19),"Missing / text input",IF(OR(COUNTIFS(Settings!$A$59:$A$64,B44)&lt;&gt;1,COUNTIFS(Settings!$A$29:$A$33,E44)&lt;&gt;1),"Unknown department / grade",IF(OR(F44&lt;=0,F44&gt;1,G44&lt;=0,L44&lt;=0,H44&lt;0,I44&lt;0,J44&lt;0,K44&lt;0,K44&gt;1,MIN(M44:X44)&lt;0,W44=0,V44&gt;W44,M44&gt;W44-V44,P44&gt;8,Q44&gt;4,R44&gt;12,S44&gt;12,T44&gt;1,AB44&lt;0),"Review quantity / rate",IF(OR(N44&gt;Settings!$C$17,AK44&gt;Settings!$C$19),"Review benefit ceiling","OK"))))))</x:f>
        <x:v>OK</x:v>
      </x:c>
    </x:row>
    <x:row r="45" ht="23" customHeight="1">
      <x:c r="A45" s="8" t="str">
        <x:v>BE-0037</x:v>
      </x:c>
      <x:c r="B45" s="8" t="str">
        <x:v>Finance</x:v>
      </x:c>
      <x:c r="C45" s="8" t="str">
        <x:v>Brussels</x:v>
      </x:c>
      <x:c r="D45" s="8" t="str">
        <x:v>Senior analyst</x:v>
      </x:c>
      <x:c r="E45" s="8" t="str">
        <x:v>G3</x:v>
      </x:c>
      <x:c r="F45" s="20" t="n">
        <x:v>0.6</x:v>
      </x:c>
      <x:c r="G45" s="12" t="n">
        <x:v>4460</x:v>
      </x:c>
      <x:c r="H45" s="21" t="n">
        <x:v>0.08</x:v>
      </x:c>
      <x:c r="I45" s="20" t="n">
        <x:v>0.8</x:v>
      </x:c>
      <x:c r="J45" s="20" t="n">
        <x:v>1</x:v>
      </x:c>
      <x:c r="K45" s="20" t="n">
        <x:v>1</x:v>
      </x:c>
      <x:c r="L45" s="12" t="n">
        <x:v>4460</x:v>
      </x:c>
      <x:c r="M45" s="8" t="n">
        <x:v>127</x:v>
      </x:c>
      <x:c r="N45" s="12" t="n">
        <x:v>150</x:v>
      </x:c>
      <x:c r="O45" s="8" t="n">
        <x:v>2170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1</x:v>
      </x:c>
      <x:c r="U45" s="12" t="n">
        <x:v>0</x:v>
      </x:c>
      <x:c r="V45" s="8" t="n">
        <x:v>0</x:v>
      </x:c>
      <x:c r="W45" s="8" t="n">
        <x:v>138</x:v>
      </x:c>
      <x:c r="X45" s="12" t="n">
        <x:v>52500</x:v>
      </x:c>
      <x:c r="Y45" s="21"/>
      <x:c r="Z45" s="24" t="n">
        <x:f>IF($A45="","",INDEX(Settings!$C$29:$C$33,MATCH(E45,Settings!$A$29:$A$33,0)))</x:f>
        <x:v>4200</x:v>
      </x:c>
      <x:c r="AA45" s="22" t="n">
        <x:f>IF($A45="","",G45/Z45)</x:f>
        <x:v>1.061904761904762</x:v>
      </x:c>
      <x:c r="AB45" s="25" t="n">
        <x:f>IF($A45="","",IF(ISNUMBER(Y45),Y45,Settings!$B$10))</x:f>
        <x:v>0.03</x:v>
      </x:c>
      <x:c r="AC45" s="23" t="n">
        <x:f>IF($A45="","",G45*(1+AB45))</x:f>
        <x:v>4593.8</x:v>
      </x:c>
      <x:c r="AD45" s="23" t="n">
        <x:f>IF($A45="","",G45*F45*12)</x:f>
        <x:v>32112</x:v>
      </x:c>
      <x:c r="AE45" s="23" t="n">
        <x:f>IF($A45="","",G45*F45*J45)</x:f>
        <x:v>2676</x:v>
      </x:c>
      <x:c r="AF45" s="24" t="n">
        <x:f>IF($A45="","",L45*F45*K45*Settings!$B$13)</x:f>
        <x:v>2461.92</x:v>
      </x:c>
      <x:c r="AG45" s="23" t="n">
        <x:f>IF($A45="","",AD45*H45*I45)</x:f>
        <x:v>2055.168</x:v>
      </x:c>
      <x:c r="AH45" s="24" t="n">
        <x:f>IF($A45="","",SUM(AD45:AE45,AG45)*SUM(Settings!$B$11:$B$12))</x:f>
        <x:v>9210.792</x:v>
      </x:c>
      <x:c r="AI45" s="24" t="n">
        <x:f>IF($A45="","",M45*Settings!$B$16)</x:f>
        <x:v>1131.57</x:v>
      </x:c>
      <x:c r="AJ45" s="24" t="n">
        <x:f>IF($A45="","",M45*Settings!$B$15)</x:f>
        <x:v>138.43</x:v>
      </x:c>
      <x:c r="AK45" s="24" t="n">
        <x:f>IF($A45="","",O45*Settings!$B$18)</x:f>
        <x:v>802.9</x:v>
      </x:c>
      <x:c r="AL45" s="24" t="n">
        <x:f>IF($A45="","",P45*Settings!$B$20+Q45*Settings!$B$21+R45*Settings!$B$22+S45*Settings!$B$23)</x:f>
        <x:v>0</x:v>
      </x:c>
      <x:c r="AM45" s="24" t="n">
        <x:f>IF($A45="","",T45*Settings!$B$24)</x:f>
        <x:v>40</x:v>
      </x:c>
      <x:c r="AN45" s="23" t="n">
        <x:f>IF($A45="","",SUM(AI45,N45,AK45:AM45,U45))</x:f>
        <x:v>2124.47</x:v>
      </x:c>
      <x:c r="AO45" s="23" t="n">
        <x:f>IF($A45="","",SUM(AD45:AI45,N45,AK45:AM45,U45))</x:f>
        <x:v>50640.35</x:v>
      </x:c>
      <x:c r="AP45" s="24" t="n">
        <x:f>IF($A45="","",G45*F45*AB45*((13-Settings!$B$9)*(1+H45*I45)+J45)*(1+SUM(Settings!$B$11:$B$12)))</x:f>
        <x:v>1061.3016</x:v>
      </x:c>
      <x:c r="AQ45" s="23" t="n">
        <x:f>IF($A45="","",SUM(AO45:AP45))</x:f>
        <x:v>51701.6516</x:v>
      </x:c>
      <x:c r="AR45" s="23" t="n">
        <x:f>IF($A45="","",AQ45-X45)</x:f>
        <x:v>-798.3484000000026</x:v>
      </x:c>
      <x:c r="AS45" s="22" t="n">
        <x:f>IF($A45="","",IF(W45=0,"n.a.",V45/W45))</x:f>
        <x:v>0</x:v>
      </x:c>
      <x:c r="AT45" s="26" t="str">
        <x:f>IF($A45="",IF(COUNTA(B45:Y45)&gt;0,"Missing ID",""),IF(COUNTIFS($A$9:$A$508,A45)&gt;1,"Duplicate ID",IF(OR(B45="",C45="",D45="",E45="",COUNT(F45:X45)&lt;&gt;19),"Missing / text input",IF(OR(COUNTIFS(Settings!$A$59:$A$64,B45)&lt;&gt;1,COUNTIFS(Settings!$A$29:$A$33,E45)&lt;&gt;1),"Unknown department / grade",IF(OR(F45&lt;=0,F45&gt;1,G45&lt;=0,L45&lt;=0,H45&lt;0,I45&lt;0,J45&lt;0,K45&lt;0,K45&gt;1,MIN(M45:X45)&lt;0,W45=0,V45&gt;W45,M45&gt;W45-V45,P45&gt;8,Q45&gt;4,R45&gt;12,S45&gt;12,T45&gt;1,AB45&lt;0),"Review quantity / rate",IF(OR(N45&gt;Settings!$C$17,AK45&gt;Settings!$C$19),"Review benefit ceiling","OK"))))))</x:f>
        <x:v>OK</x:v>
      </x:c>
    </x:row>
    <x:row r="46" ht="23" customHeight="1">
      <x:c r="A46" s="8" t="str">
        <x:v>BE-0038</x:v>
      </x:c>
      <x:c r="B46" s="8" t="str">
        <x:v>People &amp; Culture</x:v>
      </x:c>
      <x:c r="C46" s="8" t="str">
        <x:v>Antwerp</x:v>
      </x:c>
      <x:c r="D46" s="8" t="str">
        <x:v>People manager</x:v>
      </x:c>
      <x:c r="E46" s="8" t="str">
        <x:v>G4</x:v>
      </x:c>
      <x:c r="F46" s="20" t="n">
        <x:v>1</x:v>
      </x:c>
      <x:c r="G46" s="12" t="n">
        <x:v>5100</x:v>
      </x:c>
      <x:c r="H46" s="21" t="n">
        <x:v>0.12</x:v>
      </x:c>
      <x:c r="I46" s="20" t="n">
        <x:v>1</x:v>
      </x:c>
      <x:c r="J46" s="20" t="n">
        <x:v>1</x:v>
      </x:c>
      <x:c r="K46" s="20" t="n">
        <x:v>1</x:v>
      </x:c>
      <x:c r="L46" s="12" t="n">
        <x:v>5100</x:v>
      </x:c>
      <x:c r="M46" s="8" t="n">
        <x:v>212</x:v>
      </x:c>
      <x:c r="N46" s="12" t="n">
        <x:v>250</x:v>
      </x:c>
      <x:c r="O46" s="8" t="n">
        <x:v>0</x:v>
      </x:c>
      <x:c r="P46" s="8" t="n">
        <x:v>8</x:v>
      </x:c>
      <x:c r="Q46" s="8" t="n">
        <x:v>4</x:v>
      </x:c>
      <x:c r="R46" s="8" t="n">
        <x:v>12</x:v>
      </x:c>
      <x:c r="S46" s="8" t="n">
        <x:v>0</x:v>
      </x:c>
      <x:c r="T46" s="8" t="n">
        <x:v>1</x:v>
      </x:c>
      <x:c r="U46" s="12" t="n">
        <x:v>0</x:v>
      </x:c>
      <x:c r="V46" s="8" t="n">
        <x:v>1</x:v>
      </x:c>
      <x:c r="W46" s="8" t="n">
        <x:v>230</x:v>
      </x:c>
      <x:c r="X46" s="12" t="n">
        <x:v>104800</x:v>
      </x:c>
      <x:c r="Y46" s="21"/>
      <x:c r="Z46" s="24" t="n">
        <x:f>IF($A46="","",INDEX(Settings!$C$29:$C$33,MATCH(E46,Settings!$A$29:$A$33,0)))</x:f>
        <x:v>5400</x:v>
      </x:c>
      <x:c r="AA46" s="22" t="n">
        <x:f>IF($A46="","",G46/Z46)</x:f>
        <x:v>0.9444444444444444</x:v>
      </x:c>
      <x:c r="AB46" s="25" t="n">
        <x:f>IF($A46="","",IF(ISNUMBER(Y46),Y46,Settings!$B$10))</x:f>
        <x:v>0.03</x:v>
      </x:c>
      <x:c r="AC46" s="23" t="n">
        <x:f>IF($A46="","",G46*(1+AB46))</x:f>
        <x:v>5253</x:v>
      </x:c>
      <x:c r="AD46" s="23" t="n">
        <x:f>IF($A46="","",G46*F46*12)</x:f>
        <x:v>61200</x:v>
      </x:c>
      <x:c r="AE46" s="23" t="n">
        <x:f>IF($A46="","",G46*F46*J46)</x:f>
        <x:v>5100</x:v>
      </x:c>
      <x:c r="AF46" s="24" t="n">
        <x:f>IF($A46="","",L46*F46*K46*Settings!$B$13)</x:f>
        <x:v>4692</x:v>
      </x:c>
      <x:c r="AG46" s="23" t="n">
        <x:f>IF($A46="","",AD46*H46*I46)</x:f>
        <x:v>7344</x:v>
      </x:c>
      <x:c r="AH46" s="24" t="n">
        <x:f>IF($A46="","",SUM(AD46:AE46,AG46)*SUM(Settings!$B$11:$B$12))</x:f>
        <x:v>18411</x:v>
      </x:c>
      <x:c r="AI46" s="24" t="n">
        <x:f>IF($A46="","",M46*Settings!$B$16)</x:f>
        <x:v>1888.92</x:v>
      </x:c>
      <x:c r="AJ46" s="24" t="n">
        <x:f>IF($A46="","",M46*Settings!$B$15)</x:f>
        <x:v>231.08</x:v>
      </x:c>
      <x:c r="AK46" s="24" t="n">
        <x:f>IF($A46="","",O46*Settings!$B$18)</x:f>
        <x:v>0</x:v>
      </x:c>
      <x:c r="AL46" s="24" t="n">
        <x:f>IF($A46="","",P46*Settings!$B$20+Q46*Settings!$B$21+R46*Settings!$B$22+S46*Settings!$B$23)</x:f>
        <x:v>2184.76</x:v>
      </x:c>
      <x:c r="AM46" s="24" t="n">
        <x:f>IF($A46="","",T46*Settings!$B$24)</x:f>
        <x:v>40</x:v>
      </x:c>
      <x:c r="AN46" s="23" t="n">
        <x:f>IF($A46="","",SUM(AI46,N46,AK46:AM46,U46))</x:f>
        <x:v>4363.68</x:v>
      </x:c>
      <x:c r="AO46" s="23" t="n">
        <x:f>IF($A46="","",SUM(AD46:AI46,N46,AK46:AM46,U46))</x:f>
        <x:v>101110.68</x:v>
      </x:c>
      <x:c r="AP46" s="24" t="n">
        <x:f>IF($A46="","",G46*F46*AB46*((13-Settings!$B$9)*(1+H46*I46)+J46)*(1+SUM(Settings!$B$11:$B$12)))</x:f>
        <x:v>2119.05</x:v>
      </x:c>
      <x:c r="AQ46" s="23" t="n">
        <x:f>IF($A46="","",SUM(AO46:AP46))</x:f>
        <x:v>103229.73</x:v>
      </x:c>
      <x:c r="AR46" s="23" t="n">
        <x:f>IF($A46="","",AQ46-X46)</x:f>
        <x:v>-1570.270000000004</x:v>
      </x:c>
      <x:c r="AS46" s="22" t="n">
        <x:f>IF($A46="","",IF(W46=0,"n.a.",V46/W46))</x:f>
        <x:v>0.004347826086956522</x:v>
      </x:c>
      <x:c r="AT46" s="26" t="str">
        <x:f>IF($A46="",IF(COUNTA(B46:Y46)&gt;0,"Missing ID",""),IF(COUNTIFS($A$9:$A$508,A46)&gt;1,"Duplicate ID",IF(OR(B46="",C46="",D46="",E46="",COUNT(F46:X46)&lt;&gt;19),"Missing / text input",IF(OR(COUNTIFS(Settings!$A$59:$A$64,B46)&lt;&gt;1,COUNTIFS(Settings!$A$29:$A$33,E46)&lt;&gt;1),"Unknown department / grade",IF(OR(F46&lt;=0,F46&gt;1,G46&lt;=0,L46&lt;=0,H46&lt;0,I46&lt;0,J46&lt;0,K46&lt;0,K46&gt;1,MIN(M46:X46)&lt;0,W46=0,V46&gt;W46,M46&gt;W46-V46,P46&gt;8,Q46&gt;4,R46&gt;12,S46&gt;12,T46&gt;1,AB46&lt;0),"Review quantity / rate",IF(OR(N46&gt;Settings!$C$17,AK46&gt;Settings!$C$19),"Review benefit ceiling","OK"))))))</x:f>
        <x:v>OK</x:v>
      </x:c>
    </x:row>
    <x:row r="47" ht="23" customHeight="1">
      <x:c r="A47" s="8" t="str">
        <x:v>BE-0039</x:v>
      </x:c>
      <x:c r="B47" s="8" t="str">
        <x:v>Technology</x:v>
      </x:c>
      <x:c r="C47" s="8" t="str">
        <x:v>Ghent</x:v>
      </x:c>
      <x:c r="D47" s="8" t="str">
        <x:v>IT manager</x:v>
      </x:c>
      <x:c r="E47" s="8" t="str">
        <x:v>G4</x:v>
      </x:c>
      <x:c r="F47" s="20" t="n">
        <x:v>1</x:v>
      </x:c>
      <x:c r="G47" s="12" t="n">
        <x:v>5000</x:v>
      </x:c>
      <x:c r="H47" s="21" t="n">
        <x:v>0.12</x:v>
      </x:c>
      <x:c r="I47" s="20" t="n">
        <x:v>1.1</x:v>
      </x:c>
      <x:c r="J47" s="20" t="n">
        <x:v>1</x:v>
      </x:c>
      <x:c r="K47" s="20" t="n">
        <x:v>1</x:v>
      </x:c>
      <x:c r="L47" s="12" t="n">
        <x:v>5000</x:v>
      </x:c>
      <x:c r="M47" s="8" t="n">
        <x:v>211</x:v>
      </x:c>
      <x:c r="N47" s="12" t="n">
        <x:v>250</x:v>
      </x:c>
      <x:c r="O47" s="8" t="n">
        <x:v>0</x:v>
      </x:c>
      <x:c r="P47" s="8" t="n">
        <x:v>8</x:v>
      </x:c>
      <x:c r="Q47" s="8" t="n">
        <x:v>4</x:v>
      </x:c>
      <x:c r="R47" s="8" t="n">
        <x:v>12</x:v>
      </x:c>
      <x:c r="S47" s="8" t="n">
        <x:v>0</x:v>
      </x:c>
      <x:c r="T47" s="8" t="n">
        <x:v>1</x:v>
      </x:c>
      <x:c r="U47" s="12" t="n">
        <x:v>0</x:v>
      </x:c>
      <x:c r="V47" s="8" t="n">
        <x:v>2</x:v>
      </x:c>
      <x:c r="W47" s="8" t="n">
        <x:v>230</x:v>
      </x:c>
      <x:c r="X47" s="12" t="n">
        <x:v>103700</x:v>
      </x:c>
      <x:c r="Y47" s="21"/>
      <x:c r="Z47" s="24" t="n">
        <x:f>IF($A47="","",INDEX(Settings!$C$29:$C$33,MATCH(E47,Settings!$A$29:$A$33,0)))</x:f>
        <x:v>5400</x:v>
      </x:c>
      <x:c r="AA47" s="22" t="n">
        <x:f>IF($A47="","",G47/Z47)</x:f>
        <x:v>0.9259259259259259</x:v>
      </x:c>
      <x:c r="AB47" s="25" t="n">
        <x:f>IF($A47="","",IF(ISNUMBER(Y47),Y47,Settings!$B$10))</x:f>
        <x:v>0.03</x:v>
      </x:c>
      <x:c r="AC47" s="23" t="n">
        <x:f>IF($A47="","",G47*(1+AB47))</x:f>
        <x:v>5150</x:v>
      </x:c>
      <x:c r="AD47" s="23" t="n">
        <x:f>IF($A47="","",G47*F47*12)</x:f>
        <x:v>60000</x:v>
      </x:c>
      <x:c r="AE47" s="23" t="n">
        <x:f>IF($A47="","",G47*F47*J47)</x:f>
        <x:v>5000</x:v>
      </x:c>
      <x:c r="AF47" s="24" t="n">
        <x:f>IF($A47="","",L47*F47*K47*Settings!$B$13)</x:f>
        <x:v>4600</x:v>
      </x:c>
      <x:c r="AG47" s="23" t="n">
        <x:f>IF($A47="","",AD47*H47*I47)</x:f>
        <x:v>7920.000000000001</x:v>
      </x:c>
      <x:c r="AH47" s="24" t="n">
        <x:f>IF($A47="","",SUM(AD47:AE47,AG47)*SUM(Settings!$B$11:$B$12))</x:f>
        <x:v>18230</x:v>
      </x:c>
      <x:c r="AI47" s="24" t="n">
        <x:f>IF($A47="","",M47*Settings!$B$16)</x:f>
        <x:v>1880.01</x:v>
      </x:c>
      <x:c r="AJ47" s="24" t="n">
        <x:f>IF($A47="","",M47*Settings!$B$15)</x:f>
        <x:v>229.99</x:v>
      </x:c>
      <x:c r="AK47" s="24" t="n">
        <x:f>IF($A47="","",O47*Settings!$B$18)</x:f>
        <x:v>0</x:v>
      </x:c>
      <x:c r="AL47" s="24" t="n">
        <x:f>IF($A47="","",P47*Settings!$B$20+Q47*Settings!$B$21+R47*Settings!$B$22+S47*Settings!$B$23)</x:f>
        <x:v>2184.76</x:v>
      </x:c>
      <x:c r="AM47" s="24" t="n">
        <x:f>IF($A47="","",T47*Settings!$B$24)</x:f>
        <x:v>40</x:v>
      </x:c>
      <x:c r="AN47" s="23" t="n">
        <x:f>IF($A47="","",SUM(AI47,N47,AK47:AM47,U47))</x:f>
        <x:v>4354.77</x:v>
      </x:c>
      <x:c r="AO47" s="23" t="n">
        <x:f>IF($A47="","",SUM(AD47:AI47,N47,AK47:AM47,U47))</x:f>
        <x:v>100104.76999999999</x:v>
      </x:c>
      <x:c r="AP47" s="24" t="n">
        <x:f>IF($A47="","",G47*F47*AB47*((13-Settings!$B$9)*(1+H47*I47)+J47)*(1+SUM(Settings!$B$11:$B$12)))</x:f>
        <x:v>2097.75</x:v>
      </x:c>
      <x:c r="AQ47" s="23" t="n">
        <x:f>IF($A47="","",SUM(AO47:AP47))</x:f>
        <x:v>102202.51999999999</x:v>
      </x:c>
      <x:c r="AR47" s="23" t="n">
        <x:f>IF($A47="","",AQ47-X47)</x:f>
        <x:v>-1497.4800000000105</x:v>
      </x:c>
      <x:c r="AS47" s="22" t="n">
        <x:f>IF($A47="","",IF(W47=0,"n.a.",V47/W47))</x:f>
        <x:v>0.008695652173913044</x:v>
      </x:c>
      <x:c r="AT47" s="26" t="str">
        <x:f>IF($A47="",IF(COUNTA(B47:Y47)&gt;0,"Missing ID",""),IF(COUNTIFS($A$9:$A$508,A47)&gt;1,"Duplicate ID",IF(OR(B47="",C47="",D47="",E47="",COUNT(F47:X47)&lt;&gt;19),"Missing / text input",IF(OR(COUNTIFS(Settings!$A$59:$A$64,B47)&lt;&gt;1,COUNTIFS(Settings!$A$29:$A$33,E47)&lt;&gt;1),"Unknown department / grade",IF(OR(F47&lt;=0,F47&gt;1,G47&lt;=0,L47&lt;=0,H47&lt;0,I47&lt;0,J47&lt;0,K47&lt;0,K47&gt;1,MIN(M47:X47)&lt;0,W47=0,V47&gt;W47,M47&gt;W47-V47,P47&gt;8,Q47&gt;4,R47&gt;12,S47&gt;12,T47&gt;1,AB47&lt;0),"Review quantity / rate",IF(OR(N47&gt;Settings!$C$17,AK47&gt;Settings!$C$19),"Review benefit ceiling","OK"))))))</x:f>
        <x:v>OK</x:v>
      </x:c>
    </x:row>
    <x:row r="48" ht="23" customHeight="1">
      <x:c r="A48" s="8" t="str">
        <x:v>BE-0040</x:v>
      </x:c>
      <x:c r="B48" s="8" t="str">
        <x:v>Sales</x:v>
      </x:c>
      <x:c r="C48" s="8" t="str">
        <x:v>Brussels</x:v>
      </x:c>
      <x:c r="D48" s="8" t="str">
        <x:v>Head of Sales</x:v>
      </x:c>
      <x:c r="E48" s="8" t="str">
        <x:v>G5</x:v>
      </x:c>
      <x:c r="F48" s="20" t="n">
        <x:v>1</x:v>
      </x:c>
      <x:c r="G48" s="12" t="n">
        <x:v>7210</x:v>
      </x:c>
      <x:c r="H48" s="21" t="n">
        <x:v>0.18</x:v>
      </x:c>
      <x:c r="I48" s="20" t="n">
        <x:v>0.8</x:v>
      </x:c>
      <x:c r="J48" s="20" t="n">
        <x:v>1</x:v>
      </x:c>
      <x:c r="K48" s="20" t="n">
        <x:v>1</x:v>
      </x:c>
      <x:c r="L48" s="12" t="n">
        <x:v>7210</x:v>
      </x:c>
      <x:c r="M48" s="8" t="n">
        <x:v>210</x:v>
      </x:c>
      <x:c r="N48" s="12" t="n">
        <x:v>250</x:v>
      </x:c>
      <x:c r="O48" s="8" t="n">
        <x:v>410</x:v>
      </x:c>
      <x:c r="P48" s="8" t="n">
        <x:v>8</x:v>
      </x:c>
      <x:c r="Q48" s="8" t="n">
        <x:v>4</x:v>
      </x:c>
      <x:c r="R48" s="8" t="n">
        <x:v>12</x:v>
      </x:c>
      <x:c r="S48" s="8" t="n">
        <x:v>0</x:v>
      </x:c>
      <x:c r="T48" s="8" t="n">
        <x:v>1</x:v>
      </x:c>
      <x:c r="U48" s="12" t="n">
        <x:v>0</x:v>
      </x:c>
      <x:c r="V48" s="8" t="n">
        <x:v>3</x:v>
      </x:c>
      <x:c r="W48" s="8" t="n">
        <x:v>230</x:v>
      </x:c>
      <x:c r="X48" s="12" t="n">
        <x:v>149100</x:v>
      </x:c>
      <x:c r="Y48" s="21"/>
      <x:c r="Z48" s="24" t="n">
        <x:f>IF($A48="","",INDEX(Settings!$C$29:$C$33,MATCH(E48,Settings!$A$29:$A$33,0)))</x:f>
        <x:v>7500</x:v>
      </x:c>
      <x:c r="AA48" s="22" t="n">
        <x:f>IF($A48="","",G48/Z48)</x:f>
        <x:v>0.9613333333333334</x:v>
      </x:c>
      <x:c r="AB48" s="25" t="n">
        <x:f>IF($A48="","",IF(ISNUMBER(Y48),Y48,Settings!$B$10))</x:f>
        <x:v>0.03</x:v>
      </x:c>
      <x:c r="AC48" s="23" t="n">
        <x:f>IF($A48="","",G48*(1+AB48))</x:f>
        <x:v>7426.3</x:v>
      </x:c>
      <x:c r="AD48" s="23" t="n">
        <x:f>IF($A48="","",G48*F48*12)</x:f>
        <x:v>86520</x:v>
      </x:c>
      <x:c r="AE48" s="23" t="n">
        <x:f>IF($A48="","",G48*F48*J48)</x:f>
        <x:v>7210</x:v>
      </x:c>
      <x:c r="AF48" s="24" t="n">
        <x:f>IF($A48="","",L48*F48*K48*Settings!$B$13)</x:f>
        <x:v>6633.200000000001</x:v>
      </x:c>
      <x:c r="AG48" s="23" t="n">
        <x:f>IF($A48="","",AD48*H48*I48)</x:f>
        <x:v>12458.88</x:v>
      </x:c>
      <x:c r="AH48" s="24" t="n">
        <x:f>IF($A48="","",SUM(AD48:AE48,AG48)*SUM(Settings!$B$11:$B$12))</x:f>
        <x:v>26547.22</x:v>
      </x:c>
      <x:c r="AI48" s="24" t="n">
        <x:f>IF($A48="","",M48*Settings!$B$16)</x:f>
        <x:v>1871.1000000000001</x:v>
      </x:c>
      <x:c r="AJ48" s="24" t="n">
        <x:f>IF($A48="","",M48*Settings!$B$15)</x:f>
        <x:v>228.9</x:v>
      </x:c>
      <x:c r="AK48" s="24" t="n">
        <x:f>IF($A48="","",O48*Settings!$B$18)</x:f>
        <x:v>151.7</x:v>
      </x:c>
      <x:c r="AL48" s="24" t="n">
        <x:f>IF($A48="","",P48*Settings!$B$20+Q48*Settings!$B$21+R48*Settings!$B$22+S48*Settings!$B$23)</x:f>
        <x:v>2184.76</x:v>
      </x:c>
      <x:c r="AM48" s="24" t="n">
        <x:f>IF($A48="","",T48*Settings!$B$24)</x:f>
        <x:v>40</x:v>
      </x:c>
      <x:c r="AN48" s="23" t="n">
        <x:f>IF($A48="","",SUM(AI48,N48,AK48:AM48,U48))</x:f>
        <x:v>4497.56</x:v>
      </x:c>
      <x:c r="AO48" s="23" t="n">
        <x:f>IF($A48="","",SUM(AD48:AI48,N48,AK48:AM48,U48))</x:f>
        <x:v>143866.86</x:v>
      </x:c>
      <x:c r="AP48" s="24" t="n">
        <x:f>IF($A48="","",G48*F48*AB48*((13-Settings!$B$9)*(1+H48*I48)+J48)*(1+SUM(Settings!$B$11:$B$12)))</x:f>
        <x:v>3054.156</x:v>
      </x:c>
      <x:c r="AQ48" s="23" t="n">
        <x:f>IF($A48="","",SUM(AO48:AP48))</x:f>
        <x:v>146921.01599999997</x:v>
      </x:c>
      <x:c r="AR48" s="23" t="n">
        <x:f>IF($A48="","",AQ48-X48)</x:f>
        <x:v>-2178.984000000026</x:v>
      </x:c>
      <x:c r="AS48" s="22" t="n">
        <x:f>IF($A48="","",IF(W48=0,"n.a.",V48/W48))</x:f>
        <x:v>0.013043478260869565</x:v>
      </x:c>
      <x:c r="AT48" s="26" t="str">
        <x:f>IF($A48="",IF(COUNTA(B48:Y48)&gt;0,"Missing ID",""),IF(COUNTIFS($A$9:$A$508,A48)&gt;1,"Duplicate ID",IF(OR(B48="",C48="",D48="",E48="",COUNT(F48:X48)&lt;&gt;19),"Missing / text input",IF(OR(COUNTIFS(Settings!$A$59:$A$64,B48)&lt;&gt;1,COUNTIFS(Settings!$A$29:$A$33,E48)&lt;&gt;1),"Unknown department / grade",IF(OR(F48&lt;=0,F48&gt;1,G48&lt;=0,L48&lt;=0,H48&lt;0,I48&lt;0,J48&lt;0,K48&lt;0,K48&gt;1,MIN(M48:X48)&lt;0,W48=0,V48&gt;W48,M48&gt;W48-V48,P48&gt;8,Q48&gt;4,R48&gt;12,S48&gt;12,T48&gt;1,AB48&lt;0),"Review quantity / rate",IF(OR(N48&gt;Settings!$C$17,AK48&gt;Settings!$C$19),"Review benefit ceiling","OK"))))))</x:f>
        <x:v>OK</x:v>
      </x:c>
    </x:row>
    <x:row r="49" ht="23" customHeight="1">
      <x:c r="A49" s="8" t="str">
        <x:v>BE-0041</x:v>
      </x:c>
      <x:c r="B49" s="8" t="str">
        <x:v>Customer Operations</x:v>
      </x:c>
      <x:c r="C49" s="8" t="str">
        <x:v>Antwerp</x:v>
      </x:c>
      <x:c r="D49" s="8" t="str">
        <x:v>Service administrator</x:v>
      </x:c>
      <x:c r="E49" s="8" t="str">
        <x:v>G1</x:v>
      </x:c>
      <x:c r="F49" s="20" t="n">
        <x:v>1</x:v>
      </x:c>
      <x:c r="G49" s="12" t="n">
        <x:v>2560</x:v>
      </x:c>
      <x:c r="H49" s="21" t="n">
        <x:v>0.03</x:v>
      </x:c>
      <x:c r="I49" s="20" t="n">
        <x:v>1</x:v>
      </x:c>
      <x:c r="J49" s="20" t="n">
        <x:v>1</x:v>
      </x:c>
      <x:c r="K49" s="20" t="n">
        <x:v>1</x:v>
      </x:c>
      <x:c r="L49" s="12" t="n">
        <x:v>2560</x:v>
      </x:c>
      <x:c r="M49" s="8" t="n">
        <x:v>209</x:v>
      </x:c>
      <x:c r="N49" s="12" t="n">
        <x:v>250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1</x:v>
      </x:c>
      <x:c r="U49" s="12" t="n">
        <x:v>0</x:v>
      </x:c>
      <x:c r="V49" s="8" t="n">
        <x:v>4</x:v>
      </x:c>
      <x:c r="W49" s="8" t="n">
        <x:v>230</x:v>
      </x:c>
      <x:c r="X49" s="12" t="n">
        <x:v>47500</x:v>
      </x:c>
      <x:c r="Y49" s="21"/>
      <x:c r="Z49" s="24" t="n">
        <x:f>IF($A49="","",INDEX(Settings!$C$29:$C$33,MATCH(E49,Settings!$A$29:$A$33,0)))</x:f>
        <x:v>2700</x:v>
      </x:c>
      <x:c r="AA49" s="22" t="n">
        <x:f>IF($A49="","",G49/Z49)</x:f>
        <x:v>0.9481481481481482</x:v>
      </x:c>
      <x:c r="AB49" s="25" t="n">
        <x:f>IF($A49="","",IF(ISNUMBER(Y49),Y49,Settings!$B$10))</x:f>
        <x:v>0.03</x:v>
      </x:c>
      <x:c r="AC49" s="23" t="n">
        <x:f>IF($A49="","",G49*(1+AB49))</x:f>
        <x:v>2636.8</x:v>
      </x:c>
      <x:c r="AD49" s="23" t="n">
        <x:f>IF($A49="","",G49*F49*12)</x:f>
        <x:v>30720</x:v>
      </x:c>
      <x:c r="AE49" s="23" t="n">
        <x:f>IF($A49="","",G49*F49*J49)</x:f>
        <x:v>2560</x:v>
      </x:c>
      <x:c r="AF49" s="24" t="n">
        <x:f>IF($A49="","",L49*F49*K49*Settings!$B$13)</x:f>
        <x:v>2355.2000000000003</x:v>
      </x:c>
      <x:c r="AG49" s="23" t="n">
        <x:f>IF($A49="","",AD49*H49*I49)</x:f>
        <x:v>921.5999999999999</x:v>
      </x:c>
      <x:c r="AH49" s="24" t="n">
        <x:f>IF($A49="","",SUM(AD49:AE49,AG49)*SUM(Settings!$B$11:$B$12))</x:f>
        <x:v>8550.4</x:v>
      </x:c>
      <x:c r="AI49" s="24" t="n">
        <x:f>IF($A49="","",M49*Settings!$B$16)</x:f>
        <x:v>1862.19</x:v>
      </x:c>
      <x:c r="AJ49" s="24" t="n">
        <x:f>IF($A49="","",M49*Settings!$B$15)</x:f>
        <x:v>227.81000000000003</x:v>
      </x:c>
      <x:c r="AK49" s="24" t="n">
        <x:f>IF($A49="","",O49*Settings!$B$18)</x:f>
        <x:v>0</x:v>
      </x:c>
      <x:c r="AL49" s="24" t="n">
        <x:f>IF($A49="","",P49*Settings!$B$20+Q49*Settings!$B$21+R49*Settings!$B$22+S49*Settings!$B$23)</x:f>
        <x:v>0</x:v>
      </x:c>
      <x:c r="AM49" s="24" t="n">
        <x:f>IF($A49="","",T49*Settings!$B$24)</x:f>
        <x:v>40</x:v>
      </x:c>
      <x:c r="AN49" s="23" t="n">
        <x:f>IF($A49="","",SUM(AI49,N49,AK49:AM49,U49))</x:f>
        <x:v>2152.19</x:v>
      </x:c>
      <x:c r="AO49" s="23" t="n">
        <x:f>IF($A49="","",SUM(AD49:AI49,N49,AK49:AM49,U49))</x:f>
        <x:v>47259.39</x:v>
      </x:c>
      <x:c r="AP49" s="24" t="n">
        <x:f>IF($A49="","",G49*F49*AB49*((13-Settings!$B$9)*(1+H49*I49)+J49)*(1+SUM(Settings!$B$11:$B$12)))</x:f>
        <x:v>985.92</x:v>
      </x:c>
      <x:c r="AQ49" s="23" t="n">
        <x:f>IF($A49="","",SUM(AO49:AP49))</x:f>
        <x:v>48245.31</x:v>
      </x:c>
      <x:c r="AR49" s="23" t="n">
        <x:f>IF($A49="","",AQ49-X49)</x:f>
        <x:v>745.3099999999977</x:v>
      </x:c>
      <x:c r="AS49" s="22" t="n">
        <x:f>IF($A49="","",IF(W49=0,"n.a.",V49/W49))</x:f>
        <x:v>0.017391304347826087</x:v>
      </x:c>
      <x:c r="AT49" s="26" t="str">
        <x:f>IF($A49="",IF(COUNTA(B49:Y49)&gt;0,"Missing ID",""),IF(COUNTIFS($A$9:$A$508,A49)&gt;1,"Duplicate ID",IF(OR(B49="",C49="",D49="",E49="",COUNT(F49:X49)&lt;&gt;19),"Missing / text input",IF(OR(COUNTIFS(Settings!$A$59:$A$64,B49)&lt;&gt;1,COUNTIFS(Settings!$A$29:$A$33,E49)&lt;&gt;1),"Unknown department / grade",IF(OR(F49&lt;=0,F49&gt;1,G49&lt;=0,L49&lt;=0,H49&lt;0,I49&lt;0,J49&lt;0,K49&lt;0,K49&gt;1,MIN(M49:X49)&lt;0,W49=0,V49&gt;W49,M49&gt;W49-V49,P49&gt;8,Q49&gt;4,R49&gt;12,S49&gt;12,T49&gt;1,AB49&lt;0),"Review quantity / rate",IF(OR(N49&gt;Settings!$C$17,AK49&gt;Settings!$C$19),"Review benefit ceiling","OK"))))))</x:f>
        <x:v>OK</x:v>
      </x:c>
    </x:row>
    <x:row r="50" ht="23" customHeight="1">
      <x:c r="A50" s="8" t="str">
        <x:v>BE-0042</x:v>
      </x:c>
      <x:c r="B50" s="8" t="str">
        <x:v>Business Support</x:v>
      </x:c>
      <x:c r="C50" s="8" t="str">
        <x:v>Ghent</x:v>
      </x:c>
      <x:c r="D50" s="8" t="str">
        <x:v>Office administrator</x:v>
      </x:c>
      <x:c r="E50" s="8" t="str">
        <x:v>G1</x:v>
      </x:c>
      <x:c r="F50" s="20" t="n">
        <x:v>1</x:v>
      </x:c>
      <x:c r="G50" s="12" t="n">
        <x:v>2920</x:v>
      </x:c>
      <x:c r="H50" s="21" t="n">
        <x:v>0.03</x:v>
      </x:c>
      <x:c r="I50" s="20" t="n">
        <x:v>1.1</x:v>
      </x:c>
      <x:c r="J50" s="20" t="n">
        <x:v>1</x:v>
      </x:c>
      <x:c r="K50" s="20" t="n">
        <x:v>1</x:v>
      </x:c>
      <x:c r="L50" s="12" t="n">
        <x:v>2920</x:v>
      </x:c>
      <x:c r="M50" s="8" t="n">
        <x:v>208</x:v>
      </x:c>
      <x:c r="N50" s="12" t="n">
        <x:v>250</x:v>
      </x:c>
      <x:c r="O50" s="8" t="n">
        <x:v>0</x:v>
      </x:c>
      <x:c r="P50" s="8" t="n">
        <x:v>8</x:v>
      </x:c>
      <x:c r="Q50" s="8" t="n">
        <x:v>4</x:v>
      </x:c>
      <x:c r="R50" s="8" t="n">
        <x:v>12</x:v>
      </x:c>
      <x:c r="S50" s="8" t="n">
        <x:v>0</x:v>
      </x:c>
      <x:c r="T50" s="8" t="n">
        <x:v>1</x:v>
      </x:c>
      <x:c r="U50" s="12" t="n">
        <x:v>0</x:v>
      </x:c>
      <x:c r="V50" s="8" t="n">
        <x:v>5</x:v>
      </x:c>
      <x:c r="W50" s="8" t="n">
        <x:v>230</x:v>
      </x:c>
      <x:c r="X50" s="12" t="n">
        <x:v>57900</x:v>
      </x:c>
      <x:c r="Y50" s="21"/>
      <x:c r="Z50" s="24" t="n">
        <x:f>IF($A50="","",INDEX(Settings!$C$29:$C$33,MATCH(E50,Settings!$A$29:$A$33,0)))</x:f>
        <x:v>2700</x:v>
      </x:c>
      <x:c r="AA50" s="22" t="n">
        <x:f>IF($A50="","",G50/Z50)</x:f>
        <x:v>1.0814814814814815</x:v>
      </x:c>
      <x:c r="AB50" s="25" t="n">
        <x:f>IF($A50="","",IF(ISNUMBER(Y50),Y50,Settings!$B$10))</x:f>
        <x:v>0.03</x:v>
      </x:c>
      <x:c r="AC50" s="23" t="n">
        <x:f>IF($A50="","",G50*(1+AB50))</x:f>
        <x:v>3007.6</x:v>
      </x:c>
      <x:c r="AD50" s="23" t="n">
        <x:f>IF($A50="","",G50*F50*12)</x:f>
        <x:v>35040</x:v>
      </x:c>
      <x:c r="AE50" s="23" t="n">
        <x:f>IF($A50="","",G50*F50*J50)</x:f>
        <x:v>2920</x:v>
      </x:c>
      <x:c r="AF50" s="24" t="n">
        <x:f>IF($A50="","",L50*F50*K50*Settings!$B$13)</x:f>
        <x:v>2686.4</x:v>
      </x:c>
      <x:c r="AG50" s="23" t="n">
        <x:f>IF($A50="","",AD50*H50*I50)</x:f>
        <x:v>1156.3200000000002</x:v>
      </x:c>
      <x:c r="AH50" s="24" t="n">
        <x:f>IF($A50="","",SUM(AD50:AE50,AG50)*SUM(Settings!$B$11:$B$12))</x:f>
        <x:v>9779.08</x:v>
      </x:c>
      <x:c r="AI50" s="24" t="n">
        <x:f>IF($A50="","",M50*Settings!$B$16)</x:f>
        <x:v>1853.28</x:v>
      </x:c>
      <x:c r="AJ50" s="24" t="n">
        <x:f>IF($A50="","",M50*Settings!$B$15)</x:f>
        <x:v>226.72000000000003</x:v>
      </x:c>
      <x:c r="AK50" s="24" t="n">
        <x:f>IF($A50="","",O50*Settings!$B$18)</x:f>
        <x:v>0</x:v>
      </x:c>
      <x:c r="AL50" s="24" t="n">
        <x:f>IF($A50="","",P50*Settings!$B$20+Q50*Settings!$B$21+R50*Settings!$B$22+S50*Settings!$B$23)</x:f>
        <x:v>2184.76</x:v>
      </x:c>
      <x:c r="AM50" s="24" t="n">
        <x:f>IF($A50="","",T50*Settings!$B$24)</x:f>
        <x:v>40</x:v>
      </x:c>
      <x:c r="AN50" s="23" t="n">
        <x:f>IF($A50="","",SUM(AI50,N50,AK50:AM50,U50))</x:f>
        <x:v>4328.04</x:v>
      </x:c>
      <x:c r="AO50" s="23" t="n">
        <x:f>IF($A50="","",SUM(AD50:AI50,N50,AK50:AM50,U50))</x:f>
        <x:v>55909.840000000004</x:v>
      </x:c>
      <x:c r="AP50" s="24" t="n">
        <x:f>IF($A50="","",G50*F50*AB50*((13-Settings!$B$9)*(1+H50*I50)+J50)*(1+SUM(Settings!$B$11:$B$12)))</x:f>
        <x:v>1127.5214999999998</x:v>
      </x:c>
      <x:c r="AQ50" s="23" t="n">
        <x:f>IF($A50="","",SUM(AO50:AP50))</x:f>
        <x:v>57037.361500000006</x:v>
      </x:c>
      <x:c r="AR50" s="23" t="n">
        <x:f>IF($A50="","",AQ50-X50)</x:f>
        <x:v>-862.6384999999937</x:v>
      </x:c>
      <x:c r="AS50" s="22" t="n">
        <x:f>IF($A50="","",IF(W50=0,"n.a.",V50/W50))</x:f>
        <x:v>0.021739130434782608</x:v>
      </x:c>
      <x:c r="AT50" s="26" t="str">
        <x:f>IF($A50="",IF(COUNTA(B50:Y50)&gt;0,"Missing ID",""),IF(COUNTIFS($A$9:$A$508,A50)&gt;1,"Duplicate ID",IF(OR(B50="",C50="",D50="",E50="",COUNT(F50:X50)&lt;&gt;19),"Missing / text input",IF(OR(COUNTIFS(Settings!$A$59:$A$64,B50)&lt;&gt;1,COUNTIFS(Settings!$A$29:$A$33,E50)&lt;&gt;1),"Unknown department / grade",IF(OR(F50&lt;=0,F50&gt;1,G50&lt;=0,L50&lt;=0,H50&lt;0,I50&lt;0,J50&lt;0,K50&lt;0,K50&gt;1,MIN(M50:X50)&lt;0,W50=0,V50&gt;W50,M50&gt;W50-V50,P50&gt;8,Q50&gt;4,R50&gt;12,S50&gt;12,T50&gt;1,AB50&lt;0),"Review quantity / rate",IF(OR(N50&gt;Settings!$C$17,AK50&gt;Settings!$C$19),"Review benefit ceiling","OK"))))))</x:f>
        <x:v>OK</x:v>
      </x:c>
    </x:row>
    <x:row r="51" ht="23" customHeight="1">
      <x:c r="A51" s="8" t="str">
        <x:v>BE-0043</x:v>
      </x:c>
      <x:c r="B51" s="8" t="str">
        <x:v>Finance</x:v>
      </x:c>
      <x:c r="C51" s="8" t="str">
        <x:v>Brussels</x:v>
      </x:c>
      <x:c r="D51" s="8" t="str">
        <x:v>Finance administrator</x:v>
      </x:c>
      <x:c r="E51" s="8" t="str">
        <x:v>G1</x:v>
      </x:c>
      <x:c r="F51" s="20" t="n">
        <x:v>0.8</x:v>
      </x:c>
      <x:c r="G51" s="12" t="n">
        <x:v>2890</x:v>
      </x:c>
      <x:c r="H51" s="21" t="n">
        <x:v>0.03</x:v>
      </x:c>
      <x:c r="I51" s="20" t="n">
        <x:v>0.8</x:v>
      </x:c>
      <x:c r="J51" s="20" t="n">
        <x:v>1</x:v>
      </x:c>
      <x:c r="K51" s="20" t="n">
        <x:v>1</x:v>
      </x:c>
      <x:c r="L51" s="12" t="n">
        <x:v>2890</x:v>
      </x:c>
      <x:c r="M51" s="8" t="n">
        <x:v>171</x:v>
      </x:c>
      <x:c r="N51" s="12" t="n">
        <x:v>200</x:v>
      </x:c>
      <x:c r="O51" s="8" t="n">
        <x:v>740</x:v>
      </x:c>
      <x:c r="P51" s="8" t="n">
        <x:v>8</x:v>
      </x:c>
      <x:c r="Q51" s="8" t="n">
        <x:v>4</x:v>
      </x:c>
      <x:c r="R51" s="8" t="n">
        <x:v>12</x:v>
      </x:c>
      <x:c r="S51" s="8" t="n">
        <x:v>0</x:v>
      </x:c>
      <x:c r="T51" s="8" t="n">
        <x:v>1</x:v>
      </x:c>
      <x:c r="U51" s="12" t="n">
        <x:v>0</x:v>
      </x:c>
      <x:c r="V51" s="8" t="n">
        <x:v>6</x:v>
      </x:c>
      <x:c r="W51" s="8" t="n">
        <x:v>184</x:v>
      </x:c>
      <x:c r="X51" s="12" t="n">
        <x:v>46300</x:v>
      </x:c>
      <x:c r="Y51" s="21"/>
      <x:c r="Z51" s="24" t="n">
        <x:f>IF($A51="","",INDEX(Settings!$C$29:$C$33,MATCH(E51,Settings!$A$29:$A$33,0)))</x:f>
        <x:v>2700</x:v>
      </x:c>
      <x:c r="AA51" s="22" t="n">
        <x:f>IF($A51="","",G51/Z51)</x:f>
        <x:v>1.0703703703703704</x:v>
      </x:c>
      <x:c r="AB51" s="25" t="n">
        <x:f>IF($A51="","",IF(ISNUMBER(Y51),Y51,Settings!$B$10))</x:f>
        <x:v>0.03</x:v>
      </x:c>
      <x:c r="AC51" s="23" t="n">
        <x:f>IF($A51="","",G51*(1+AB51))</x:f>
        <x:v>2976.7000000000003</x:v>
      </x:c>
      <x:c r="AD51" s="23" t="n">
        <x:f>IF($A51="","",G51*F51*12)</x:f>
        <x:v>27744</x:v>
      </x:c>
      <x:c r="AE51" s="23" t="n">
        <x:f>IF($A51="","",G51*F51*J51)</x:f>
        <x:v>2312</x:v>
      </x:c>
      <x:c r="AF51" s="24" t="n">
        <x:f>IF($A51="","",L51*F51*K51*Settings!$B$13)</x:f>
        <x:v>2127.04</x:v>
      </x:c>
      <x:c r="AG51" s="23" t="n">
        <x:f>IF($A51="","",AD51*H51*I51)</x:f>
        <x:v>665.856</x:v>
      </x:c>
      <x:c r="AH51" s="24" t="n">
        <x:f>IF($A51="","",SUM(AD51:AE51,AG51)*SUM(Settings!$B$11:$B$12))</x:f>
        <x:v>7680.464</x:v>
      </x:c>
      <x:c r="AI51" s="24" t="n">
        <x:f>IF($A51="","",M51*Settings!$B$16)</x:f>
        <x:v>1523.6100000000001</x:v>
      </x:c>
      <x:c r="AJ51" s="24" t="n">
        <x:f>IF($A51="","",M51*Settings!$B$15)</x:f>
        <x:v>186.39000000000001</x:v>
      </x:c>
      <x:c r="AK51" s="24" t="n">
        <x:f>IF($A51="","",O51*Settings!$B$18)</x:f>
        <x:v>273.8</x:v>
      </x:c>
      <x:c r="AL51" s="24" t="n">
        <x:f>IF($A51="","",P51*Settings!$B$20+Q51*Settings!$B$21+R51*Settings!$B$22+S51*Settings!$B$23)</x:f>
        <x:v>2184.76</x:v>
      </x:c>
      <x:c r="AM51" s="24" t="n">
        <x:f>IF($A51="","",T51*Settings!$B$24)</x:f>
        <x:v>40</x:v>
      </x:c>
      <x:c r="AN51" s="23" t="n">
        <x:f>IF($A51="","",SUM(AI51,N51,AK51:AM51,U51))</x:f>
        <x:v>4222.17</x:v>
      </x:c>
      <x:c r="AO51" s="23" t="n">
        <x:f>IF($A51="","",SUM(AD51:AI51,N51,AK51:AM51,U51))</x:f>
        <x:v>44751.53</x:v>
      </x:c>
      <x:c r="AP51" s="24" t="n">
        <x:f>IF($A51="","",G51*F51*AB51*((13-Settings!$B$9)*(1+H51*I51)+J51)*(1+SUM(Settings!$B$11:$B$12)))</x:f>
        <x:v>885.7272</x:v>
      </x:c>
      <x:c r="AQ51" s="23" t="n">
        <x:f>IF($A51="","",SUM(AO51:AP51))</x:f>
        <x:v>45637.2572</x:v>
      </x:c>
      <x:c r="AR51" s="23" t="n">
        <x:f>IF($A51="","",AQ51-X51)</x:f>
        <x:v>-662.7428</x:v>
      </x:c>
      <x:c r="AS51" s="22" t="n">
        <x:f>IF($A51="","",IF(W51=0,"n.a.",V51/W51))</x:f>
        <x:v>0.03260869565217391</x:v>
      </x:c>
      <x:c r="AT51" s="26" t="str">
        <x:f>IF($A51="",IF(COUNTA(B51:Y51)&gt;0,"Missing ID",""),IF(COUNTIFS($A$9:$A$508,A51)&gt;1,"Duplicate ID",IF(OR(B51="",C51="",D51="",E51="",COUNT(F51:X51)&lt;&gt;19),"Missing / text input",IF(OR(COUNTIFS(Settings!$A$59:$A$64,B51)&lt;&gt;1,COUNTIFS(Settings!$A$29:$A$33,E51)&lt;&gt;1),"Unknown department / grade",IF(OR(F51&lt;=0,F51&gt;1,G51&lt;=0,L51&lt;=0,H51&lt;0,I51&lt;0,J51&lt;0,K51&lt;0,K51&gt;1,MIN(M51:X51)&lt;0,W51=0,V51&gt;W51,M51&gt;W51-V51,P51&gt;8,Q51&gt;4,R51&gt;12,S51&gt;12,T51&gt;1,AB51&lt;0),"Review quantity / rate",IF(OR(N51&gt;Settings!$C$17,AK51&gt;Settings!$C$19),"Review benefit ceiling","OK"))))))</x:f>
        <x:v>OK</x:v>
      </x:c>
    </x:row>
    <x:row r="52" ht="23" customHeight="1">
      <x:c r="A52" s="8" t="str">
        <x:v>BE-0044</x:v>
      </x:c>
      <x:c r="B52" s="8" t="str">
        <x:v>People &amp; Culture</x:v>
      </x:c>
      <x:c r="C52" s="8" t="str">
        <x:v>Antwerp</x:v>
      </x:c>
      <x:c r="D52" s="8" t="str">
        <x:v>HR administrator</x:v>
      </x:c>
      <x:c r="E52" s="8" t="str">
        <x:v>G1</x:v>
      </x:c>
      <x:c r="F52" s="20" t="n">
        <x:v>1</x:v>
      </x:c>
      <x:c r="G52" s="12" t="n">
        <x:v>2970</x:v>
      </x:c>
      <x:c r="H52" s="21" t="n">
        <x:v>0.03</x:v>
      </x:c>
      <x:c r="I52" s="20" t="n">
        <x:v>1</x:v>
      </x:c>
      <x:c r="J52" s="20" t="n">
        <x:v>1</x:v>
      </x:c>
      <x:c r="K52" s="20" t="n">
        <x:v>1</x:v>
      </x:c>
      <x:c r="L52" s="12" t="n">
        <x:v>2970</x:v>
      </x:c>
      <x:c r="M52" s="8" t="n">
        <x:v>213</x:v>
      </x:c>
      <x:c r="N52" s="12" t="n">
        <x:v>250</x:v>
      </x:c>
      <x:c r="O52" s="8" t="n">
        <x:v>0</x:v>
      </x:c>
      <x:c r="P52" s="8" t="n">
        <x:v>8</x:v>
      </x:c>
      <x:c r="Q52" s="8" t="n">
        <x:v>4</x:v>
      </x:c>
      <x:c r="R52" s="8" t="n">
        <x:v>12</x:v>
      </x:c>
      <x:c r="S52" s="8" t="n">
        <x:v>0</x:v>
      </x:c>
      <x:c r="T52" s="8" t="n">
        <x:v>1</x:v>
      </x:c>
      <x:c r="U52" s="12" t="n">
        <x:v>0</x:v>
      </x:c>
      <x:c r="V52" s="8" t="n">
        <x:v>7</x:v>
      </x:c>
      <x:c r="W52" s="8" t="n">
        <x:v>230</x:v>
      </x:c>
      <x:c r="X52" s="12" t="n">
        <x:v>58700</x:v>
      </x:c>
      <x:c r="Y52" s="21"/>
      <x:c r="Z52" s="24" t="n">
        <x:f>IF($A52="","",INDEX(Settings!$C$29:$C$33,MATCH(E52,Settings!$A$29:$A$33,0)))</x:f>
        <x:v>2700</x:v>
      </x:c>
      <x:c r="AA52" s="22" t="n">
        <x:f>IF($A52="","",G52/Z52)</x:f>
        <x:v>1.1</x:v>
      </x:c>
      <x:c r="AB52" s="25" t="n">
        <x:f>IF($A52="","",IF(ISNUMBER(Y52),Y52,Settings!$B$10))</x:f>
        <x:v>0.03</x:v>
      </x:c>
      <x:c r="AC52" s="23" t="n">
        <x:f>IF($A52="","",G52*(1+AB52))</x:f>
        <x:v>3059.1</x:v>
      </x:c>
      <x:c r="AD52" s="23" t="n">
        <x:f>IF($A52="","",G52*F52*12)</x:f>
        <x:v>35640</x:v>
      </x:c>
      <x:c r="AE52" s="23" t="n">
        <x:f>IF($A52="","",G52*F52*J52)</x:f>
        <x:v>2970</x:v>
      </x:c>
      <x:c r="AF52" s="24" t="n">
        <x:f>IF($A52="","",L52*F52*K52*Settings!$B$13)</x:f>
        <x:v>2732.4</x:v>
      </x:c>
      <x:c r="AG52" s="23" t="n">
        <x:f>IF($A52="","",AD52*H52*I52)</x:f>
        <x:v>1069.2</x:v>
      </x:c>
      <x:c r="AH52" s="24" t="n">
        <x:f>IF($A52="","",SUM(AD52:AE52,AG52)*SUM(Settings!$B$11:$B$12))</x:f>
        <x:v>9919.8</x:v>
      </x:c>
      <x:c r="AI52" s="24" t="n">
        <x:f>IF($A52="","",M52*Settings!$B$16)</x:f>
        <x:v>1897.83</x:v>
      </x:c>
      <x:c r="AJ52" s="24" t="n">
        <x:f>IF($A52="","",M52*Settings!$B$15)</x:f>
        <x:v>232.17000000000002</x:v>
      </x:c>
      <x:c r="AK52" s="24" t="n">
        <x:f>IF($A52="","",O52*Settings!$B$18)</x:f>
        <x:v>0</x:v>
      </x:c>
      <x:c r="AL52" s="24" t="n">
        <x:f>IF($A52="","",P52*Settings!$B$20+Q52*Settings!$B$21+R52*Settings!$B$22+S52*Settings!$B$23)</x:f>
        <x:v>2184.76</x:v>
      </x:c>
      <x:c r="AM52" s="24" t="n">
        <x:f>IF($A52="","",T52*Settings!$B$24)</x:f>
        <x:v>40</x:v>
      </x:c>
      <x:c r="AN52" s="23" t="n">
        <x:f>IF($A52="","",SUM(AI52,N52,AK52:AM52,U52))</x:f>
        <x:v>4372.59</x:v>
      </x:c>
      <x:c r="AO52" s="23" t="n">
        <x:f>IF($A52="","",SUM(AD52:AI52,N52,AK52:AM52,U52))</x:f>
        <x:v>56703.99</x:v>
      </x:c>
      <x:c r="AP52" s="24" t="n">
        <x:f>IF($A52="","",G52*F52*AB52*((13-Settings!$B$9)*(1+H52*I52)+J52)*(1+SUM(Settings!$B$11:$B$12)))</x:f>
        <x:v>1143.82125</x:v>
      </x:c>
      <x:c r="AQ52" s="23" t="n">
        <x:f>IF($A52="","",SUM(AO52:AP52))</x:f>
        <x:v>57847.81125</x:v>
      </x:c>
      <x:c r="AR52" s="23" t="n">
        <x:f>IF($A52="","",AQ52-X52)</x:f>
        <x:v>-852.1887500000012</x:v>
      </x:c>
      <x:c r="AS52" s="22" t="n">
        <x:f>IF($A52="","",IF(W52=0,"n.a.",V52/W52))</x:f>
        <x:v>0.030434782608695653</x:v>
      </x:c>
      <x:c r="AT52" s="26" t="str">
        <x:f>IF($A52="",IF(COUNTA(B52:Y52)&gt;0,"Missing ID",""),IF(COUNTIFS($A$9:$A$508,A52)&gt;1,"Duplicate ID",IF(OR(B52="",C52="",D52="",E52="",COUNT(F52:X52)&lt;&gt;19),"Missing / text input",IF(OR(COUNTIFS(Settings!$A$59:$A$64,B52)&lt;&gt;1,COUNTIFS(Settings!$A$29:$A$33,E52)&lt;&gt;1),"Unknown department / grade",IF(OR(F52&lt;=0,F52&gt;1,G52&lt;=0,L52&lt;=0,H52&lt;0,I52&lt;0,J52&lt;0,K52&lt;0,K52&gt;1,MIN(M52:X52)&lt;0,W52=0,V52&gt;W52,M52&gt;W52-V52,P52&gt;8,Q52&gt;4,R52&gt;12,S52&gt;12,T52&gt;1,AB52&lt;0),"Review quantity / rate",IF(OR(N52&gt;Settings!$C$17,AK52&gt;Settings!$C$19),"Review benefit ceiling","OK"))))))</x:f>
        <x:v>OK</x:v>
      </x:c>
    </x:row>
    <x:row r="53" ht="23" customHeight="1">
      <x:c r="A53" s="8" t="str">
        <x:v>BE-0045</x:v>
      </x:c>
      <x:c r="B53" s="8" t="str">
        <x:v>Technology</x:v>
      </x:c>
      <x:c r="C53" s="8" t="str">
        <x:v>Ghent</x:v>
      </x:c>
      <x:c r="D53" s="8" t="str">
        <x:v>IT coordinator</x:v>
      </x:c>
      <x:c r="E53" s="8" t="str">
        <x:v>G1</x:v>
      </x:c>
      <x:c r="F53" s="20" t="n">
        <x:v>1</x:v>
      </x:c>
      <x:c r="G53" s="12" t="n">
        <x:v>2540</x:v>
      </x:c>
      <x:c r="H53" s="21" t="n">
        <x:v>0.03</x:v>
      </x:c>
      <x:c r="I53" s="20" t="n">
        <x:v>1.1</x:v>
      </x:c>
      <x:c r="J53" s="20" t="n">
        <x:v>1</x:v>
      </x:c>
      <x:c r="K53" s="20" t="n">
        <x:v>1</x:v>
      </x:c>
      <x:c r="L53" s="12" t="n">
        <x:v>2540</x:v>
      </x:c>
      <x:c r="M53" s="8" t="n">
        <x:v>212</x:v>
      </x:c>
      <x:c r="N53" s="12" t="n">
        <x:v>250</x:v>
      </x:c>
      <x:c r="O53" s="8" t="n">
        <x:v>0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1</x:v>
      </x:c>
      <x:c r="U53" s="12" t="n">
        <x:v>0</x:v>
      </x:c>
      <x:c r="V53" s="8" t="n">
        <x:v>8</x:v>
      </x:c>
      <x:c r="W53" s="8" t="n">
        <x:v>230</x:v>
      </x:c>
      <x:c r="X53" s="12" t="n">
        <x:v>47800</x:v>
      </x:c>
      <x:c r="Y53" s="21" t="n">
        <x:v>0</x:v>
      </x:c>
      <x:c r="Z53" s="24" t="n">
        <x:f>IF($A53="","",INDEX(Settings!$C$29:$C$33,MATCH(E53,Settings!$A$29:$A$33,0)))</x:f>
        <x:v>2700</x:v>
      </x:c>
      <x:c r="AA53" s="22" t="n">
        <x:f>IF($A53="","",G53/Z53)</x:f>
        <x:v>0.9407407407407408</x:v>
      </x:c>
      <x:c r="AB53" s="25" t="n">
        <x:f>IF($A53="","",IF(ISNUMBER(Y53),Y53,Settings!$B$10))</x:f>
        <x:v>0</x:v>
      </x:c>
      <x:c r="AC53" s="23" t="n">
        <x:f>IF($A53="","",G53*(1+AB53))</x:f>
        <x:v>2540</x:v>
      </x:c>
      <x:c r="AD53" s="23" t="n">
        <x:f>IF($A53="","",G53*F53*12)</x:f>
        <x:v>30480</x:v>
      </x:c>
      <x:c r="AE53" s="23" t="n">
        <x:f>IF($A53="","",G53*F53*J53)</x:f>
        <x:v>2540</x:v>
      </x:c>
      <x:c r="AF53" s="24" t="n">
        <x:f>IF($A53="","",L53*F53*K53*Settings!$B$13)</x:f>
        <x:v>2336.8</x:v>
      </x:c>
      <x:c r="AG53" s="23" t="n">
        <x:f>IF($A53="","",AD53*H53*I53)</x:f>
        <x:v>1005.84</x:v>
      </x:c>
      <x:c r="AH53" s="24" t="n">
        <x:f>IF($A53="","",SUM(AD53:AE53,AG53)*SUM(Settings!$B$11:$B$12))</x:f>
        <x:v>8506.46</x:v>
      </x:c>
      <x:c r="AI53" s="24" t="n">
        <x:f>IF($A53="","",M53*Settings!$B$16)</x:f>
        <x:v>1888.92</x:v>
      </x:c>
      <x:c r="AJ53" s="24" t="n">
        <x:f>IF($A53="","",M53*Settings!$B$15)</x:f>
        <x:v>231.08</x:v>
      </x:c>
      <x:c r="AK53" s="24" t="n">
        <x:f>IF($A53="","",O53*Settings!$B$18)</x:f>
        <x:v>0</x:v>
      </x:c>
      <x:c r="AL53" s="24" t="n">
        <x:f>IF($A53="","",P53*Settings!$B$20+Q53*Settings!$B$21+R53*Settings!$B$22+S53*Settings!$B$23)</x:f>
        <x:v>0</x:v>
      </x:c>
      <x:c r="AM53" s="24" t="n">
        <x:f>IF($A53="","",T53*Settings!$B$24)</x:f>
        <x:v>40</x:v>
      </x:c>
      <x:c r="AN53" s="23" t="n">
        <x:f>IF($A53="","",SUM(AI53,N53,AK53:AM53,U53))</x:f>
        <x:v>2178.92</x:v>
      </x:c>
      <x:c r="AO53" s="23" t="n">
        <x:f>IF($A53="","",SUM(AD53:AI53,N53,AK53:AM53,U53))</x:f>
        <x:v>47048.02</x:v>
      </x:c>
      <x:c r="AP53" s="24" t="n">
        <x:f>IF($A53="","",G53*F53*AB53*((13-Settings!$B$9)*(1+H53*I53)+J53)*(1+SUM(Settings!$B$11:$B$12)))</x:f>
        <x:v>0</x:v>
      </x:c>
      <x:c r="AQ53" s="23" t="n">
        <x:f>IF($A53="","",SUM(AO53:AP53))</x:f>
        <x:v>47048.02</x:v>
      </x:c>
      <x:c r="AR53" s="23" t="n">
        <x:f>IF($A53="","",AQ53-X53)</x:f>
        <x:v>-751.9800000000032</x:v>
      </x:c>
      <x:c r="AS53" s="22" t="n">
        <x:f>IF($A53="","",IF(W53=0,"n.a.",V53/W53))</x:f>
        <x:v>0.034782608695652174</x:v>
      </x:c>
      <x:c r="AT53" s="26" t="str">
        <x:f>IF($A53="",IF(COUNTA(B53:Y53)&gt;0,"Missing ID",""),IF(COUNTIFS($A$9:$A$508,A53)&gt;1,"Duplicate ID",IF(OR(B53="",C53="",D53="",E53="",COUNT(F53:X53)&lt;&gt;19),"Missing / text input",IF(OR(COUNTIFS(Settings!$A$59:$A$64,B53)&lt;&gt;1,COUNTIFS(Settings!$A$29:$A$33,E53)&lt;&gt;1),"Unknown department / grade",IF(OR(F53&lt;=0,F53&gt;1,G53&lt;=0,L53&lt;=0,H53&lt;0,I53&lt;0,J53&lt;0,K53&lt;0,K53&gt;1,MIN(M53:X53)&lt;0,W53=0,V53&gt;W53,M53&gt;W53-V53,P53&gt;8,Q53&gt;4,R53&gt;12,S53&gt;12,T53&gt;1,AB53&lt;0),"Review quantity / rate",IF(OR(N53&gt;Settings!$C$17,AK53&gt;Settings!$C$19),"Review benefit ceiling","OK"))))))</x:f>
        <x:v>OK</x:v>
      </x:c>
    </x:row>
    <x:row r="54" ht="23" customHeight="1">
      <x:c r="A54" s="8" t="str">
        <x:v>BE-0046</x:v>
      </x:c>
      <x:c r="B54" s="8" t="str">
        <x:v>Sales</x:v>
      </x:c>
      <x:c r="C54" s="8" t="str">
        <x:v>Brussels</x:v>
      </x:c>
      <x:c r="D54" s="8" t="str">
        <x:v>Account manager</x:v>
      </x:c>
      <x:c r="E54" s="8" t="str">
        <x:v>G2</x:v>
      </x:c>
      <x:c r="F54" s="20" t="n">
        <x:v>0.6</x:v>
      </x:c>
      <x:c r="G54" s="12" t="n">
        <x:v>3230</x:v>
      </x:c>
      <x:c r="H54" s="21" t="n">
        <x:v>0.05</x:v>
      </x:c>
      <x:c r="I54" s="20" t="n">
        <x:v>0.8</x:v>
      </x:c>
      <x:c r="J54" s="20" t="n">
        <x:v>1</x:v>
      </x:c>
      <x:c r="K54" s="20" t="n">
        <x:v>1</x:v>
      </x:c>
      <x:c r="L54" s="12" t="n">
        <x:v>3230</x:v>
      </x:c>
      <x:c r="M54" s="8" t="n">
        <x:v>125</x:v>
      </x:c>
      <x:c r="N54" s="12" t="n">
        <x:v>150</x:v>
      </x:c>
      <x:c r="O54" s="8" t="n">
        <x:v>1070</x:v>
      </x:c>
      <x:c r="P54" s="8" t="n">
        <x:v>8</x:v>
      </x:c>
      <x:c r="Q54" s="8" t="n">
        <x:v>4</x:v>
      </x:c>
      <x:c r="R54" s="8" t="n">
        <x:v>12</x:v>
      </x:c>
      <x:c r="S54" s="8" t="n">
        <x:v>12</x:v>
      </x:c>
      <x:c r="T54" s="8" t="n">
        <x:v>1</x:v>
      </x:c>
      <x:c r="U54" s="12" t="n">
        <x:v>0</x:v>
      </x:c>
      <x:c r="V54" s="8" t="n">
        <x:v>9</x:v>
      </x:c>
      <x:c r="W54" s="8" t="n">
        <x:v>138</x:v>
      </x:c>
      <x:c r="X54" s="12" t="n">
        <x:v>38700</x:v>
      </x:c>
      <x:c r="Y54" s="21"/>
      <x:c r="Z54" s="24" t="n">
        <x:f>IF($A54="","",INDEX(Settings!$C$29:$C$33,MATCH(E54,Settings!$A$29:$A$33,0)))</x:f>
        <x:v>3300</x:v>
      </x:c>
      <x:c r="AA54" s="22" t="n">
        <x:f>IF($A54="","",G54/Z54)</x:f>
        <x:v>0.9787878787878788</x:v>
      </x:c>
      <x:c r="AB54" s="25" t="n">
        <x:f>IF($A54="","",IF(ISNUMBER(Y54),Y54,Settings!$B$10))</x:f>
        <x:v>0.03</x:v>
      </x:c>
      <x:c r="AC54" s="23" t="n">
        <x:f>IF($A54="","",G54*(1+AB54))</x:f>
        <x:v>3326.9</x:v>
      </x:c>
      <x:c r="AD54" s="23" t="n">
        <x:f>IF($A54="","",G54*F54*12)</x:f>
        <x:v>23256</x:v>
      </x:c>
      <x:c r="AE54" s="23" t="n">
        <x:f>IF($A54="","",G54*F54*J54)</x:f>
        <x:v>1938</x:v>
      </x:c>
      <x:c r="AF54" s="24" t="n">
        <x:f>IF($A54="","",L54*F54*K54*Settings!$B$13)</x:f>
        <x:v>1782.96</x:v>
      </x:c>
      <x:c r="AG54" s="23" t="n">
        <x:f>IF($A54="","",AD54*H54*I54)</x:f>
        <x:v>930.24</x:v>
      </x:c>
      <x:c r="AH54" s="24" t="n">
        <x:f>IF($A54="","",SUM(AD54:AE54,AG54)*SUM(Settings!$B$11:$B$12))</x:f>
        <x:v>6531.06</x:v>
      </x:c>
      <x:c r="AI54" s="24" t="n">
        <x:f>IF($A54="","",M54*Settings!$B$16)</x:f>
        <x:v>1113.75</x:v>
      </x:c>
      <x:c r="AJ54" s="24" t="n">
        <x:f>IF($A54="","",M54*Settings!$B$15)</x:f>
        <x:v>136.25</x:v>
      </x:c>
      <x:c r="AK54" s="24" t="n">
        <x:f>IF($A54="","",O54*Settings!$B$18)</x:f>
        <x:v>395.9</x:v>
      </x:c>
      <x:c r="AL54" s="24" t="n">
        <x:f>IF($A54="","",P54*Settings!$B$20+Q54*Settings!$B$21+R54*Settings!$B$22+S54*Settings!$B$23)</x:f>
        <x:v>2424.76</x:v>
      </x:c>
      <x:c r="AM54" s="24" t="n">
        <x:f>IF($A54="","",T54*Settings!$B$24)</x:f>
        <x:v>40</x:v>
      </x:c>
      <x:c r="AN54" s="23" t="n">
        <x:f>IF($A54="","",SUM(AI54,N54,AK54:AM54,U54))</x:f>
        <x:v>4124.41</x:v>
      </x:c>
      <x:c r="AO54" s="23" t="n">
        <x:f>IF($A54="","",SUM(AD54:AI54,N54,AK54:AM54,U54))</x:f>
        <x:v>38562.670000000006</x:v>
      </x:c>
      <x:c r="AP54" s="24" t="n">
        <x:f>IF($A54="","",G54*F54*AB54*((13-Settings!$B$9)*(1+H54*I54)+J54)*(1+SUM(Settings!$B$11:$B$12)))</x:f>
        <x:v>752.9129999999999</x:v>
      </x:c>
      <x:c r="AQ54" s="23" t="n">
        <x:f>IF($A54="","",SUM(AO54:AP54))</x:f>
        <x:v>39315.583000000006</x:v>
      </x:c>
      <x:c r="AR54" s="23" t="n">
        <x:f>IF($A54="","",AQ54-X54)</x:f>
        <x:v>615.583000000006</x:v>
      </x:c>
      <x:c r="AS54" s="22" t="n">
        <x:f>IF($A54="","",IF(W54=0,"n.a.",V54/W54))</x:f>
        <x:v>0.06521739130434782</x:v>
      </x:c>
      <x:c r="AT54" s="26" t="str">
        <x:f>IF($A54="",IF(COUNTA(B54:Y54)&gt;0,"Missing ID",""),IF(COUNTIFS($A$9:$A$508,A54)&gt;1,"Duplicate ID",IF(OR(B54="",C54="",D54="",E54="",COUNT(F54:X54)&lt;&gt;19),"Missing / text input",IF(OR(COUNTIFS(Settings!$A$59:$A$64,B54)&lt;&gt;1,COUNTIFS(Settings!$A$29:$A$33,E54)&lt;&gt;1),"Unknown department / grade",IF(OR(F54&lt;=0,F54&gt;1,G54&lt;=0,L54&lt;=0,H54&lt;0,I54&lt;0,J54&lt;0,K54&lt;0,K54&gt;1,MIN(M54:X54)&lt;0,W54=0,V54&gt;W54,M54&gt;W54-V54,P54&gt;8,Q54&gt;4,R54&gt;12,S54&gt;12,T54&gt;1,AB54&lt;0),"Review quantity / rate",IF(OR(N54&gt;Settings!$C$17,AK54&gt;Settings!$C$19),"Review benefit ceiling","OK"))))))</x:f>
        <x:v>OK</x:v>
      </x:c>
    </x:row>
    <x:row r="55" ht="23" customHeight="1">
      <x:c r="A55" s="8" t="str">
        <x:v>BE-0047</x:v>
      </x:c>
      <x:c r="B55" s="8" t="str">
        <x:v>Customer Operations</x:v>
      </x:c>
      <x:c r="C55" s="8" t="str">
        <x:v>Antwerp</x:v>
      </x:c>
      <x:c r="D55" s="8" t="str">
        <x:v>Service specialist</x:v>
      </x:c>
      <x:c r="E55" s="8" t="str">
        <x:v>G2</x:v>
      </x:c>
      <x:c r="F55" s="20" t="n">
        <x:v>1</x:v>
      </x:c>
      <x:c r="G55" s="12" t="n">
        <x:v>3000</x:v>
      </x:c>
      <x:c r="H55" s="21" t="n">
        <x:v>0.05</x:v>
      </x:c>
      <x:c r="I55" s="20" t="n">
        <x:v>1</x:v>
      </x:c>
      <x:c r="J55" s="20" t="n">
        <x:v>1</x:v>
      </x:c>
      <x:c r="K55" s="20" t="n">
        <x:v>1</x:v>
      </x:c>
      <x:c r="L55" s="12" t="n">
        <x:v>3000</x:v>
      </x:c>
      <x:c r="M55" s="8" t="n">
        <x:v>210</x:v>
      </x:c>
      <x:c r="N55" s="12" t="n">
        <x:v>250</x:v>
      </x:c>
      <x:c r="O55" s="8" t="n">
        <x:v>0</x:v>
      </x:c>
      <x:c r="P55" s="8" t="n">
        <x:v>8</x:v>
      </x:c>
      <x:c r="Q55" s="8" t="n">
        <x:v>4</x:v>
      </x:c>
      <x:c r="R55" s="8" t="n">
        <x:v>12</x:v>
      </x:c>
      <x:c r="S55" s="8" t="n">
        <x:v>0</x:v>
      </x:c>
      <x:c r="T55" s="8" t="n">
        <x:v>1</x:v>
      </x:c>
      <x:c r="U55" s="12" t="n">
        <x:v>0</x:v>
      </x:c>
      <x:c r="V55" s="8" t="n">
        <x:v>10</x:v>
      </x:c>
      <x:c r="W55" s="8" t="n">
        <x:v>230</x:v>
      </x:c>
      <x:c r="X55" s="12" t="n">
        <x:v>60200</x:v>
      </x:c>
      <x:c r="Y55" s="21"/>
      <x:c r="Z55" s="24" t="n">
        <x:f>IF($A55="","",INDEX(Settings!$C$29:$C$33,MATCH(E55,Settings!$A$29:$A$33,0)))</x:f>
        <x:v>3300</x:v>
      </x:c>
      <x:c r="AA55" s="22" t="n">
        <x:f>IF($A55="","",G55/Z55)</x:f>
        <x:v>0.9090909090909091</x:v>
      </x:c>
      <x:c r="AB55" s="25" t="n">
        <x:f>IF($A55="","",IF(ISNUMBER(Y55),Y55,Settings!$B$10))</x:f>
        <x:v>0.03</x:v>
      </x:c>
      <x:c r="AC55" s="23" t="n">
        <x:f>IF($A55="","",G55*(1+AB55))</x:f>
        <x:v>3090</x:v>
      </x:c>
      <x:c r="AD55" s="23" t="n">
        <x:f>IF($A55="","",G55*F55*12)</x:f>
        <x:v>36000</x:v>
      </x:c>
      <x:c r="AE55" s="23" t="n">
        <x:f>IF($A55="","",G55*F55*J55)</x:f>
        <x:v>3000</x:v>
      </x:c>
      <x:c r="AF55" s="24" t="n">
        <x:f>IF($A55="","",L55*F55*K55*Settings!$B$13)</x:f>
        <x:v>2760</x:v>
      </x:c>
      <x:c r="AG55" s="23" t="n">
        <x:f>IF($A55="","",AD55*H55*I55)</x:f>
        <x:v>1800</x:v>
      </x:c>
      <x:c r="AH55" s="24" t="n">
        <x:f>IF($A55="","",SUM(AD55:AE55,AG55)*SUM(Settings!$B$11:$B$12))</x:f>
        <x:v>10200</x:v>
      </x:c>
      <x:c r="AI55" s="24" t="n">
        <x:f>IF($A55="","",M55*Settings!$B$16)</x:f>
        <x:v>1871.1000000000001</x:v>
      </x:c>
      <x:c r="AJ55" s="24" t="n">
        <x:f>IF($A55="","",M55*Settings!$B$15)</x:f>
        <x:v>228.9</x:v>
      </x:c>
      <x:c r="AK55" s="24" t="n">
        <x:f>IF($A55="","",O55*Settings!$B$18)</x:f>
        <x:v>0</x:v>
      </x:c>
      <x:c r="AL55" s="24" t="n">
        <x:f>IF($A55="","",P55*Settings!$B$20+Q55*Settings!$B$21+R55*Settings!$B$22+S55*Settings!$B$23)</x:f>
        <x:v>2184.76</x:v>
      </x:c>
      <x:c r="AM55" s="24" t="n">
        <x:f>IF($A55="","",T55*Settings!$B$24)</x:f>
        <x:v>40</x:v>
      </x:c>
      <x:c r="AN55" s="23" t="n">
        <x:f>IF($A55="","",SUM(AI55,N55,AK55:AM55,U55))</x:f>
        <x:v>4345.860000000001</x:v>
      </x:c>
      <x:c r="AO55" s="23" t="n">
        <x:f>IF($A55="","",SUM(AD55:AI55,N55,AK55:AM55,U55))</x:f>
        <x:v>58105.86</x:v>
      </x:c>
      <x:c r="AP55" s="24" t="n">
        <x:f>IF($A55="","",G55*F55*AB55*((13-Settings!$B$9)*(1+H55*I55)+J55)*(1+SUM(Settings!$B$11:$B$12)))</x:f>
        <x:v>1175.6250000000002</x:v>
      </x:c>
      <x:c r="AQ55" s="23" t="n">
        <x:f>IF($A55="","",SUM(AO55:AP55))</x:f>
        <x:v>59281.485</x:v>
      </x:c>
      <x:c r="AR55" s="23" t="n">
        <x:f>IF($A55="","",AQ55-X55)</x:f>
        <x:v>-918.5149999999994</x:v>
      </x:c>
      <x:c r="AS55" s="22" t="n">
        <x:f>IF($A55="","",IF(W55=0,"n.a.",V55/W55))</x:f>
        <x:v>0.043478260869565216</x:v>
      </x:c>
      <x:c r="AT55" s="26" t="str">
        <x:f>IF($A55="",IF(COUNTA(B55:Y55)&gt;0,"Missing ID",""),IF(COUNTIFS($A$9:$A$508,A55)&gt;1,"Duplicate ID",IF(OR(B55="",C55="",D55="",E55="",COUNT(F55:X55)&lt;&gt;19),"Missing / text input",IF(OR(COUNTIFS(Settings!$A$59:$A$64,B55)&lt;&gt;1,COUNTIFS(Settings!$A$29:$A$33,E55)&lt;&gt;1),"Unknown department / grade",IF(OR(F55&lt;=0,F55&gt;1,G55&lt;=0,L55&lt;=0,H55&lt;0,I55&lt;0,J55&lt;0,K55&lt;0,K55&gt;1,MIN(M55:X55)&lt;0,W55=0,V55&gt;W55,M55&gt;W55-V55,P55&gt;8,Q55&gt;4,R55&gt;12,S55&gt;12,T55&gt;1,AB55&lt;0),"Review quantity / rate",IF(OR(N55&gt;Settings!$C$17,AK55&gt;Settings!$C$19),"Review benefit ceiling","OK"))))))</x:f>
        <x:v>OK</x:v>
      </x:c>
    </x:row>
    <x:row r="56" ht="23" customHeight="1">
      <x:c r="A56" s="8" t="str">
        <x:v>BE-0048</x:v>
      </x:c>
      <x:c r="B56" s="8" t="str">
        <x:v>Business Support</x:v>
      </x:c>
      <x:c r="C56" s="8" t="str">
        <x:v>Ghent</x:v>
      </x:c>
      <x:c r="D56" s="8" t="str">
        <x:v>Business specialist</x:v>
      </x:c>
      <x:c r="E56" s="8" t="str">
        <x:v>G2</x:v>
      </x:c>
      <x:c r="F56" s="20" t="n">
        <x:v>1</x:v>
      </x:c>
      <x:c r="G56" s="12" t="n">
        <x:v>3250</x:v>
      </x:c>
      <x:c r="H56" s="21" t="n">
        <x:v>0.05</x:v>
      </x:c>
      <x:c r="I56" s="20" t="n">
        <x:v>1.1</x:v>
      </x:c>
      <x:c r="J56" s="20" t="n">
        <x:v>1</x:v>
      </x:c>
      <x:c r="K56" s="20" t="n">
        <x:v>1</x:v>
      </x:c>
      <x:c r="L56" s="12" t="n">
        <x:v>3250</x:v>
      </x:c>
      <x:c r="M56" s="8" t="n">
        <x:v>209</x:v>
      </x:c>
      <x:c r="N56" s="12" t="n">
        <x:v>250</x:v>
      </x:c>
      <x:c r="O56" s="8" t="n">
        <x:v>0</x:v>
      </x:c>
      <x:c r="P56" s="8" t="n">
        <x:v>8</x:v>
      </x:c>
      <x:c r="Q56" s="8" t="n">
        <x:v>4</x:v>
      </x:c>
      <x:c r="R56" s="8" t="n">
        <x:v>12</x:v>
      </x:c>
      <x:c r="S56" s="8" t="n">
        <x:v>0</x:v>
      </x:c>
      <x:c r="T56" s="8" t="n">
        <x:v>1</x:v>
      </x:c>
      <x:c r="U56" s="12" t="n">
        <x:v>0</x:v>
      </x:c>
      <x:c r="V56" s="8" t="n">
        <x:v>11</x:v>
      </x:c>
      <x:c r="W56" s="8" t="n">
        <x:v>230</x:v>
      </x:c>
      <x:c r="X56" s="12" t="n">
        <x:v>65100</x:v>
      </x:c>
      <x:c r="Y56" s="21"/>
      <x:c r="Z56" s="24" t="n">
        <x:f>IF($A56="","",INDEX(Settings!$C$29:$C$33,MATCH(E56,Settings!$A$29:$A$33,0)))</x:f>
        <x:v>3300</x:v>
      </x:c>
      <x:c r="AA56" s="22" t="n">
        <x:f>IF($A56="","",G56/Z56)</x:f>
        <x:v>0.9848484848484849</x:v>
      </x:c>
      <x:c r="AB56" s="25" t="n">
        <x:f>IF($A56="","",IF(ISNUMBER(Y56),Y56,Settings!$B$10))</x:f>
        <x:v>0.03</x:v>
      </x:c>
      <x:c r="AC56" s="23" t="n">
        <x:f>IF($A56="","",G56*(1+AB56))</x:f>
        <x:v>3347.5</x:v>
      </x:c>
      <x:c r="AD56" s="23" t="n">
        <x:f>IF($A56="","",G56*F56*12)</x:f>
        <x:v>39000</x:v>
      </x:c>
      <x:c r="AE56" s="23" t="n">
        <x:f>IF($A56="","",G56*F56*J56)</x:f>
        <x:v>3250</x:v>
      </x:c>
      <x:c r="AF56" s="24" t="n">
        <x:f>IF($A56="","",L56*F56*K56*Settings!$B$13)</x:f>
        <x:v>2990</x:v>
      </x:c>
      <x:c r="AG56" s="23" t="n">
        <x:f>IF($A56="","",AD56*H56*I56)</x:f>
        <x:v>2145</x:v>
      </x:c>
      <x:c r="AH56" s="24" t="n">
        <x:f>IF($A56="","",SUM(AD56:AE56,AG56)*SUM(Settings!$B$11:$B$12))</x:f>
        <x:v>11098.75</x:v>
      </x:c>
      <x:c r="AI56" s="24" t="n">
        <x:f>IF($A56="","",M56*Settings!$B$16)</x:f>
        <x:v>1862.19</x:v>
      </x:c>
      <x:c r="AJ56" s="24" t="n">
        <x:f>IF($A56="","",M56*Settings!$B$15)</x:f>
        <x:v>227.81000000000003</x:v>
      </x:c>
      <x:c r="AK56" s="24" t="n">
        <x:f>IF($A56="","",O56*Settings!$B$18)</x:f>
        <x:v>0</x:v>
      </x:c>
      <x:c r="AL56" s="24" t="n">
        <x:f>IF($A56="","",P56*Settings!$B$20+Q56*Settings!$B$21+R56*Settings!$B$22+S56*Settings!$B$23)</x:f>
        <x:v>2184.76</x:v>
      </x:c>
      <x:c r="AM56" s="24" t="n">
        <x:f>IF($A56="","",T56*Settings!$B$24)</x:f>
        <x:v>40</x:v>
      </x:c>
      <x:c r="AN56" s="23" t="n">
        <x:f>IF($A56="","",SUM(AI56,N56,AK56:AM56,U56))</x:f>
        <x:v>4336.950000000001</x:v>
      </x:c>
      <x:c r="AO56" s="23" t="n">
        <x:f>IF($A56="","",SUM(AD56:AI56,N56,AK56:AM56,U56))</x:f>
        <x:v>62820.700000000004</x:v>
      </x:c>
      <x:c r="AP56" s="24" t="n">
        <x:f>IF($A56="","",G56*F56*AB56*((13-Settings!$B$9)*(1+H56*I56)+J56)*(1+SUM(Settings!$B$11:$B$12)))</x:f>
        <x:v>1279.078125</x:v>
      </x:c>
      <x:c r="AQ56" s="23" t="n">
        <x:f>IF($A56="","",SUM(AO56:AP56))</x:f>
        <x:v>64099.778125000004</x:v>
      </x:c>
      <x:c r="AR56" s="23" t="n">
        <x:f>IF($A56="","",AQ56-X56)</x:f>
        <x:v>-1000.2218749999956</x:v>
      </x:c>
      <x:c r="AS56" s="22" t="n">
        <x:f>IF($A56="","",IF(W56=0,"n.a.",V56/W56))</x:f>
        <x:v>0.04782608695652174</x:v>
      </x:c>
      <x:c r="AT56" s="26" t="str">
        <x:f>IF($A56="",IF(COUNTA(B56:Y56)&gt;0,"Missing ID",""),IF(COUNTIFS($A$9:$A$508,A56)&gt;1,"Duplicate ID",IF(OR(B56="",C56="",D56="",E56="",COUNT(F56:X56)&lt;&gt;19),"Missing / text input",IF(OR(COUNTIFS(Settings!$A$59:$A$64,B56)&lt;&gt;1,COUNTIFS(Settings!$A$29:$A$33,E56)&lt;&gt;1),"Unknown department / grade",IF(OR(F56&lt;=0,F56&gt;1,G56&lt;=0,L56&lt;=0,H56&lt;0,I56&lt;0,J56&lt;0,K56&lt;0,K56&gt;1,MIN(M56:X56)&lt;0,W56=0,V56&gt;W56,M56&gt;W56-V56,P56&gt;8,Q56&gt;4,R56&gt;12,S56&gt;12,T56&gt;1,AB56&lt;0),"Review quantity / rate",IF(OR(N56&gt;Settings!$C$17,AK56&gt;Settings!$C$19),"Review benefit ceiling","OK"))))))</x:f>
        <x:v>OK</x:v>
      </x:c>
    </x:row>
    <x:row r="57" ht="23" customHeight="1">
      <x:c r="A57" s="8" t="str">
        <x:v>BE-0049</x:v>
      </x:c>
      <x:c r="B57" s="8" t="str">
        <x:v>Finance</x:v>
      </x:c>
      <x:c r="C57" s="8" t="str">
        <x:v>Brussels</x:v>
      </x:c>
      <x:c r="D57" s="8" t="str">
        <x:v>Accountant</x:v>
      </x:c>
      <x:c r="E57" s="8" t="str">
        <x:v>G2</x:v>
      </x:c>
      <x:c r="F57" s="20" t="n">
        <x:v>1</x:v>
      </x:c>
      <x:c r="G57" s="12" t="n">
        <x:v>3490</x:v>
      </x:c>
      <x:c r="H57" s="21" t="n">
        <x:v>0.05</x:v>
      </x:c>
      <x:c r="I57" s="20" t="n">
        <x:v>0.8</x:v>
      </x:c>
      <x:c r="J57" s="20" t="n">
        <x:v>1</x:v>
      </x:c>
      <x:c r="K57" s="20" t="n">
        <x:v>1</x:v>
      </x:c>
      <x:c r="L57" s="12" t="n">
        <x:v>3490</x:v>
      </x:c>
      <x:c r="M57" s="8" t="n">
        <x:v>208</x:v>
      </x:c>
      <x:c r="N57" s="12" t="n">
        <x:v>250</x:v>
      </x:c>
      <x:c r="O57" s="8" t="n">
        <x:v>1400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1</x:v>
      </x:c>
      <x:c r="U57" s="12" t="n">
        <x:v>0</x:v>
      </x:c>
      <x:c r="V57" s="8" t="n">
        <x:v>0</x:v>
      </x:c>
      <x:c r="W57" s="8" t="n">
        <x:v>230</x:v>
      </x:c>
      <x:c r="X57" s="12" t="n">
        <x:v>67000</x:v>
      </x:c>
      <x:c r="Y57" s="21"/>
      <x:c r="Z57" s="24" t="n">
        <x:f>IF($A57="","",INDEX(Settings!$C$29:$C$33,MATCH(E57,Settings!$A$29:$A$33,0)))</x:f>
        <x:v>3300</x:v>
      </x:c>
      <x:c r="AA57" s="22" t="n">
        <x:f>IF($A57="","",G57/Z57)</x:f>
        <x:v>1.0575757575757576</x:v>
      </x:c>
      <x:c r="AB57" s="25" t="n">
        <x:f>IF($A57="","",IF(ISNUMBER(Y57),Y57,Settings!$B$10))</x:f>
        <x:v>0.03</x:v>
      </x:c>
      <x:c r="AC57" s="23" t="n">
        <x:f>IF($A57="","",G57*(1+AB57))</x:f>
        <x:v>3594.7000000000003</x:v>
      </x:c>
      <x:c r="AD57" s="23" t="n">
        <x:f>IF($A57="","",G57*F57*12)</x:f>
        <x:v>41880</x:v>
      </x:c>
      <x:c r="AE57" s="23" t="n">
        <x:f>IF($A57="","",G57*F57*J57)</x:f>
        <x:v>3490</x:v>
      </x:c>
      <x:c r="AF57" s="24" t="n">
        <x:f>IF($A57="","",L57*F57*K57*Settings!$B$13)</x:f>
        <x:v>3210.8</x:v>
      </x:c>
      <x:c r="AG57" s="23" t="n">
        <x:f>IF($A57="","",AD57*H57*I57)</x:f>
        <x:v>1675.2</x:v>
      </x:c>
      <x:c r="AH57" s="24" t="n">
        <x:f>IF($A57="","",SUM(AD57:AE57,AG57)*SUM(Settings!$B$11:$B$12))</x:f>
        <x:v>11761.3</x:v>
      </x:c>
      <x:c r="AI57" s="24" t="n">
        <x:f>IF($A57="","",M57*Settings!$B$16)</x:f>
        <x:v>1853.28</x:v>
      </x:c>
      <x:c r="AJ57" s="24" t="n">
        <x:f>IF($A57="","",M57*Settings!$B$15)</x:f>
        <x:v>226.72000000000003</x:v>
      </x:c>
      <x:c r="AK57" s="24" t="n">
        <x:f>IF($A57="","",O57*Settings!$B$18)</x:f>
        <x:v>518</x:v>
      </x:c>
      <x:c r="AL57" s="24" t="n">
        <x:f>IF($A57="","",P57*Settings!$B$20+Q57*Settings!$B$21+R57*Settings!$B$22+S57*Settings!$B$23)</x:f>
        <x:v>0</x:v>
      </x:c>
      <x:c r="AM57" s="24" t="n">
        <x:f>IF($A57="","",T57*Settings!$B$24)</x:f>
        <x:v>40</x:v>
      </x:c>
      <x:c r="AN57" s="23" t="n">
        <x:f>IF($A57="","",SUM(AI57,N57,AK57:AM57,U57))</x:f>
        <x:v>2661.2799999999997</x:v>
      </x:c>
      <x:c r="AO57" s="23" t="n">
        <x:f>IF($A57="","",SUM(AD57:AI57,N57,AK57:AM57,U57))</x:f>
        <x:v>64678.58</x:v>
      </x:c>
      <x:c r="AP57" s="24" t="n">
        <x:f>IF($A57="","",G57*F57*AB57*((13-Settings!$B$9)*(1+H57*I57)+J57)*(1+SUM(Settings!$B$11:$B$12)))</x:f>
        <x:v>1355.865</x:v>
      </x:c>
      <x:c r="AQ57" s="23" t="n">
        <x:f>IF($A57="","",SUM(AO57:AP57))</x:f>
        <x:v>66034.445</x:v>
      </x:c>
      <x:c r="AR57" s="23" t="n">
        <x:f>IF($A57="","",AQ57-X57)</x:f>
        <x:v>-965.554999999993</x:v>
      </x:c>
      <x:c r="AS57" s="22" t="n">
        <x:f>IF($A57="","",IF(W57=0,"n.a.",V57/W57))</x:f>
        <x:v>0</x:v>
      </x:c>
      <x:c r="AT57" s="26" t="str">
        <x:f>IF($A57="",IF(COUNTA(B57:Y57)&gt;0,"Missing ID",""),IF(COUNTIFS($A$9:$A$508,A57)&gt;1,"Duplicate ID",IF(OR(B57="",C57="",D57="",E57="",COUNT(F57:X57)&lt;&gt;19),"Missing / text input",IF(OR(COUNTIFS(Settings!$A$59:$A$64,B57)&lt;&gt;1,COUNTIFS(Settings!$A$29:$A$33,E57)&lt;&gt;1),"Unknown department / grade",IF(OR(F57&lt;=0,F57&gt;1,G57&lt;=0,L57&lt;=0,H57&lt;0,I57&lt;0,J57&lt;0,K57&lt;0,K57&gt;1,MIN(M57:X57)&lt;0,W57=0,V57&gt;W57,M57&gt;W57-V57,P57&gt;8,Q57&gt;4,R57&gt;12,S57&gt;12,T57&gt;1,AB57&lt;0),"Review quantity / rate",IF(OR(N57&gt;Settings!$C$17,AK57&gt;Settings!$C$19),"Review benefit ceiling","OK"))))))</x:f>
        <x:v>OK</x:v>
      </x:c>
    </x:row>
    <x:row r="58" ht="23" customHeight="1">
      <x:c r="A58" s="8" t="str">
        <x:v>BE-0050</x:v>
      </x:c>
      <x:c r="B58" s="8" t="str">
        <x:v>People &amp; Culture</x:v>
      </x:c>
      <x:c r="C58" s="8" t="str">
        <x:v>Antwerp</x:v>
      </x:c>
      <x:c r="D58" s="8" t="str">
        <x:v>HR specialist</x:v>
      </x:c>
      <x:c r="E58" s="8" t="str">
        <x:v>G2</x:v>
      </x:c>
      <x:c r="F58" s="20" t="n">
        <x:v>0.8</x:v>
      </x:c>
      <x:c r="G58" s="12" t="n">
        <x:v>3450</x:v>
      </x:c>
      <x:c r="H58" s="21" t="n">
        <x:v>0.05</x:v>
      </x:c>
      <x:c r="I58" s="20" t="n">
        <x:v>1</x:v>
      </x:c>
      <x:c r="J58" s="20" t="n">
        <x:v>1</x:v>
      </x:c>
      <x:c r="K58" s="20" t="n">
        <x:v>1</x:v>
      </x:c>
      <x:c r="L58" s="12" t="n">
        <x:v>3450</x:v>
      </x:c>
      <x:c r="M58" s="8" t="n">
        <x:v>171</x:v>
      </x:c>
      <x:c r="N58" s="12" t="n">
        <x:v>200</x:v>
      </x:c>
      <x:c r="O58" s="8" t="n">
        <x:v>0</x:v>
      </x:c>
      <x:c r="P58" s="8" t="n">
        <x:v>8</x:v>
      </x:c>
      <x:c r="Q58" s="8" t="n">
        <x:v>4</x:v>
      </x:c>
      <x:c r="R58" s="8" t="n">
        <x:v>12</x:v>
      </x:c>
      <x:c r="S58" s="8" t="n">
        <x:v>0</x:v>
      </x:c>
      <x:c r="T58" s="8" t="n">
        <x:v>1</x:v>
      </x:c>
      <x:c r="U58" s="12" t="n">
        <x:v>0</x:v>
      </x:c>
      <x:c r="V58" s="8" t="n">
        <x:v>1</x:v>
      </x:c>
      <x:c r="W58" s="8" t="n">
        <x:v>184</x:v>
      </x:c>
      <x:c r="X58" s="12" t="n">
        <x:v>55300</x:v>
      </x:c>
      <x:c r="Y58" s="21"/>
      <x:c r="Z58" s="24" t="n">
        <x:f>IF($A58="","",INDEX(Settings!$C$29:$C$33,MATCH(E58,Settings!$A$29:$A$33,0)))</x:f>
        <x:v>3300</x:v>
      </x:c>
      <x:c r="AA58" s="22" t="n">
        <x:f>IF($A58="","",G58/Z58)</x:f>
        <x:v>1.0454545454545454</x:v>
      </x:c>
      <x:c r="AB58" s="25" t="n">
        <x:f>IF($A58="","",IF(ISNUMBER(Y58),Y58,Settings!$B$10))</x:f>
        <x:v>0.03</x:v>
      </x:c>
      <x:c r="AC58" s="23" t="n">
        <x:f>IF($A58="","",G58*(1+AB58))</x:f>
        <x:v>3553.5</x:v>
      </x:c>
      <x:c r="AD58" s="23" t="n">
        <x:f>IF($A58="","",G58*F58*12)</x:f>
        <x:v>33120</x:v>
      </x:c>
      <x:c r="AE58" s="23" t="n">
        <x:f>IF($A58="","",G58*F58*J58)</x:f>
        <x:v>2760</x:v>
      </x:c>
      <x:c r="AF58" s="24" t="n">
        <x:f>IF($A58="","",L58*F58*K58*Settings!$B$13)</x:f>
        <x:v>2539.2000000000003</x:v>
      </x:c>
      <x:c r="AG58" s="23" t="n">
        <x:f>IF($A58="","",AD58*H58*I58)</x:f>
        <x:v>1656</x:v>
      </x:c>
      <x:c r="AH58" s="24" t="n">
        <x:f>IF($A58="","",SUM(AD58:AE58,AG58)*SUM(Settings!$B$11:$B$12))</x:f>
        <x:v>9384</x:v>
      </x:c>
      <x:c r="AI58" s="24" t="n">
        <x:f>IF($A58="","",M58*Settings!$B$16)</x:f>
        <x:v>1523.6100000000001</x:v>
      </x:c>
      <x:c r="AJ58" s="24" t="n">
        <x:f>IF($A58="","",M58*Settings!$B$15)</x:f>
        <x:v>186.39000000000001</x:v>
      </x:c>
      <x:c r="AK58" s="24" t="n">
        <x:f>IF($A58="","",O58*Settings!$B$18)</x:f>
        <x:v>0</x:v>
      </x:c>
      <x:c r="AL58" s="24" t="n">
        <x:f>IF($A58="","",P58*Settings!$B$20+Q58*Settings!$B$21+R58*Settings!$B$22+S58*Settings!$B$23)</x:f>
        <x:v>2184.76</x:v>
      </x:c>
      <x:c r="AM58" s="24" t="n">
        <x:f>IF($A58="","",T58*Settings!$B$24)</x:f>
        <x:v>40</x:v>
      </x:c>
      <x:c r="AN58" s="23" t="n">
        <x:f>IF($A58="","",SUM(AI58,N58,AK58:AM58,U58))</x:f>
        <x:v>3948.3700000000003</x:v>
      </x:c>
      <x:c r="AO58" s="23" t="n">
        <x:f>IF($A58="","",SUM(AD58:AI58,N58,AK58:AM58,U58))</x:f>
        <x:v>53407.57</x:v>
      </x:c>
      <x:c r="AP58" s="24" t="n">
        <x:f>IF($A58="","",G58*F58*AB58*((13-Settings!$B$9)*(1+H58*I58)+J58)*(1+SUM(Settings!$B$11:$B$12)))</x:f>
        <x:v>1081.575</x:v>
      </x:c>
      <x:c r="AQ58" s="23" t="n">
        <x:f>IF($A58="","",SUM(AO58:AP58))</x:f>
        <x:v>54489.145</x:v>
      </x:c>
      <x:c r="AR58" s="23" t="n">
        <x:f>IF($A58="","",AQ58-X58)</x:f>
        <x:v>-810.8550000000032</x:v>
      </x:c>
      <x:c r="AS58" s="22" t="n">
        <x:f>IF($A58="","",IF(W58=0,"n.a.",V58/W58))</x:f>
        <x:v>0.005434782608695652</x:v>
      </x:c>
      <x:c r="AT58" s="26" t="str">
        <x:f>IF($A58="",IF(COUNTA(B58:Y58)&gt;0,"Missing ID",""),IF(COUNTIFS($A$9:$A$508,A58)&gt;1,"Duplicate ID",IF(OR(B58="",C58="",D58="",E58="",COUNT(F58:X58)&lt;&gt;19),"Missing / text input",IF(OR(COUNTIFS(Settings!$A$59:$A$64,B58)&lt;&gt;1,COUNTIFS(Settings!$A$29:$A$33,E58)&lt;&gt;1),"Unknown department / grade",IF(OR(F58&lt;=0,F58&gt;1,G58&lt;=0,L58&lt;=0,H58&lt;0,I58&lt;0,J58&lt;0,K58&lt;0,K58&gt;1,MIN(M58:X58)&lt;0,W58=0,V58&gt;W58,M58&gt;W58-V58,P58&gt;8,Q58&gt;4,R58&gt;12,S58&gt;12,T58&gt;1,AB58&lt;0),"Review quantity / rate",IF(OR(N58&gt;Settings!$C$17,AK58&gt;Settings!$C$19),"Review benefit ceiling","OK"))))))</x:f>
        <x:v>OK</x:v>
      </x:c>
    </x:row>
    <x:row r="59" ht="23" customHeight="1">
      <x:c r="A59" s="8" t="str">
        <x:v>BE-0051</x:v>
      </x:c>
      <x:c r="B59" s="8" t="str">
        <x:v>Technology</x:v>
      </x:c>
      <x:c r="C59" s="8" t="str">
        <x:v>Ghent</x:v>
      </x:c>
      <x:c r="D59" s="8" t="str">
        <x:v>Developer</x:v>
      </x:c>
      <x:c r="E59" s="8" t="str">
        <x:v>G2</x:v>
      </x:c>
      <x:c r="F59" s="20" t="n">
        <x:v>1</x:v>
      </x:c>
      <x:c r="G59" s="12" t="n">
        <x:v>3130</x:v>
      </x:c>
      <x:c r="H59" s="21" t="n">
        <x:v>0.05</x:v>
      </x:c>
      <x:c r="I59" s="20" t="n">
        <x:v>1.1</x:v>
      </x:c>
      <x:c r="J59" s="20" t="n">
        <x:v>1</x:v>
      </x:c>
      <x:c r="K59" s="20" t="n">
        <x:v>1</x:v>
      </x:c>
      <x:c r="L59" s="12" t="n">
        <x:v>3130</x:v>
      </x:c>
      <x:c r="M59" s="8" t="n">
        <x:v>213</x:v>
      </x:c>
      <x:c r="N59" s="12" t="n">
        <x:v>250</x:v>
      </x:c>
      <x:c r="O59" s="8" t="n">
        <x:v>0</x:v>
      </x:c>
      <x:c r="P59" s="8" t="n">
        <x:v>8</x:v>
      </x:c>
      <x:c r="Q59" s="8" t="n">
        <x:v>4</x:v>
      </x:c>
      <x:c r="R59" s="8" t="n">
        <x:v>12</x:v>
      </x:c>
      <x:c r="S59" s="8" t="n">
        <x:v>12</x:v>
      </x:c>
      <x:c r="T59" s="8" t="n">
        <x:v>1</x:v>
      </x:c>
      <x:c r="U59" s="12" t="n">
        <x:v>0</x:v>
      </x:c>
      <x:c r="V59" s="8" t="n">
        <x:v>2</x:v>
      </x:c>
      <x:c r="W59" s="8" t="n">
        <x:v>230</x:v>
      </x:c>
      <x:c r="X59" s="12" t="n">
        <x:v>61200</x:v>
      </x:c>
      <x:c r="Y59" s="21"/>
      <x:c r="Z59" s="24" t="n">
        <x:f>IF($A59="","",INDEX(Settings!$C$29:$C$33,MATCH(E59,Settings!$A$29:$A$33,0)))</x:f>
        <x:v>3300</x:v>
      </x:c>
      <x:c r="AA59" s="22" t="n">
        <x:f>IF($A59="","",G59/Z59)</x:f>
        <x:v>0.9484848484848485</x:v>
      </x:c>
      <x:c r="AB59" s="25" t="n">
        <x:f>IF($A59="","",IF(ISNUMBER(Y59),Y59,Settings!$B$10))</x:f>
        <x:v>0.03</x:v>
      </x:c>
      <x:c r="AC59" s="23" t="n">
        <x:f>IF($A59="","",G59*(1+AB59))</x:f>
        <x:v>3223.9</x:v>
      </x:c>
      <x:c r="AD59" s="23" t="n">
        <x:f>IF($A59="","",G59*F59*12)</x:f>
        <x:v>37560</x:v>
      </x:c>
      <x:c r="AE59" s="23" t="n">
        <x:f>IF($A59="","",G59*F59*J59)</x:f>
        <x:v>3130</x:v>
      </x:c>
      <x:c r="AF59" s="24" t="n">
        <x:f>IF($A59="","",L59*F59*K59*Settings!$B$13)</x:f>
        <x:v>2879.6</x:v>
      </x:c>
      <x:c r="AG59" s="23" t="n">
        <x:f>IF($A59="","",AD59*H59*I59)</x:f>
        <x:v>2065.8</x:v>
      </x:c>
      <x:c r="AH59" s="24" t="n">
        <x:f>IF($A59="","",SUM(AD59:AE59,AG59)*SUM(Settings!$B$11:$B$12))</x:f>
        <x:v>10688.95</x:v>
      </x:c>
      <x:c r="AI59" s="24" t="n">
        <x:f>IF($A59="","",M59*Settings!$B$16)</x:f>
        <x:v>1897.83</x:v>
      </x:c>
      <x:c r="AJ59" s="24" t="n">
        <x:f>IF($A59="","",M59*Settings!$B$15)</x:f>
        <x:v>232.17000000000002</x:v>
      </x:c>
      <x:c r="AK59" s="24" t="n">
        <x:f>IF($A59="","",O59*Settings!$B$18)</x:f>
        <x:v>0</x:v>
      </x:c>
      <x:c r="AL59" s="24" t="n">
        <x:f>IF($A59="","",P59*Settings!$B$20+Q59*Settings!$B$21+R59*Settings!$B$22+S59*Settings!$B$23)</x:f>
        <x:v>2424.76</x:v>
      </x:c>
      <x:c r="AM59" s="24" t="n">
        <x:f>IF($A59="","",T59*Settings!$B$24)</x:f>
        <x:v>40</x:v>
      </x:c>
      <x:c r="AN59" s="23" t="n">
        <x:f>IF($A59="","",SUM(AI59,N59,AK59:AM59,U59))</x:f>
        <x:v>4612.59</x:v>
      </x:c>
      <x:c r="AO59" s="23" t="n">
        <x:f>IF($A59="","",SUM(AD59:AI59,N59,AK59:AM59,U59))</x:f>
        <x:v>60936.94000000001</x:v>
      </x:c>
      <x:c r="AP59" s="24" t="n">
        <x:f>IF($A59="","",G59*F59*AB59*((13-Settings!$B$9)*(1+H59*I59)+J59)*(1+SUM(Settings!$B$11:$B$12)))</x:f>
        <x:v>1231.8506249999998</x:v>
      </x:c>
      <x:c r="AQ59" s="23" t="n">
        <x:f>IF($A59="","",SUM(AO59:AP59))</x:f>
        <x:v>62168.79062500001</x:v>
      </x:c>
      <x:c r="AR59" s="23" t="n">
        <x:f>IF($A59="","",AQ59-X59)</x:f>
        <x:v>968.7906250000087</x:v>
      </x:c>
      <x:c r="AS59" s="22" t="n">
        <x:f>IF($A59="","",IF(W59=0,"n.a.",V59/W59))</x:f>
        <x:v>0.008695652173913044</x:v>
      </x:c>
      <x:c r="AT59" s="26" t="str">
        <x:f>IF($A59="",IF(COUNTA(B59:Y59)&gt;0,"Missing ID",""),IF(COUNTIFS($A$9:$A$508,A59)&gt;1,"Duplicate ID",IF(OR(B59="",C59="",D59="",E59="",COUNT(F59:X59)&lt;&gt;19),"Missing / text input",IF(OR(COUNTIFS(Settings!$A$59:$A$64,B59)&lt;&gt;1,COUNTIFS(Settings!$A$29:$A$33,E59)&lt;&gt;1),"Unknown department / grade",IF(OR(F59&lt;=0,F59&gt;1,G59&lt;=0,L59&lt;=0,H59&lt;0,I59&lt;0,J59&lt;0,K59&lt;0,K59&gt;1,MIN(M59:X59)&lt;0,W59=0,V59&gt;W59,M59&gt;W59-V59,P59&gt;8,Q59&gt;4,R59&gt;12,S59&gt;12,T59&gt;1,AB59&lt;0),"Review quantity / rate",IF(OR(N59&gt;Settings!$C$17,AK59&gt;Settings!$C$19),"Review benefit ceiling","OK"))))))</x:f>
        <x:v>OK</x:v>
      </x:c>
    </x:row>
    <x:row r="60" ht="23" customHeight="1">
      <x:c r="A60" s="8" t="str">
        <x:v>BE-0052</x:v>
      </x:c>
      <x:c r="B60" s="8" t="str">
        <x:v>Sales</x:v>
      </x:c>
      <x:c r="C60" s="8" t="str">
        <x:v>Brussels</x:v>
      </x:c>
      <x:c r="D60" s="8" t="str">
        <x:v>Account manager</x:v>
      </x:c>
      <x:c r="E60" s="8" t="str">
        <x:v>G2</x:v>
      </x:c>
      <x:c r="F60" s="20" t="n">
        <x:v>1</x:v>
      </x:c>
      <x:c r="G60" s="12" t="n">
        <x:v>3290</x:v>
      </x:c>
      <x:c r="H60" s="21" t="n">
        <x:v>0.05</x:v>
      </x:c>
      <x:c r="I60" s="20" t="n">
        <x:v>0.8</x:v>
      </x:c>
      <x:c r="J60" s="20" t="n">
        <x:v>1</x:v>
      </x:c>
      <x:c r="K60" s="20" t="n">
        <x:v>1</x:v>
      </x:c>
      <x:c r="L60" s="12" t="n">
        <x:v>3290</x:v>
      </x:c>
      <x:c r="M60" s="8" t="n">
        <x:v>212</x:v>
      </x:c>
      <x:c r="N60" s="12" t="n">
        <x:v>250</x:v>
      </x:c>
      <x:c r="O60" s="8" t="n">
        <x:v>1730</x:v>
      </x:c>
      <x:c r="P60" s="8" t="n">
        <x:v>8</x:v>
      </x:c>
      <x:c r="Q60" s="8" t="n">
        <x:v>4</x:v>
      </x:c>
      <x:c r="R60" s="8" t="n">
        <x:v>12</x:v>
      </x:c>
      <x:c r="S60" s="8" t="n">
        <x:v>0</x:v>
      </x:c>
      <x:c r="T60" s="8" t="n">
        <x:v>1</x:v>
      </x:c>
      <x:c r="U60" s="12" t="n">
        <x:v>0</x:v>
      </x:c>
      <x:c r="V60" s="8" t="n">
        <x:v>3</x:v>
      </x:c>
      <x:c r="W60" s="8" t="n">
        <x:v>230</x:v>
      </x:c>
      <x:c r="X60" s="12" t="n">
        <x:v>65700</x:v>
      </x:c>
      <x:c r="Y60" s="21"/>
      <x:c r="Z60" s="24" t="n">
        <x:f>IF($A60="","",INDEX(Settings!$C$29:$C$33,MATCH(E60,Settings!$A$29:$A$33,0)))</x:f>
        <x:v>3300</x:v>
      </x:c>
      <x:c r="AA60" s="22" t="n">
        <x:f>IF($A60="","",G60/Z60)</x:f>
        <x:v>0.996969696969697</x:v>
      </x:c>
      <x:c r="AB60" s="25" t="n">
        <x:f>IF($A60="","",IF(ISNUMBER(Y60),Y60,Settings!$B$10))</x:f>
        <x:v>0.03</x:v>
      </x:c>
      <x:c r="AC60" s="23" t="n">
        <x:f>IF($A60="","",G60*(1+AB60))</x:f>
        <x:v>3388.7000000000003</x:v>
      </x:c>
      <x:c r="AD60" s="23" t="n">
        <x:f>IF($A60="","",G60*F60*12)</x:f>
        <x:v>39480</x:v>
      </x:c>
      <x:c r="AE60" s="23" t="n">
        <x:f>IF($A60="","",G60*F60*J60)</x:f>
        <x:v>3290</x:v>
      </x:c>
      <x:c r="AF60" s="24" t="n">
        <x:f>IF($A60="","",L60*F60*K60*Settings!$B$13)</x:f>
        <x:v>3026.8</x:v>
      </x:c>
      <x:c r="AG60" s="23" t="n">
        <x:f>IF($A60="","",AD60*H60*I60)</x:f>
        <x:v>1579.2</x:v>
      </x:c>
      <x:c r="AH60" s="24" t="n">
        <x:f>IF($A60="","",SUM(AD60:AE60,AG60)*SUM(Settings!$B$11:$B$12))</x:f>
        <x:v>11087.3</x:v>
      </x:c>
      <x:c r="AI60" s="24" t="n">
        <x:f>IF($A60="","",M60*Settings!$B$16)</x:f>
        <x:v>1888.92</x:v>
      </x:c>
      <x:c r="AJ60" s="24" t="n">
        <x:f>IF($A60="","",M60*Settings!$B$15)</x:f>
        <x:v>231.08</x:v>
      </x:c>
      <x:c r="AK60" s="24" t="n">
        <x:f>IF($A60="","",O60*Settings!$B$18)</x:f>
        <x:v>640.1</x:v>
      </x:c>
      <x:c r="AL60" s="24" t="n">
        <x:f>IF($A60="","",P60*Settings!$B$20+Q60*Settings!$B$21+R60*Settings!$B$22+S60*Settings!$B$23)</x:f>
        <x:v>2184.76</x:v>
      </x:c>
      <x:c r="AM60" s="24" t="n">
        <x:f>IF($A60="","",T60*Settings!$B$24)</x:f>
        <x:v>40</x:v>
      </x:c>
      <x:c r="AN60" s="23" t="n">
        <x:f>IF($A60="","",SUM(AI60,N60,AK60:AM60,U60))</x:f>
        <x:v>5003.780000000001</x:v>
      </x:c>
      <x:c r="AO60" s="23" t="n">
        <x:f>IF($A60="","",SUM(AD60:AI60,N60,AK60:AM60,U60))</x:f>
        <x:v>63467.08</x:v>
      </x:c>
      <x:c r="AP60" s="24" t="n">
        <x:f>IF($A60="","",G60*F60*AB60*((13-Settings!$B$9)*(1+H60*I60)+J60)*(1+SUM(Settings!$B$11:$B$12)))</x:f>
        <x:v>1278.165</x:v>
      </x:c>
      <x:c r="AQ60" s="23" t="n">
        <x:f>IF($A60="","",SUM(AO60:AP60))</x:f>
        <x:v>64745.245</x:v>
      </x:c>
      <x:c r="AR60" s="23" t="n">
        <x:f>IF($A60="","",AQ60-X60)</x:f>
        <x:v>-954.7549999999974</x:v>
      </x:c>
      <x:c r="AS60" s="22" t="n">
        <x:f>IF($A60="","",IF(W60=0,"n.a.",V60/W60))</x:f>
        <x:v>0.013043478260869565</x:v>
      </x:c>
      <x:c r="AT60" s="26" t="str">
        <x:f>IF($A60="",IF(COUNTA(B60:Y60)&gt;0,"Missing ID",""),IF(COUNTIFS($A$9:$A$508,A60)&gt;1,"Duplicate ID",IF(OR(B60="",C60="",D60="",E60="",COUNT(F60:X60)&lt;&gt;19),"Missing / text input",IF(OR(COUNTIFS(Settings!$A$59:$A$64,B60)&lt;&gt;1,COUNTIFS(Settings!$A$29:$A$33,E60)&lt;&gt;1),"Unknown department / grade",IF(OR(F60&lt;=0,F60&gt;1,G60&lt;=0,L60&lt;=0,H60&lt;0,I60&lt;0,J60&lt;0,K60&lt;0,K60&gt;1,MIN(M60:X60)&lt;0,W60=0,V60&gt;W60,M60&gt;W60-V60,P60&gt;8,Q60&gt;4,R60&gt;12,S60&gt;12,T60&gt;1,AB60&lt;0),"Review quantity / rate",IF(OR(N60&gt;Settings!$C$17,AK60&gt;Settings!$C$19),"Review benefit ceiling","OK"))))))</x:f>
        <x:v>OK</x:v>
      </x:c>
    </x:row>
    <x:row r="61" ht="23" customHeight="1">
      <x:c r="A61" s="8" t="str">
        <x:v>BE-0053</x:v>
      </x:c>
      <x:c r="B61" s="8" t="str">
        <x:v>Customer Operations</x:v>
      </x:c>
      <x:c r="C61" s="8" t="str">
        <x:v>Antwerp</x:v>
      </x:c>
      <x:c r="D61" s="8" t="str">
        <x:v>Senior service specialist</x:v>
      </x:c>
      <x:c r="E61" s="8" t="str">
        <x:v>G3</x:v>
      </x:c>
      <x:c r="F61" s="20" t="n">
        <x:v>1</x:v>
      </x:c>
      <x:c r="G61" s="12" t="n">
        <x:v>4140</x:v>
      </x:c>
      <x:c r="H61" s="21" t="n">
        <x:v>0.08</x:v>
      </x:c>
      <x:c r="I61" s="20" t="n">
        <x:v>1</x:v>
      </x:c>
      <x:c r="J61" s="20" t="n">
        <x:v>1</x:v>
      </x:c>
      <x:c r="K61" s="20" t="n">
        <x:v>1</x:v>
      </x:c>
      <x:c r="L61" s="12" t="n">
        <x:v>4140</x:v>
      </x:c>
      <x:c r="M61" s="8" t="n">
        <x:v>211</x:v>
      </x:c>
      <x:c r="N61" s="12" t="n">
        <x:v>250</x:v>
      </x:c>
      <x:c r="O61" s="8" t="n">
        <x:v>0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1</x:v>
      </x:c>
      <x:c r="U61" s="12" t="n">
        <x:v>0</x:v>
      </x:c>
      <x:c r="V61" s="8" t="n">
        <x:v>4</x:v>
      </x:c>
      <x:c r="W61" s="8" t="n">
        <x:v>230</x:v>
      </x:c>
      <x:c r="X61" s="12" t="n">
        <x:v>81100</x:v>
      </x:c>
      <x:c r="Y61" s="21"/>
      <x:c r="Z61" s="24" t="n">
        <x:f>IF($A61="","",INDEX(Settings!$C$29:$C$33,MATCH(E61,Settings!$A$29:$A$33,0)))</x:f>
        <x:v>4200</x:v>
      </x:c>
      <x:c r="AA61" s="22" t="n">
        <x:f>IF($A61="","",G61/Z61)</x:f>
        <x:v>0.9857142857142858</x:v>
      </x:c>
      <x:c r="AB61" s="25" t="n">
        <x:f>IF($A61="","",IF(ISNUMBER(Y61),Y61,Settings!$B$10))</x:f>
        <x:v>0.03</x:v>
      </x:c>
      <x:c r="AC61" s="23" t="n">
        <x:f>IF($A61="","",G61*(1+AB61))</x:f>
        <x:v>4264.2</x:v>
      </x:c>
      <x:c r="AD61" s="23" t="n">
        <x:f>IF($A61="","",G61*F61*12)</x:f>
        <x:v>49680</x:v>
      </x:c>
      <x:c r="AE61" s="23" t="n">
        <x:f>IF($A61="","",G61*F61*J61)</x:f>
        <x:v>4140</x:v>
      </x:c>
      <x:c r="AF61" s="24" t="n">
        <x:f>IF($A61="","",L61*F61*K61*Settings!$B$13)</x:f>
        <x:v>3808.8</x:v>
      </x:c>
      <x:c r="AG61" s="23" t="n">
        <x:f>IF($A61="","",AD61*H61*I61)</x:f>
        <x:v>3974.4</x:v>
      </x:c>
      <x:c r="AH61" s="24" t="n">
        <x:f>IF($A61="","",SUM(AD61:AE61,AG61)*SUM(Settings!$B$11:$B$12))</x:f>
        <x:v>14448.6</x:v>
      </x:c>
      <x:c r="AI61" s="24" t="n">
        <x:f>IF($A61="","",M61*Settings!$B$16)</x:f>
        <x:v>1880.01</x:v>
      </x:c>
      <x:c r="AJ61" s="24" t="n">
        <x:f>IF($A61="","",M61*Settings!$B$15)</x:f>
        <x:v>229.99</x:v>
      </x:c>
      <x:c r="AK61" s="24" t="n">
        <x:f>IF($A61="","",O61*Settings!$B$18)</x:f>
        <x:v>0</x:v>
      </x:c>
      <x:c r="AL61" s="24" t="n">
        <x:f>IF($A61="","",P61*Settings!$B$20+Q61*Settings!$B$21+R61*Settings!$B$22+S61*Settings!$B$23)</x:f>
        <x:v>0</x:v>
      </x:c>
      <x:c r="AM61" s="24" t="n">
        <x:f>IF($A61="","",T61*Settings!$B$24)</x:f>
        <x:v>40</x:v>
      </x:c>
      <x:c r="AN61" s="23" t="n">
        <x:f>IF($A61="","",SUM(AI61,N61,AK61:AM61,U61))</x:f>
        <x:v>2170.01</x:v>
      </x:c>
      <x:c r="AO61" s="23" t="n">
        <x:f>IF($A61="","",SUM(AD61:AI61,N61,AK61:AM61,U61))</x:f>
        <x:v>78221.81</x:v>
      </x:c>
      <x:c r="AP61" s="24" t="n">
        <x:f>IF($A61="","",G61*F61*AB61*((13-Settings!$B$9)*(1+H61*I61)+J61)*(1+SUM(Settings!$B$11:$B$12)))</x:f>
        <x:v>1664.28</x:v>
      </x:c>
      <x:c r="AQ61" s="23" t="n">
        <x:f>IF($A61="","",SUM(AO61:AP61))</x:f>
        <x:v>79886.09</x:v>
      </x:c>
      <x:c r="AR61" s="23" t="n">
        <x:f>IF($A61="","",AQ61-X61)</x:f>
        <x:v>-1213.9100000000035</x:v>
      </x:c>
      <x:c r="AS61" s="22" t="n">
        <x:f>IF($A61="","",IF(W61=0,"n.a.",V61/W61))</x:f>
        <x:v>0.017391304347826087</x:v>
      </x:c>
      <x:c r="AT61" s="26" t="str">
        <x:f>IF($A61="",IF(COUNTA(B61:Y61)&gt;0,"Missing ID",""),IF(COUNTIFS($A$9:$A$508,A61)&gt;1,"Duplicate ID",IF(OR(B61="",C61="",D61="",E61="",COUNT(F61:X61)&lt;&gt;19),"Missing / text input",IF(OR(COUNTIFS(Settings!$A$59:$A$64,B61)&lt;&gt;1,COUNTIFS(Settings!$A$29:$A$33,E61)&lt;&gt;1),"Unknown department / grade",IF(OR(F61&lt;=0,F61&gt;1,G61&lt;=0,L61&lt;=0,H61&lt;0,I61&lt;0,J61&lt;0,K61&lt;0,K61&gt;1,MIN(M61:X61)&lt;0,W61=0,V61&gt;W61,M61&gt;W61-V61,P61&gt;8,Q61&gt;4,R61&gt;12,S61&gt;12,T61&gt;1,AB61&lt;0),"Review quantity / rate",IF(OR(N61&gt;Settings!$C$17,AK61&gt;Settings!$C$19),"Review benefit ceiling","OK"))))))</x:f>
        <x:v>OK</x:v>
      </x:c>
    </x:row>
    <x:row r="62" ht="23" customHeight="1">
      <x:c r="A62" s="8" t="str">
        <x:v>BE-0054</x:v>
      </x:c>
      <x:c r="B62" s="8" t="str">
        <x:v>Business Support</x:v>
      </x:c>
      <x:c r="C62" s="8" t="str">
        <x:v>Ghent</x:v>
      </x:c>
      <x:c r="D62" s="8" t="str">
        <x:v>Senior business analyst</x:v>
      </x:c>
      <x:c r="E62" s="8" t="str">
        <x:v>G3</x:v>
      </x:c>
      <x:c r="F62" s="20" t="n">
        <x:v>1</x:v>
      </x:c>
      <x:c r="G62" s="12" t="n">
        <x:v>4380</x:v>
      </x:c>
      <x:c r="H62" s="21" t="n">
        <x:v>0.08</x:v>
      </x:c>
      <x:c r="I62" s="20" t="n">
        <x:v>1.1</x:v>
      </x:c>
      <x:c r="J62" s="20" t="n">
        <x:v>1</x:v>
      </x:c>
      <x:c r="K62" s="20" t="n">
        <x:v>1</x:v>
      </x:c>
      <x:c r="L62" s="12" t="n">
        <x:v>4380</x:v>
      </x:c>
      <x:c r="M62" s="8" t="n">
        <x:v>210</x:v>
      </x:c>
      <x:c r="N62" s="12" t="n">
        <x:v>250</x:v>
      </x:c>
      <x:c r="O62" s="8" t="n">
        <x:v>0</x:v>
      </x:c>
      <x:c r="P62" s="8" t="n">
        <x:v>8</x:v>
      </x:c>
      <x:c r="Q62" s="8" t="n">
        <x:v>4</x:v>
      </x:c>
      <x:c r="R62" s="8" t="n">
        <x:v>12</x:v>
      </x:c>
      <x:c r="S62" s="8" t="n">
        <x:v>0</x:v>
      </x:c>
      <x:c r="T62" s="8" t="n">
        <x:v>1</x:v>
      </x:c>
      <x:c r="U62" s="12" t="n">
        <x:v>0</x:v>
      </x:c>
      <x:c r="V62" s="8" t="n">
        <x:v>5</x:v>
      </x:c>
      <x:c r="W62" s="8" t="n">
        <x:v>230</x:v>
      </x:c>
      <x:c r="X62" s="12" t="n">
        <x:v>88400</x:v>
      </x:c>
      <x:c r="Y62" s="21"/>
      <x:c r="Z62" s="24" t="n">
        <x:f>IF($A62="","",INDEX(Settings!$C$29:$C$33,MATCH(E62,Settings!$A$29:$A$33,0)))</x:f>
        <x:v>4200</x:v>
      </x:c>
      <x:c r="AA62" s="22" t="n">
        <x:f>IF($A62="","",G62/Z62)</x:f>
        <x:v>1.042857142857143</x:v>
      </x:c>
      <x:c r="AB62" s="25" t="n">
        <x:f>IF($A62="","",IF(ISNUMBER(Y62),Y62,Settings!$B$10))</x:f>
        <x:v>0.03</x:v>
      </x:c>
      <x:c r="AC62" s="23" t="n">
        <x:f>IF($A62="","",G62*(1+AB62))</x:f>
        <x:v>4511.400000000001</x:v>
      </x:c>
      <x:c r="AD62" s="23" t="n">
        <x:f>IF($A62="","",G62*F62*12)</x:f>
        <x:v>52560</x:v>
      </x:c>
      <x:c r="AE62" s="23" t="n">
        <x:f>IF($A62="","",G62*F62*J62)</x:f>
        <x:v>4380</x:v>
      </x:c>
      <x:c r="AF62" s="24" t="n">
        <x:f>IF($A62="","",L62*F62*K62*Settings!$B$13)</x:f>
        <x:v>4029.6000000000004</x:v>
      </x:c>
      <x:c r="AG62" s="23" t="n">
        <x:f>IF($A62="","",AD62*H62*I62)</x:f>
        <x:v>4625.280000000001</x:v>
      </x:c>
      <x:c r="AH62" s="24" t="n">
        <x:f>IF($A62="","",SUM(AD62:AE62,AG62)*SUM(Settings!$B$11:$B$12))</x:f>
        <x:v>15391.32</x:v>
      </x:c>
      <x:c r="AI62" s="24" t="n">
        <x:f>IF($A62="","",M62*Settings!$B$16)</x:f>
        <x:v>1871.1000000000001</x:v>
      </x:c>
      <x:c r="AJ62" s="24" t="n">
        <x:f>IF($A62="","",M62*Settings!$B$15)</x:f>
        <x:v>228.9</x:v>
      </x:c>
      <x:c r="AK62" s="24" t="n">
        <x:f>IF($A62="","",O62*Settings!$B$18)</x:f>
        <x:v>0</x:v>
      </x:c>
      <x:c r="AL62" s="24" t="n">
        <x:f>IF($A62="","",P62*Settings!$B$20+Q62*Settings!$B$21+R62*Settings!$B$22+S62*Settings!$B$23)</x:f>
        <x:v>2184.76</x:v>
      </x:c>
      <x:c r="AM62" s="24" t="n">
        <x:f>IF($A62="","",T62*Settings!$B$24)</x:f>
        <x:v>40</x:v>
      </x:c>
      <x:c r="AN62" s="23" t="n">
        <x:f>IF($A62="","",SUM(AI62,N62,AK62:AM62,U62))</x:f>
        <x:v>4345.860000000001</x:v>
      </x:c>
      <x:c r="AO62" s="23" t="n">
        <x:f>IF($A62="","",SUM(AD62:AI62,N62,AK62:AM62,U62))</x:f>
        <x:v>85332.06000000001</x:v>
      </x:c>
      <x:c r="AP62" s="24" t="n">
        <x:f>IF($A62="","",G62*F62*AB62*((13-Settings!$B$9)*(1+H62*I62)+J62)*(1+SUM(Settings!$B$11:$B$12)))</x:f>
        <x:v>1772.5860000000002</x:v>
      </x:c>
      <x:c r="AQ62" s="23" t="n">
        <x:f>IF($A62="","",SUM(AO62:AP62))</x:f>
        <x:v>87104.64600000001</x:v>
      </x:c>
      <x:c r="AR62" s="23" t="n">
        <x:f>IF($A62="","",AQ62-X62)</x:f>
        <x:v>-1295.353999999992</x:v>
      </x:c>
      <x:c r="AS62" s="22" t="n">
        <x:f>IF($A62="","",IF(W62=0,"n.a.",V62/W62))</x:f>
        <x:v>0.021739130434782608</x:v>
      </x:c>
      <x:c r="AT62" s="26" t="str">
        <x:f>IF($A62="",IF(COUNTA(B62:Y62)&gt;0,"Missing ID",""),IF(COUNTIFS($A$9:$A$508,A62)&gt;1,"Duplicate ID",IF(OR(B62="",C62="",D62="",E62="",COUNT(F62:X62)&lt;&gt;19),"Missing / text input",IF(OR(COUNTIFS(Settings!$A$59:$A$64,B62)&lt;&gt;1,COUNTIFS(Settings!$A$29:$A$33,E62)&lt;&gt;1),"Unknown department / grade",IF(OR(F62&lt;=0,F62&gt;1,G62&lt;=0,L62&lt;=0,H62&lt;0,I62&lt;0,J62&lt;0,K62&lt;0,K62&gt;1,MIN(M62:X62)&lt;0,W62=0,V62&gt;W62,M62&gt;W62-V62,P62&gt;8,Q62&gt;4,R62&gt;12,S62&gt;12,T62&gt;1,AB62&lt;0),"Review quantity / rate",IF(OR(N62&gt;Settings!$C$17,AK62&gt;Settings!$C$19),"Review benefit ceiling","OK"))))))</x:f>
        <x:v>OK</x:v>
      </x:c>
    </x:row>
    <x:row r="63" ht="23" customHeight="1">
      <x:c r="A63" s="8" t="str">
        <x:v>BE-0055</x:v>
      </x:c>
      <x:c r="B63" s="8" t="str">
        <x:v>Finance</x:v>
      </x:c>
      <x:c r="C63" s="8" t="str">
        <x:v>Brussels</x:v>
      </x:c>
      <x:c r="D63" s="8" t="str">
        <x:v>Senior analyst</x:v>
      </x:c>
      <x:c r="E63" s="8" t="str">
        <x:v>G3</x:v>
      </x:c>
      <x:c r="F63" s="20" t="n">
        <x:v>0.6</x:v>
      </x:c>
      <x:c r="G63" s="12" t="n">
        <x:v>4260</x:v>
      </x:c>
      <x:c r="H63" s="21" t="n">
        <x:v>0.08</x:v>
      </x:c>
      <x:c r="I63" s="20" t="n">
        <x:v>0.8</x:v>
      </x:c>
      <x:c r="J63" s="20" t="n">
        <x:v>1</x:v>
      </x:c>
      <x:c r="K63" s="20" t="n">
        <x:v>1</x:v>
      </x:c>
      <x:c r="L63" s="12" t="n">
        <x:v>4260</x:v>
      </x:c>
      <x:c r="M63" s="8" t="n">
        <x:v>123</x:v>
      </x:c>
      <x:c r="N63" s="12" t="n">
        <x:v>150</x:v>
      </x:c>
      <x:c r="O63" s="8" t="n">
        <x:v>2060</x:v>
      </x:c>
      <x:c r="P63" s="8" t="n">
        <x:v>8</x:v>
      </x:c>
      <x:c r="Q63" s="8" t="n">
        <x:v>4</x:v>
      </x:c>
      <x:c r="R63" s="8" t="n">
        <x:v>12</x:v>
      </x:c>
      <x:c r="S63" s="8" t="n">
        <x:v>0</x:v>
      </x:c>
      <x:c r="T63" s="8" t="n">
        <x:v>1</x:v>
      </x:c>
      <x:c r="U63" s="12" t="n">
        <x:v>0</x:v>
      </x:c>
      <x:c r="V63" s="8" t="n">
        <x:v>6</x:v>
      </x:c>
      <x:c r="W63" s="8" t="n">
        <x:v>138</x:v>
      </x:c>
      <x:c r="X63" s="12" t="n">
        <x:v>52400</x:v>
      </x:c>
      <x:c r="Y63" s="21"/>
      <x:c r="Z63" s="24" t="n">
        <x:f>IF($A63="","",INDEX(Settings!$C$29:$C$33,MATCH(E63,Settings!$A$29:$A$33,0)))</x:f>
        <x:v>4200</x:v>
      </x:c>
      <x:c r="AA63" s="22" t="n">
        <x:f>IF($A63="","",G63/Z63)</x:f>
        <x:v>1.0142857142857142</x:v>
      </x:c>
      <x:c r="AB63" s="25" t="n">
        <x:f>IF($A63="","",IF(ISNUMBER(Y63),Y63,Settings!$B$10))</x:f>
        <x:v>0.03</x:v>
      </x:c>
      <x:c r="AC63" s="23" t="n">
        <x:f>IF($A63="","",G63*(1+AB63))</x:f>
        <x:v>4387.8</x:v>
      </x:c>
      <x:c r="AD63" s="23" t="n">
        <x:f>IF($A63="","",G63*F63*12)</x:f>
        <x:v>30672</x:v>
      </x:c>
      <x:c r="AE63" s="23" t="n">
        <x:f>IF($A63="","",G63*F63*J63)</x:f>
        <x:v>2556</x:v>
      </x:c>
      <x:c r="AF63" s="24" t="n">
        <x:f>IF($A63="","",L63*F63*K63*Settings!$B$13)</x:f>
        <x:v>2351.52</x:v>
      </x:c>
      <x:c r="AG63" s="23" t="n">
        <x:f>IF($A63="","",AD63*H63*I63)</x:f>
        <x:v>1963.0080000000003</x:v>
      </x:c>
      <x:c r="AH63" s="24" t="n">
        <x:f>IF($A63="","",SUM(AD63:AE63,AG63)*SUM(Settings!$B$11:$B$12))</x:f>
        <x:v>8797.752</x:v>
      </x:c>
      <x:c r="AI63" s="24" t="n">
        <x:f>IF($A63="","",M63*Settings!$B$16)</x:f>
        <x:v>1095.93</x:v>
      </x:c>
      <x:c r="AJ63" s="24" t="n">
        <x:f>IF($A63="","",M63*Settings!$B$15)</x:f>
        <x:v>134.07000000000002</x:v>
      </x:c>
      <x:c r="AK63" s="24" t="n">
        <x:f>IF($A63="","",O63*Settings!$B$18)</x:f>
        <x:v>762.2</x:v>
      </x:c>
      <x:c r="AL63" s="24" t="n">
        <x:f>IF($A63="","",P63*Settings!$B$20+Q63*Settings!$B$21+R63*Settings!$B$22+S63*Settings!$B$23)</x:f>
        <x:v>2184.76</x:v>
      </x:c>
      <x:c r="AM63" s="24" t="n">
        <x:f>IF($A63="","",T63*Settings!$B$24)</x:f>
        <x:v>40</x:v>
      </x:c>
      <x:c r="AN63" s="23" t="n">
        <x:f>IF($A63="","",SUM(AI63,N63,AK63:AM63,U63))</x:f>
        <x:v>4232.89</x:v>
      </x:c>
      <x:c r="AO63" s="23" t="n">
        <x:f>IF($A63="","",SUM(AD63:AI63,N63,AK63:AM63,U63))</x:f>
        <x:v>50573.17</x:v>
      </x:c>
      <x:c r="AP63" s="24" t="n">
        <x:f>IF($A63="","",G63*F63*AB63*((13-Settings!$B$9)*(1+H63*I63)+J63)*(1+SUM(Settings!$B$11:$B$12)))</x:f>
        <x:v>1013.7095999999999</x:v>
      </x:c>
      <x:c r="AQ63" s="23" t="n">
        <x:f>IF($A63="","",SUM(AO63:AP63))</x:f>
        <x:v>51586.8796</x:v>
      </x:c>
      <x:c r="AR63" s="23" t="n">
        <x:f>IF($A63="","",AQ63-X63)</x:f>
        <x:v>-813.1203999999998</x:v>
      </x:c>
      <x:c r="AS63" s="22" t="n">
        <x:f>IF($A63="","",IF(W63=0,"n.a.",V63/W63))</x:f>
        <x:v>0.043478260869565216</x:v>
      </x:c>
      <x:c r="AT63" s="26" t="str">
        <x:f>IF($A63="",IF(COUNTA(B63:Y63)&gt;0,"Missing ID",""),IF(COUNTIFS($A$9:$A$508,A63)&gt;1,"Duplicate ID",IF(OR(B63="",C63="",D63="",E63="",COUNT(F63:X63)&lt;&gt;19),"Missing / text input",IF(OR(COUNTIFS(Settings!$A$59:$A$64,B63)&lt;&gt;1,COUNTIFS(Settings!$A$29:$A$33,E63)&lt;&gt;1),"Unknown department / grade",IF(OR(F63&lt;=0,F63&gt;1,G63&lt;=0,L63&lt;=0,H63&lt;0,I63&lt;0,J63&lt;0,K63&lt;0,K63&gt;1,MIN(M63:X63)&lt;0,W63=0,V63&gt;W63,M63&gt;W63-V63,P63&gt;8,Q63&gt;4,R63&gt;12,S63&gt;12,T63&gt;1,AB63&lt;0),"Review quantity / rate",IF(OR(N63&gt;Settings!$C$17,AK63&gt;Settings!$C$19),"Review benefit ceiling","OK"))))))</x:f>
        <x:v>OK</x:v>
      </x:c>
    </x:row>
    <x:row r="64" ht="23" customHeight="1">
      <x:c r="A64" s="8" t="str">
        <x:v>BE-0056</x:v>
      </x:c>
      <x:c r="B64" s="8" t="str">
        <x:v>People &amp; Culture</x:v>
      </x:c>
      <x:c r="C64" s="8" t="str">
        <x:v>Antwerp</x:v>
      </x:c>
      <x:c r="D64" s="8" t="str">
        <x:v>Reward specialist</x:v>
      </x:c>
      <x:c r="E64" s="8" t="str">
        <x:v>G3</x:v>
      </x:c>
      <x:c r="F64" s="20" t="n">
        <x:v>1</x:v>
      </x:c>
      <x:c r="G64" s="12" t="n">
        <x:v>4490</x:v>
      </x:c>
      <x:c r="H64" s="21" t="n">
        <x:v>0.08</x:v>
      </x:c>
      <x:c r="I64" s="20" t="n">
        <x:v>1</x:v>
      </x:c>
      <x:c r="J64" s="20" t="n">
        <x:v>1</x:v>
      </x:c>
      <x:c r="K64" s="20" t="n">
        <x:v>1</x:v>
      </x:c>
      <x:c r="L64" s="12" t="n">
        <x:v>4490</x:v>
      </x:c>
      <x:c r="M64" s="8" t="n">
        <x:v>208</x:v>
      </x:c>
      <x:c r="N64" s="12" t="n">
        <x:v>250</x:v>
      </x:c>
      <x:c r="O64" s="8" t="n">
        <x:v>0</x:v>
      </x:c>
      <x:c r="P64" s="8" t="n">
        <x:v>8</x:v>
      </x:c>
      <x:c r="Q64" s="8" t="n">
        <x:v>4</x:v>
      </x:c>
      <x:c r="R64" s="8" t="n">
        <x:v>12</x:v>
      </x:c>
      <x:c r="S64" s="8" t="n">
        <x:v>12</x:v>
      </x:c>
      <x:c r="T64" s="8" t="n">
        <x:v>1</x:v>
      </x:c>
      <x:c r="U64" s="12" t="n">
        <x:v>0</x:v>
      </x:c>
      <x:c r="V64" s="8" t="n">
        <x:v>7</x:v>
      </x:c>
      <x:c r="W64" s="8" t="n">
        <x:v>230</x:v>
      </x:c>
      <x:c r="X64" s="12" t="n">
        <x:v>85700</x:v>
      </x:c>
      <x:c r="Y64" s="21" t="n">
        <x:v>0</x:v>
      </x:c>
      <x:c r="Z64" s="24" t="n">
        <x:f>IF($A64="","",INDEX(Settings!$C$29:$C$33,MATCH(E64,Settings!$A$29:$A$33,0)))</x:f>
        <x:v>4200</x:v>
      </x:c>
      <x:c r="AA64" s="22" t="n">
        <x:f>IF($A64="","",G64/Z64)</x:f>
        <x:v>1.069047619047619</x:v>
      </x:c>
      <x:c r="AB64" s="25" t="n">
        <x:f>IF($A64="","",IF(ISNUMBER(Y64),Y64,Settings!$B$10))</x:f>
        <x:v>0</x:v>
      </x:c>
      <x:c r="AC64" s="23" t="n">
        <x:f>IF($A64="","",G64*(1+AB64))</x:f>
        <x:v>4490</x:v>
      </x:c>
      <x:c r="AD64" s="23" t="n">
        <x:f>IF($A64="","",G64*F64*12)</x:f>
        <x:v>53880</x:v>
      </x:c>
      <x:c r="AE64" s="23" t="n">
        <x:f>IF($A64="","",G64*F64*J64)</x:f>
        <x:v>4490</x:v>
      </x:c>
      <x:c r="AF64" s="24" t="n">
        <x:f>IF($A64="","",L64*F64*K64*Settings!$B$13)</x:f>
        <x:v>4130.8</x:v>
      </x:c>
      <x:c r="AG64" s="23" t="n">
        <x:f>IF($A64="","",AD64*H64*I64)</x:f>
        <x:v>4310.4</x:v>
      </x:c>
      <x:c r="AH64" s="24" t="n">
        <x:f>IF($A64="","",SUM(AD64:AE64,AG64)*SUM(Settings!$B$11:$B$12))</x:f>
        <x:v>15670.1</x:v>
      </x:c>
      <x:c r="AI64" s="24" t="n">
        <x:f>IF($A64="","",M64*Settings!$B$16)</x:f>
        <x:v>1853.28</x:v>
      </x:c>
      <x:c r="AJ64" s="24" t="n">
        <x:f>IF($A64="","",M64*Settings!$B$15)</x:f>
        <x:v>226.72000000000003</x:v>
      </x:c>
      <x:c r="AK64" s="24" t="n">
        <x:f>IF($A64="","",O64*Settings!$B$18)</x:f>
        <x:v>0</x:v>
      </x:c>
      <x:c r="AL64" s="24" t="n">
        <x:f>IF($A64="","",P64*Settings!$B$20+Q64*Settings!$B$21+R64*Settings!$B$22+S64*Settings!$B$23)</x:f>
        <x:v>2424.76</x:v>
      </x:c>
      <x:c r="AM64" s="24" t="n">
        <x:f>IF($A64="","",T64*Settings!$B$24)</x:f>
        <x:v>40</x:v>
      </x:c>
      <x:c r="AN64" s="23" t="n">
        <x:f>IF($A64="","",SUM(AI64,N64,AK64:AM64,U64))</x:f>
        <x:v>4568.04</x:v>
      </x:c>
      <x:c r="AO64" s="23" t="n">
        <x:f>IF($A64="","",SUM(AD64:AI64,N64,AK64:AM64,U64))</x:f>
        <x:v>87049.34</x:v>
      </x:c>
      <x:c r="AP64" s="24" t="n">
        <x:f>IF($A64="","",G64*F64*AB64*((13-Settings!$B$9)*(1+H64*I64)+J64)*(1+SUM(Settings!$B$11:$B$12)))</x:f>
        <x:v>0</x:v>
      </x:c>
      <x:c r="AQ64" s="23" t="n">
        <x:f>IF($A64="","",SUM(AO64:AP64))</x:f>
        <x:v>87049.34</x:v>
      </x:c>
      <x:c r="AR64" s="23" t="n">
        <x:f>IF($A64="","",AQ64-X64)</x:f>
        <x:v>1349.3399999999965</x:v>
      </x:c>
      <x:c r="AS64" s="22" t="n">
        <x:f>IF($A64="","",IF(W64=0,"n.a.",V64/W64))</x:f>
        <x:v>0.030434782608695653</x:v>
      </x:c>
      <x:c r="AT64" s="26" t="str">
        <x:f>IF($A64="",IF(COUNTA(B64:Y64)&gt;0,"Missing ID",""),IF(COUNTIFS($A$9:$A$508,A64)&gt;1,"Duplicate ID",IF(OR(B64="",C64="",D64="",E64="",COUNT(F64:X64)&lt;&gt;19),"Missing / text input",IF(OR(COUNTIFS(Settings!$A$59:$A$64,B64)&lt;&gt;1,COUNTIFS(Settings!$A$29:$A$33,E64)&lt;&gt;1),"Unknown department / grade",IF(OR(F64&lt;=0,F64&gt;1,G64&lt;=0,L64&lt;=0,H64&lt;0,I64&lt;0,J64&lt;0,K64&lt;0,K64&gt;1,MIN(M64:X64)&lt;0,W64=0,V64&gt;W64,M64&gt;W64-V64,P64&gt;8,Q64&gt;4,R64&gt;12,S64&gt;12,T64&gt;1,AB64&lt;0),"Review quantity / rate",IF(OR(N64&gt;Settings!$C$17,AK64&gt;Settings!$C$19),"Review benefit ceiling","OK"))))))</x:f>
        <x:v>OK</x:v>
      </x:c>
    </x:row>
    <x:row r="65" ht="23" customHeight="1">
      <x:c r="A65" s="8" t="str">
        <x:v>BE-0057</x:v>
      </x:c>
      <x:c r="B65" s="8" t="str">
        <x:v>Technology</x:v>
      </x:c>
      <x:c r="C65" s="8" t="str">
        <x:v>Ghent</x:v>
      </x:c>
      <x:c r="D65" s="8" t="str">
        <x:v>Senior engineer</x:v>
      </x:c>
      <x:c r="E65" s="8" t="str">
        <x:v>G3</x:v>
      </x:c>
      <x:c r="F65" s="20" t="n">
        <x:v>0.8</x:v>
      </x:c>
      <x:c r="G65" s="12" t="n">
        <x:v>4340</x:v>
      </x:c>
      <x:c r="H65" s="21" t="n">
        <x:v>0.08</x:v>
      </x:c>
      <x:c r="I65" s="20" t="n">
        <x:v>1.1</x:v>
      </x:c>
      <x:c r="J65" s="20" t="n">
        <x:v>1</x:v>
      </x:c>
      <x:c r="K65" s="20" t="n">
        <x:v>1</x:v>
      </x:c>
      <x:c r="L65" s="12" t="n">
        <x:v>4340</x:v>
      </x:c>
      <x:c r="M65" s="8" t="n">
        <x:v>171</x:v>
      </x:c>
      <x:c r="N65" s="12" t="n">
        <x:v>200</x:v>
      </x:c>
      <x:c r="O65" s="8" t="n">
        <x:v>0</x:v>
      </x:c>
      <x:c r="P65" s="8" t="n">
        <x:v>0</x:v>
      </x:c>
      <x:c r="Q65" s="8" t="n">
        <x:v>0</x:v>
      </x:c>
      <x:c r="R65" s="8" t="n">
        <x:v>0</x:v>
      </x:c>
      <x:c r="S65" s="8" t="n">
        <x:v>0</x:v>
      </x:c>
      <x:c r="T65" s="8" t="n">
        <x:v>1</x:v>
      </x:c>
      <x:c r="U65" s="12" t="n">
        <x:v>0</x:v>
      </x:c>
      <x:c r="V65" s="8" t="n">
        <x:v>8</x:v>
      </x:c>
      <x:c r="W65" s="8" t="n">
        <x:v>184</x:v>
      </x:c>
      <x:c r="X65" s="12" t="n">
        <x:v>68400</x:v>
      </x:c>
      <x:c r="Y65" s="21"/>
      <x:c r="Z65" s="24" t="n">
        <x:f>IF($A65="","",INDEX(Settings!$C$29:$C$33,MATCH(E65,Settings!$A$29:$A$33,0)))</x:f>
        <x:v>4200</x:v>
      </x:c>
      <x:c r="AA65" s="22" t="n">
        <x:f>IF($A65="","",G65/Z65)</x:f>
        <x:v>1.0333333333333334</x:v>
      </x:c>
      <x:c r="AB65" s="25" t="n">
        <x:f>IF($A65="","",IF(ISNUMBER(Y65),Y65,Settings!$B$10))</x:f>
        <x:v>0.03</x:v>
      </x:c>
      <x:c r="AC65" s="23" t="n">
        <x:f>IF($A65="","",G65*(1+AB65))</x:f>
        <x:v>4470.2</x:v>
      </x:c>
      <x:c r="AD65" s="23" t="n">
        <x:f>IF($A65="","",G65*F65*12)</x:f>
        <x:v>41664</x:v>
      </x:c>
      <x:c r="AE65" s="23" t="n">
        <x:f>IF($A65="","",G65*F65*J65)</x:f>
        <x:v>3472</x:v>
      </x:c>
      <x:c r="AF65" s="24" t="n">
        <x:f>IF($A65="","",L65*F65*K65*Settings!$B$13)</x:f>
        <x:v>3194.2400000000002</x:v>
      </x:c>
      <x:c r="AG65" s="23" t="n">
        <x:f>IF($A65="","",AD65*H65*I65)</x:f>
        <x:v>3666.4320000000002</x:v>
      </x:c>
      <x:c r="AH65" s="24" t="n">
        <x:f>IF($A65="","",SUM(AD65:AE65,AG65)*SUM(Settings!$B$11:$B$12))</x:f>
        <x:v>12200.608</x:v>
      </x:c>
      <x:c r="AI65" s="24" t="n">
        <x:f>IF($A65="","",M65*Settings!$B$16)</x:f>
        <x:v>1523.6100000000001</x:v>
      </x:c>
      <x:c r="AJ65" s="24" t="n">
        <x:f>IF($A65="","",M65*Settings!$B$15)</x:f>
        <x:v>186.39000000000001</x:v>
      </x:c>
      <x:c r="AK65" s="24" t="n">
        <x:f>IF($A65="","",O65*Settings!$B$18)</x:f>
        <x:v>0</x:v>
      </x:c>
      <x:c r="AL65" s="24" t="n">
        <x:f>IF($A65="","",P65*Settings!$B$20+Q65*Settings!$B$21+R65*Settings!$B$22+S65*Settings!$B$23)</x:f>
        <x:v>0</x:v>
      </x:c>
      <x:c r="AM65" s="24" t="n">
        <x:f>IF($A65="","",T65*Settings!$B$24)</x:f>
        <x:v>40</x:v>
      </x:c>
      <x:c r="AN65" s="23" t="n">
        <x:f>IF($A65="","",SUM(AI65,N65,AK65:AM65,U65))</x:f>
        <x:v>1763.6100000000001</x:v>
      </x:c>
      <x:c r="AO65" s="23" t="n">
        <x:f>IF($A65="","",SUM(AD65:AI65,N65,AK65:AM65,U65))</x:f>
        <x:v>65960.89</x:v>
      </x:c>
      <x:c r="AP65" s="24" t="n">
        <x:f>IF($A65="","",G65*F65*AB65*((13-Settings!$B$9)*(1+H65*I65)+J65)*(1+SUM(Settings!$B$11:$B$12)))</x:f>
        <x:v>1405.1184</x:v>
      </x:c>
      <x:c r="AQ65" s="23" t="n">
        <x:f>IF($A65="","",SUM(AO65:AP65))</x:f>
        <x:v>67366.0084</x:v>
      </x:c>
      <x:c r="AR65" s="23" t="n">
        <x:f>IF($A65="","",AQ65-X65)</x:f>
        <x:v>-1033.991599999994</x:v>
      </x:c>
      <x:c r="AS65" s="22" t="n">
        <x:f>IF($A65="","",IF(W65=0,"n.a.",V65/W65))</x:f>
        <x:v>0.043478260869565216</x:v>
      </x:c>
      <x:c r="AT65" s="26" t="str">
        <x:f>IF($A65="",IF(COUNTA(B65:Y65)&gt;0,"Missing ID",""),IF(COUNTIFS($A$9:$A$508,A65)&gt;1,"Duplicate ID",IF(OR(B65="",C65="",D65="",E65="",COUNT(F65:X65)&lt;&gt;19),"Missing / text input",IF(OR(COUNTIFS(Settings!$A$59:$A$64,B65)&lt;&gt;1,COUNTIFS(Settings!$A$29:$A$33,E65)&lt;&gt;1),"Unknown department / grade",IF(OR(F65&lt;=0,F65&gt;1,G65&lt;=0,L65&lt;=0,H65&lt;0,I65&lt;0,J65&lt;0,K65&lt;0,K65&gt;1,MIN(M65:X65)&lt;0,W65=0,V65&gt;W65,M65&gt;W65-V65,P65&gt;8,Q65&gt;4,R65&gt;12,S65&gt;12,T65&gt;1,AB65&lt;0),"Review quantity / rate",IF(OR(N65&gt;Settings!$C$17,AK65&gt;Settings!$C$19),"Review benefit ceiling","OK"))))))</x:f>
        <x:v>OK</x:v>
      </x:c>
    </x:row>
    <x:row r="66" ht="23" customHeight="1">
      <x:c r="A66" s="8" t="str">
        <x:v>BE-0058</x:v>
      </x:c>
      <x:c r="B66" s="8" t="str">
        <x:v>Sales</x:v>
      </x:c>
      <x:c r="C66" s="8" t="str">
        <x:v>Brussels</x:v>
      </x:c>
      <x:c r="D66" s="8" t="str">
        <x:v>Sales manager</x:v>
      </x:c>
      <x:c r="E66" s="8" t="str">
        <x:v>G4</x:v>
      </x:c>
      <x:c r="F66" s="20" t="n">
        <x:v>1</x:v>
      </x:c>
      <x:c r="G66" s="12" t="n">
        <x:v>5020</x:v>
      </x:c>
      <x:c r="H66" s="21" t="n">
        <x:v>0.12</x:v>
      </x:c>
      <x:c r="I66" s="20" t="n">
        <x:v>0.8</x:v>
      </x:c>
      <x:c r="J66" s="20" t="n">
        <x:v>1</x:v>
      </x:c>
      <x:c r="K66" s="20" t="n">
        <x:v>1</x:v>
      </x:c>
      <x:c r="L66" s="12" t="n">
        <x:v>5020</x:v>
      </x:c>
      <x:c r="M66" s="8" t="n">
        <x:v>213</x:v>
      </x:c>
      <x:c r="N66" s="12" t="n">
        <x:v>250</x:v>
      </x:c>
      <x:c r="O66" s="8" t="n">
        <x:v>300</x:v>
      </x:c>
      <x:c r="P66" s="8" t="n">
        <x:v>8</x:v>
      </x:c>
      <x:c r="Q66" s="8" t="n">
        <x:v>4</x:v>
      </x:c>
      <x:c r="R66" s="8" t="n">
        <x:v>12</x:v>
      </x:c>
      <x:c r="S66" s="8" t="n">
        <x:v>0</x:v>
      </x:c>
      <x:c r="T66" s="8" t="n">
        <x:v>1</x:v>
      </x:c>
      <x:c r="U66" s="12" t="n">
        <x:v>0</x:v>
      </x:c>
      <x:c r="V66" s="8" t="n">
        <x:v>9</x:v>
      </x:c>
      <x:c r="W66" s="8" t="n">
        <x:v>230</x:v>
      </x:c>
      <x:c r="X66" s="12" t="n">
        <x:v>101500</x:v>
      </x:c>
      <x:c r="Y66" s="21"/>
      <x:c r="Z66" s="24" t="n">
        <x:f>IF($A66="","",INDEX(Settings!$C$29:$C$33,MATCH(E66,Settings!$A$29:$A$33,0)))</x:f>
        <x:v>5400</x:v>
      </x:c>
      <x:c r="AA66" s="22" t="n">
        <x:f>IF($A66="","",G66/Z66)</x:f>
        <x:v>0.9296296296296296</x:v>
      </x:c>
      <x:c r="AB66" s="25" t="n">
        <x:f>IF($A66="","",IF(ISNUMBER(Y66),Y66,Settings!$B$10))</x:f>
        <x:v>0.03</x:v>
      </x:c>
      <x:c r="AC66" s="23" t="n">
        <x:f>IF($A66="","",G66*(1+AB66))</x:f>
        <x:v>5170.6</x:v>
      </x:c>
      <x:c r="AD66" s="23" t="n">
        <x:f>IF($A66="","",G66*F66*12)</x:f>
        <x:v>60240</x:v>
      </x:c>
      <x:c r="AE66" s="23" t="n">
        <x:f>IF($A66="","",G66*F66*J66)</x:f>
        <x:v>5020</x:v>
      </x:c>
      <x:c r="AF66" s="24" t="n">
        <x:f>IF($A66="","",L66*F66*K66*Settings!$B$13)</x:f>
        <x:v>4618.400000000001</x:v>
      </x:c>
      <x:c r="AG66" s="23" t="n">
        <x:f>IF($A66="","",AD66*H66*I66)</x:f>
        <x:v>5783.040000000001</x:v>
      </x:c>
      <x:c r="AH66" s="24" t="n">
        <x:f>IF($A66="","",SUM(AD66:AE66,AG66)*SUM(Settings!$B$11:$B$12))</x:f>
        <x:v>17760.760000000002</x:v>
      </x:c>
      <x:c r="AI66" s="24" t="n">
        <x:f>IF($A66="","",M66*Settings!$B$16)</x:f>
        <x:v>1897.83</x:v>
      </x:c>
      <x:c r="AJ66" s="24" t="n">
        <x:f>IF($A66="","",M66*Settings!$B$15)</x:f>
        <x:v>232.17000000000002</x:v>
      </x:c>
      <x:c r="AK66" s="24" t="n">
        <x:f>IF($A66="","",O66*Settings!$B$18)</x:f>
        <x:v>111</x:v>
      </x:c>
      <x:c r="AL66" s="24" t="n">
        <x:f>IF($A66="","",P66*Settings!$B$20+Q66*Settings!$B$21+R66*Settings!$B$22+S66*Settings!$B$23)</x:f>
        <x:v>2184.76</x:v>
      </x:c>
      <x:c r="AM66" s="24" t="n">
        <x:f>IF($A66="","",T66*Settings!$B$24)</x:f>
        <x:v>40</x:v>
      </x:c>
      <x:c r="AN66" s="23" t="n">
        <x:f>IF($A66="","",SUM(AI66,N66,AK66:AM66,U66))</x:f>
        <x:v>4483.59</x:v>
      </x:c>
      <x:c r="AO66" s="23" t="n">
        <x:f>IF($A66="","",SUM(AD66:AI66,N66,AK66:AM66,U66))</x:f>
        <x:v>97905.79000000001</x:v>
      </x:c>
      <x:c r="AP66" s="24" t="n">
        <x:f>IF($A66="","",G66*F66*AB66*((13-Settings!$B$9)*(1+H66*I66)+J66)*(1+SUM(Settings!$B$11:$B$12)))</x:f>
        <x:v>2045.1480000000001</x:v>
      </x:c>
      <x:c r="AQ66" s="23" t="n">
        <x:f>IF($A66="","",SUM(AO66:AP66))</x:f>
        <x:v>99950.93800000001</x:v>
      </x:c>
      <x:c r="AR66" s="23" t="n">
        <x:f>IF($A66="","",AQ66-X66)</x:f>
        <x:v>-1549.0619999999908</x:v>
      </x:c>
      <x:c r="AS66" s="22" t="n">
        <x:f>IF($A66="","",IF(W66=0,"n.a.",V66/W66))</x:f>
        <x:v>0.0391304347826087</x:v>
      </x:c>
      <x:c r="AT66" s="26" t="str">
        <x:f>IF($A66="",IF(COUNTA(B66:Y66)&gt;0,"Missing ID",""),IF(COUNTIFS($A$9:$A$508,A66)&gt;1,"Duplicate ID",IF(OR(B66="",C66="",D66="",E66="",COUNT(F66:X66)&lt;&gt;19),"Missing / text input",IF(OR(COUNTIFS(Settings!$A$59:$A$64,B66)&lt;&gt;1,COUNTIFS(Settings!$A$29:$A$33,E66)&lt;&gt;1),"Unknown department / grade",IF(OR(F66&lt;=0,F66&gt;1,G66&lt;=0,L66&lt;=0,H66&lt;0,I66&lt;0,J66&lt;0,K66&lt;0,K66&gt;1,MIN(M66:X66)&lt;0,W66=0,V66&gt;W66,M66&gt;W66-V66,P66&gt;8,Q66&gt;4,R66&gt;12,S66&gt;12,T66&gt;1,AB66&lt;0),"Review quantity / rate",IF(OR(N66&gt;Settings!$C$17,AK66&gt;Settings!$C$19),"Review benefit ceiling","OK"))))))</x:f>
        <x:v>OK</x:v>
      </x:c>
    </x:row>
    <x:row r="67" ht="23" customHeight="1">
      <x:c r="A67" s="8" t="str">
        <x:v>BE-0059</x:v>
      </x:c>
      <x:c r="B67" s="8" t="str">
        <x:v>Customer Operations</x:v>
      </x:c>
      <x:c r="C67" s="8" t="str">
        <x:v>Antwerp</x:v>
      </x:c>
      <x:c r="D67" s="8" t="str">
        <x:v>Service manager</x:v>
      </x:c>
      <x:c r="E67" s="8" t="str">
        <x:v>G4</x:v>
      </x:c>
      <x:c r="F67" s="20" t="n">
        <x:v>1</x:v>
      </x:c>
      <x:c r="G67" s="12" t="n">
        <x:v>5390</x:v>
      </x:c>
      <x:c r="H67" s="21" t="n">
        <x:v>0.12</x:v>
      </x:c>
      <x:c r="I67" s="20" t="n">
        <x:v>1</x:v>
      </x:c>
      <x:c r="J67" s="20" t="n">
        <x:v>1</x:v>
      </x:c>
      <x:c r="K67" s="20" t="n">
        <x:v>1</x:v>
      </x:c>
      <x:c r="L67" s="12" t="n">
        <x:v>5390</x:v>
      </x:c>
      <x:c r="M67" s="8" t="n">
        <x:v>212</x:v>
      </x:c>
      <x:c r="N67" s="12" t="n">
        <x:v>250</x:v>
      </x:c>
      <x:c r="O67" s="8" t="n">
        <x:v>0</x:v>
      </x:c>
      <x:c r="P67" s="8" t="n">
        <x:v>8</x:v>
      </x:c>
      <x:c r="Q67" s="8" t="n">
        <x:v>4</x:v>
      </x:c>
      <x:c r="R67" s="8" t="n">
        <x:v>12</x:v>
      </x:c>
      <x:c r="S67" s="8" t="n">
        <x:v>0</x:v>
      </x:c>
      <x:c r="T67" s="8" t="n">
        <x:v>1</x:v>
      </x:c>
      <x:c r="U67" s="12" t="n">
        <x:v>0</x:v>
      </x:c>
      <x:c r="V67" s="8" t="n">
        <x:v>10</x:v>
      </x:c>
      <x:c r="W67" s="8" t="n">
        <x:v>230</x:v>
      </x:c>
      <x:c r="X67" s="12" t="n">
        <x:v>110500</x:v>
      </x:c>
      <x:c r="Y67" s="21"/>
      <x:c r="Z67" s="24" t="n">
        <x:f>IF($A67="","",INDEX(Settings!$C$29:$C$33,MATCH(E67,Settings!$A$29:$A$33,0)))</x:f>
        <x:v>5400</x:v>
      </x:c>
      <x:c r="AA67" s="22" t="n">
        <x:f>IF($A67="","",G67/Z67)</x:f>
        <x:v>0.9981481481481481</x:v>
      </x:c>
      <x:c r="AB67" s="25" t="n">
        <x:f>IF($A67="","",IF(ISNUMBER(Y67),Y67,Settings!$B$10))</x:f>
        <x:v>0.03</x:v>
      </x:c>
      <x:c r="AC67" s="23" t="n">
        <x:f>IF($A67="","",G67*(1+AB67))</x:f>
        <x:v>5551.7</x:v>
      </x:c>
      <x:c r="AD67" s="23" t="n">
        <x:f>IF($A67="","",G67*F67*12)</x:f>
        <x:v>64680</x:v>
      </x:c>
      <x:c r="AE67" s="23" t="n">
        <x:f>IF($A67="","",G67*F67*J67)</x:f>
        <x:v>5390</x:v>
      </x:c>
      <x:c r="AF67" s="24" t="n">
        <x:f>IF($A67="","",L67*F67*K67*Settings!$B$13)</x:f>
        <x:v>4958.8</x:v>
      </x:c>
      <x:c r="AG67" s="23" t="n">
        <x:f>IF($A67="","",AD67*H67*I67)</x:f>
        <x:v>7761.599999999999</x:v>
      </x:c>
      <x:c r="AH67" s="24" t="n">
        <x:f>IF($A67="","",SUM(AD67:AE67,AG67)*SUM(Settings!$B$11:$B$12))</x:f>
        <x:v>19457.9</x:v>
      </x:c>
      <x:c r="AI67" s="24" t="n">
        <x:f>IF($A67="","",M67*Settings!$B$16)</x:f>
        <x:v>1888.92</x:v>
      </x:c>
      <x:c r="AJ67" s="24" t="n">
        <x:f>IF($A67="","",M67*Settings!$B$15)</x:f>
        <x:v>231.08</x:v>
      </x:c>
      <x:c r="AK67" s="24" t="n">
        <x:f>IF($A67="","",O67*Settings!$B$18)</x:f>
        <x:v>0</x:v>
      </x:c>
      <x:c r="AL67" s="24" t="n">
        <x:f>IF($A67="","",P67*Settings!$B$20+Q67*Settings!$B$21+R67*Settings!$B$22+S67*Settings!$B$23)</x:f>
        <x:v>2184.76</x:v>
      </x:c>
      <x:c r="AM67" s="24" t="n">
        <x:f>IF($A67="","",T67*Settings!$B$24)</x:f>
        <x:v>40</x:v>
      </x:c>
      <x:c r="AN67" s="23" t="n">
        <x:f>IF($A67="","",SUM(AI67,N67,AK67:AM67,U67))</x:f>
        <x:v>4363.68</x:v>
      </x:c>
      <x:c r="AO67" s="23" t="n">
        <x:f>IF($A67="","",SUM(AD67:AI67,N67,AK67:AM67,U67))</x:f>
        <x:v>106611.98000000001</x:v>
      </x:c>
      <x:c r="AP67" s="24" t="n">
        <x:f>IF($A67="","",G67*F67*AB67*((13-Settings!$B$9)*(1+H67*I67)+J67)*(1+SUM(Settings!$B$11:$B$12)))</x:f>
        <x:v>2239.545</x:v>
      </x:c>
      <x:c r="AQ67" s="23" t="n">
        <x:f>IF($A67="","",SUM(AO67:AP67))</x:f>
        <x:v>108851.52500000001</x:v>
      </x:c>
      <x:c r="AR67" s="23" t="n">
        <x:f>IF($A67="","",AQ67-X67)</x:f>
        <x:v>-1648.4749999999913</x:v>
      </x:c>
      <x:c r="AS67" s="22" t="n">
        <x:f>IF($A67="","",IF(W67=0,"n.a.",V67/W67))</x:f>
        <x:v>0.043478260869565216</x:v>
      </x:c>
      <x:c r="AT67" s="26" t="str">
        <x:f>IF($A67="",IF(COUNTA(B67:Y67)&gt;0,"Missing ID",""),IF(COUNTIFS($A$9:$A$508,A67)&gt;1,"Duplicate ID",IF(OR(B67="",C67="",D67="",E67="",COUNT(F67:X67)&lt;&gt;19),"Missing / text input",IF(OR(COUNTIFS(Settings!$A$59:$A$64,B67)&lt;&gt;1,COUNTIFS(Settings!$A$29:$A$33,E67)&lt;&gt;1),"Unknown department / grade",IF(OR(F67&lt;=0,F67&gt;1,G67&lt;=0,L67&lt;=0,H67&lt;0,I67&lt;0,J67&lt;0,K67&lt;0,K67&gt;1,MIN(M67:X67)&lt;0,W67=0,V67&gt;W67,M67&gt;W67-V67,P67&gt;8,Q67&gt;4,R67&gt;12,S67&gt;12,T67&gt;1,AB67&lt;0),"Review quantity / rate",IF(OR(N67&gt;Settings!$C$17,AK67&gt;Settings!$C$19),"Review benefit ceiling","OK"))))))</x:f>
        <x:v>OK</x:v>
      </x:c>
    </x:row>
    <x:row r="68" ht="23" customHeight="1">
      <x:c r="A68" s="8" t="str">
        <x:v>BE-0060</x:v>
      </x:c>
      <x:c r="B68" s="8" t="str">
        <x:v>Business Support</x:v>
      </x:c>
      <x:c r="C68" s="8" t="str">
        <x:v>Ghent</x:v>
      </x:c>
      <x:c r="D68" s="8" t="str">
        <x:v>Head of Support</x:v>
      </x:c>
      <x:c r="E68" s="8" t="str">
        <x:v>G5</x:v>
      </x:c>
      <x:c r="F68" s="20" t="n">
        <x:v>1</x:v>
      </x:c>
      <x:c r="G68" s="12" t="n">
        <x:v>8130</x:v>
      </x:c>
      <x:c r="H68" s="21" t="n">
        <x:v>0.18</x:v>
      </x:c>
      <x:c r="I68" s="20" t="n">
        <x:v>1.1</x:v>
      </x:c>
      <x:c r="J68" s="20" t="n">
        <x:v>1</x:v>
      </x:c>
      <x:c r="K68" s="20" t="n">
        <x:v>1</x:v>
      </x:c>
      <x:c r="L68" s="12" t="n">
        <x:v>8130</x:v>
      </x:c>
      <x:c r="M68" s="8" t="n">
        <x:v>211</x:v>
      </x:c>
      <x:c r="N68" s="12" t="n">
        <x:v>250</x:v>
      </x:c>
      <x:c r="O68" s="8" t="n">
        <x:v>0</x:v>
      </x:c>
      <x:c r="P68" s="8" t="n">
        <x:v>8</x:v>
      </x:c>
      <x:c r="Q68" s="8" t="n">
        <x:v>4</x:v>
      </x:c>
      <x:c r="R68" s="8" t="n">
        <x:v>12</x:v>
      </x:c>
      <x:c r="S68" s="8" t="n">
        <x:v>0</x:v>
      </x:c>
      <x:c r="T68" s="8" t="n">
        <x:v>1</x:v>
      </x:c>
      <x:c r="U68" s="12" t="n">
        <x:v>0</x:v>
      </x:c>
      <x:c r="V68" s="8" t="n">
        <x:v>11</x:v>
      </x:c>
      <x:c r="W68" s="8" t="n">
        <x:v>230</x:v>
      </x:c>
      <x:c r="X68" s="12" t="n">
        <x:v>174300</x:v>
      </x:c>
      <x:c r="Y68" s="21"/>
      <x:c r="Z68" s="24" t="n">
        <x:f>IF($A68="","",INDEX(Settings!$C$29:$C$33,MATCH(E68,Settings!$A$29:$A$33,0)))</x:f>
        <x:v>7500</x:v>
      </x:c>
      <x:c r="AA68" s="22" t="n">
        <x:f>IF($A68="","",G68/Z68)</x:f>
        <x:v>1.084</x:v>
      </x:c>
      <x:c r="AB68" s="25" t="n">
        <x:f>IF($A68="","",IF(ISNUMBER(Y68),Y68,Settings!$B$10))</x:f>
        <x:v>0.03</x:v>
      </x:c>
      <x:c r="AC68" s="23" t="n">
        <x:f>IF($A68="","",G68*(1+AB68))</x:f>
        <x:v>8373.9</x:v>
      </x:c>
      <x:c r="AD68" s="23" t="n">
        <x:f>IF($A68="","",G68*F68*12)</x:f>
        <x:v>97560</x:v>
      </x:c>
      <x:c r="AE68" s="23" t="n">
        <x:f>IF($A68="","",G68*F68*J68)</x:f>
        <x:v>8130</x:v>
      </x:c>
      <x:c r="AF68" s="24" t="n">
        <x:f>IF($A68="","",L68*F68*K68*Settings!$B$13)</x:f>
        <x:v>7479.6</x:v>
      </x:c>
      <x:c r="AG68" s="23" t="n">
        <x:f>IF($A68="","",AD68*H68*I68)</x:f>
        <x:v>19316.88</x:v>
      </x:c>
      <x:c r="AH68" s="24" t="n">
        <x:f>IF($A68="","",SUM(AD68:AE68,AG68)*SUM(Settings!$B$11:$B$12))</x:f>
        <x:v>31251.72</x:v>
      </x:c>
      <x:c r="AI68" s="24" t="n">
        <x:f>IF($A68="","",M68*Settings!$B$16)</x:f>
        <x:v>1880.01</x:v>
      </x:c>
      <x:c r="AJ68" s="24" t="n">
        <x:f>IF($A68="","",M68*Settings!$B$15)</x:f>
        <x:v>229.99</x:v>
      </x:c>
      <x:c r="AK68" s="24" t="n">
        <x:f>IF($A68="","",O68*Settings!$B$18)</x:f>
        <x:v>0</x:v>
      </x:c>
      <x:c r="AL68" s="24" t="n">
        <x:f>IF($A68="","",P68*Settings!$B$20+Q68*Settings!$B$21+R68*Settings!$B$22+S68*Settings!$B$23)</x:f>
        <x:v>2184.76</x:v>
      </x:c>
      <x:c r="AM68" s="24" t="n">
        <x:f>IF($A68="","",T68*Settings!$B$24)</x:f>
        <x:v>40</x:v>
      </x:c>
      <x:c r="AN68" s="23" t="n">
        <x:f>IF($A68="","",SUM(AI68,N68,AK68:AM68,U68))</x:f>
        <x:v>4354.77</x:v>
      </x:c>
      <x:c r="AO68" s="23" t="n">
        <x:f>IF($A68="","",SUM(AD68:AI68,N68,AK68:AM68,U68))</x:f>
        <x:v>168092.97000000003</x:v>
      </x:c>
      <x:c r="AP68" s="24" t="n">
        <x:f>IF($A68="","",G68*F68*AB68*((13-Settings!$B$9)*(1+H68*I68)+J68)*(1+SUM(Settings!$B$11:$B$12)))</x:f>
        <x:v>3592.0372499999994</x:v>
      </x:c>
      <x:c r="AQ68" s="23" t="n">
        <x:f>IF($A68="","",SUM(AO68:AP68))</x:f>
        <x:v>171685.00725000002</x:v>
      </x:c>
      <x:c r="AR68" s="23" t="n">
        <x:f>IF($A68="","",AQ68-X68)</x:f>
        <x:v>-2614.992749999976</x:v>
      </x:c>
      <x:c r="AS68" s="22" t="n">
        <x:f>IF($A68="","",IF(W68=0,"n.a.",V68/W68))</x:f>
        <x:v>0.04782608695652174</x:v>
      </x:c>
      <x:c r="AT68" s="26" t="str">
        <x:f>IF($A68="",IF(COUNTA(B68:Y68)&gt;0,"Missing ID",""),IF(COUNTIFS($A$9:$A$508,A68)&gt;1,"Duplicate ID",IF(OR(B68="",C68="",D68="",E68="",COUNT(F68:X68)&lt;&gt;19),"Missing / text input",IF(OR(COUNTIFS(Settings!$A$59:$A$64,B68)&lt;&gt;1,COUNTIFS(Settings!$A$29:$A$33,E68)&lt;&gt;1),"Unknown department / grade",IF(OR(F68&lt;=0,F68&gt;1,G68&lt;=0,L68&lt;=0,H68&lt;0,I68&lt;0,J68&lt;0,K68&lt;0,K68&gt;1,MIN(M68:X68)&lt;0,W68=0,V68&gt;W68,M68&gt;W68-V68,P68&gt;8,Q68&gt;4,R68&gt;12,S68&gt;12,T68&gt;1,AB68&lt;0),"Review quantity / rate",IF(OR(N68&gt;Settings!$C$17,AK68&gt;Settings!$C$19),"Review benefit ceiling","OK"))))))</x:f>
        <x:v>OK</x:v>
      </x:c>
    </x:row>
    <x:row r="69" ht="23" customHeight="1">
      <x:c r="A69" s="8" t="str">
        <x:v>BE-0061</x:v>
      </x:c>
      <x:c r="B69" s="8" t="str">
        <x:v>Finance</x:v>
      </x:c>
      <x:c r="C69" s="8" t="str">
        <x:v>Brussels</x:v>
      </x:c>
      <x:c r="D69" s="8" t="str">
        <x:v>Finance administrator</x:v>
      </x:c>
      <x:c r="E69" s="8" t="str">
        <x:v>G1</x:v>
      </x:c>
      <x:c r="F69" s="20" t="n">
        <x:v>1</x:v>
      </x:c>
      <x:c r="G69" s="12" t="n">
        <x:v>2450</x:v>
      </x:c>
      <x:c r="H69" s="21" t="n">
        <x:v>0.03</x:v>
      </x:c>
      <x:c r="I69" s="20" t="n">
        <x:v>0.8</x:v>
      </x:c>
      <x:c r="J69" s="20" t="n">
        <x:v>1</x:v>
      </x:c>
      <x:c r="K69" s="20" t="n">
        <x:v>1</x:v>
      </x:c>
      <x:c r="L69" s="12" t="n">
        <x:v>2450</x:v>
      </x:c>
      <x:c r="M69" s="8" t="n">
        <x:v>210</x:v>
      </x:c>
      <x:c r="N69" s="12" t="n">
        <x:v>250</x:v>
      </x:c>
      <x:c r="O69" s="8" t="n">
        <x:v>630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  <x:c r="T69" s="8" t="n">
        <x:v>1</x:v>
      </x:c>
      <x:c r="U69" s="12" t="n">
        <x:v>0</x:v>
      </x:c>
      <x:c r="V69" s="8" t="n">
        <x:v>0</x:v>
      </x:c>
      <x:c r="W69" s="8" t="n">
        <x:v>230</x:v>
      </x:c>
      <x:c r="X69" s="12" t="n">
        <x:v>45600</x:v>
      </x:c>
      <x:c r="Y69" s="21"/>
      <x:c r="Z69" s="24" t="n">
        <x:f>IF($A69="","",INDEX(Settings!$C$29:$C$33,MATCH(E69,Settings!$A$29:$A$33,0)))</x:f>
        <x:v>2700</x:v>
      </x:c>
      <x:c r="AA69" s="22" t="n">
        <x:f>IF($A69="","",G69/Z69)</x:f>
        <x:v>0.9074074074074074</x:v>
      </x:c>
      <x:c r="AB69" s="25" t="n">
        <x:f>IF($A69="","",IF(ISNUMBER(Y69),Y69,Settings!$B$10))</x:f>
        <x:v>0.03</x:v>
      </x:c>
      <x:c r="AC69" s="23" t="n">
        <x:f>IF($A69="","",G69*(1+AB69))</x:f>
        <x:v>2523.5</x:v>
      </x:c>
      <x:c r="AD69" s="23" t="n">
        <x:f>IF($A69="","",G69*F69*12)</x:f>
        <x:v>29400</x:v>
      </x:c>
      <x:c r="AE69" s="23" t="n">
        <x:f>IF($A69="","",G69*F69*J69)</x:f>
        <x:v>2450</x:v>
      </x:c>
      <x:c r="AF69" s="24" t="n">
        <x:f>IF($A69="","",L69*F69*K69*Settings!$B$13)</x:f>
        <x:v>2254</x:v>
      </x:c>
      <x:c r="AG69" s="23" t="n">
        <x:f>IF($A69="","",AD69*H69*I69)</x:f>
        <x:v>705.6</x:v>
      </x:c>
      <x:c r="AH69" s="24" t="n">
        <x:f>IF($A69="","",SUM(AD69:AE69,AG69)*SUM(Settings!$B$11:$B$12))</x:f>
        <x:v>8138.9</x:v>
      </x:c>
      <x:c r="AI69" s="24" t="n">
        <x:f>IF($A69="","",M69*Settings!$B$16)</x:f>
        <x:v>1871.1000000000001</x:v>
      </x:c>
      <x:c r="AJ69" s="24" t="n">
        <x:f>IF($A69="","",M69*Settings!$B$15)</x:f>
        <x:v>228.9</x:v>
      </x:c>
      <x:c r="AK69" s="24" t="n">
        <x:f>IF($A69="","",O69*Settings!$B$18)</x:f>
        <x:v>233.1</x:v>
      </x:c>
      <x:c r="AL69" s="24" t="n">
        <x:f>IF($A69="","",P69*Settings!$B$20+Q69*Settings!$B$21+R69*Settings!$B$22+S69*Settings!$B$23)</x:f>
        <x:v>0</x:v>
      </x:c>
      <x:c r="AM69" s="24" t="n">
        <x:f>IF($A69="","",T69*Settings!$B$24)</x:f>
        <x:v>40</x:v>
      </x:c>
      <x:c r="AN69" s="23" t="n">
        <x:f>IF($A69="","",SUM(AI69,N69,AK69:AM69,U69))</x:f>
        <x:v>2394.2000000000003</x:v>
      </x:c>
      <x:c r="AO69" s="23" t="n">
        <x:f>IF($A69="","",SUM(AD69:AI69,N69,AK69:AM69,U69))</x:f>
        <x:v>45342.7</x:v>
      </x:c>
      <x:c r="AP69" s="24" t="n">
        <x:f>IF($A69="","",G69*F69*AB69*((13-Settings!$B$9)*(1+H69*I69)+J69)*(1+SUM(Settings!$B$11:$B$12)))</x:f>
        <x:v>938.5950000000001</x:v>
      </x:c>
      <x:c r="AQ69" s="23" t="n">
        <x:f>IF($A69="","",SUM(AO69:AP69))</x:f>
        <x:v>46281.295</x:v>
      </x:c>
      <x:c r="AR69" s="23" t="n">
        <x:f>IF($A69="","",AQ69-X69)</x:f>
        <x:v>681.2949999999983</x:v>
      </x:c>
      <x:c r="AS69" s="22" t="n">
        <x:f>IF($A69="","",IF(W69=0,"n.a.",V69/W69))</x:f>
        <x:v>0</x:v>
      </x:c>
      <x:c r="AT69" s="26" t="str">
        <x:f>IF($A69="",IF(COUNTA(B69:Y69)&gt;0,"Missing ID",""),IF(COUNTIFS($A$9:$A$508,A69)&gt;1,"Duplicate ID",IF(OR(B69="",C69="",D69="",E69="",COUNT(F69:X69)&lt;&gt;19),"Missing / text input",IF(OR(COUNTIFS(Settings!$A$59:$A$64,B69)&lt;&gt;1,COUNTIFS(Settings!$A$29:$A$33,E69)&lt;&gt;1),"Unknown department / grade",IF(OR(F69&lt;=0,F69&gt;1,G69&lt;=0,L69&lt;=0,H69&lt;0,I69&lt;0,J69&lt;0,K69&lt;0,K69&gt;1,MIN(M69:X69)&lt;0,W69=0,V69&gt;W69,M69&gt;W69-V69,P69&gt;8,Q69&gt;4,R69&gt;12,S69&gt;12,T69&gt;1,AB69&lt;0),"Review quantity / rate",IF(OR(N69&gt;Settings!$C$17,AK69&gt;Settings!$C$19),"Review benefit ceiling","OK"))))))</x:f>
        <x:v>OK</x:v>
      </x:c>
    </x:row>
    <x:row r="70" ht="23" customHeight="1">
      <x:c r="A70" s="8" t="str">
        <x:v>BE-0062</x:v>
      </x:c>
      <x:c r="B70" s="8" t="str">
        <x:v>People &amp; Culture</x:v>
      </x:c>
      <x:c r="C70" s="8" t="str">
        <x:v>Antwerp</x:v>
      </x:c>
      <x:c r="D70" s="8" t="str">
        <x:v>HR administrator</x:v>
      </x:c>
      <x:c r="E70" s="8" t="str">
        <x:v>G1</x:v>
      </x:c>
      <x:c r="F70" s="20" t="n">
        <x:v>1</x:v>
      </x:c>
      <x:c r="G70" s="12" t="n">
        <x:v>2470</x:v>
      </x:c>
      <x:c r="H70" s="21" t="n">
        <x:v>0.03</x:v>
      </x:c>
      <x:c r="I70" s="20" t="n">
        <x:v>1</x:v>
      </x:c>
      <x:c r="J70" s="20" t="n">
        <x:v>1</x:v>
      </x:c>
      <x:c r="K70" s="20" t="n">
        <x:v>1</x:v>
      </x:c>
      <x:c r="L70" s="12" t="n">
        <x:v>2470</x:v>
      </x:c>
      <x:c r="M70" s="8" t="n">
        <x:v>209</x:v>
      </x:c>
      <x:c r="N70" s="12" t="n">
        <x:v>250</x:v>
      </x:c>
      <x:c r="O70" s="8" t="n">
        <x:v>0</x:v>
      </x:c>
      <x:c r="P70" s="8" t="n">
        <x:v>8</x:v>
      </x:c>
      <x:c r="Q70" s="8" t="n">
        <x:v>4</x:v>
      </x:c>
      <x:c r="R70" s="8" t="n">
        <x:v>12</x:v>
      </x:c>
      <x:c r="S70" s="8" t="n">
        <x:v>0</x:v>
      </x:c>
      <x:c r="T70" s="8" t="n">
        <x:v>1</x:v>
      </x:c>
      <x:c r="U70" s="12" t="n">
        <x:v>0</x:v>
      </x:c>
      <x:c r="V70" s="8" t="n">
        <x:v>1</x:v>
      </x:c>
      <x:c r="W70" s="8" t="n">
        <x:v>230</x:v>
      </x:c>
      <x:c r="X70" s="12" t="n">
        <x:v>49500</x:v>
      </x:c>
      <x:c r="Y70" s="21"/>
      <x:c r="Z70" s="24" t="n">
        <x:f>IF($A70="","",INDEX(Settings!$C$29:$C$33,MATCH(E70,Settings!$A$29:$A$33,0)))</x:f>
        <x:v>2700</x:v>
      </x:c>
      <x:c r="AA70" s="22" t="n">
        <x:f>IF($A70="","",G70/Z70)</x:f>
        <x:v>0.9148148148148149</x:v>
      </x:c>
      <x:c r="AB70" s="25" t="n">
        <x:f>IF($A70="","",IF(ISNUMBER(Y70),Y70,Settings!$B$10))</x:f>
        <x:v>0.03</x:v>
      </x:c>
      <x:c r="AC70" s="23" t="n">
        <x:f>IF($A70="","",G70*(1+AB70))</x:f>
        <x:v>2544.1</x:v>
      </x:c>
      <x:c r="AD70" s="23" t="n">
        <x:f>IF($A70="","",G70*F70*12)</x:f>
        <x:v>29640</x:v>
      </x:c>
      <x:c r="AE70" s="23" t="n">
        <x:f>IF($A70="","",G70*F70*J70)</x:f>
        <x:v>2470</x:v>
      </x:c>
      <x:c r="AF70" s="24" t="n">
        <x:f>IF($A70="","",L70*F70*K70*Settings!$B$13)</x:f>
        <x:v>2272.4</x:v>
      </x:c>
      <x:c r="AG70" s="23" t="n">
        <x:f>IF($A70="","",AD70*H70*I70)</x:f>
        <x:v>889.1999999999999</x:v>
      </x:c>
      <x:c r="AH70" s="24" t="n">
        <x:f>IF($A70="","",SUM(AD70:AE70,AG70)*SUM(Settings!$B$11:$B$12))</x:f>
        <x:v>8249.8</x:v>
      </x:c>
      <x:c r="AI70" s="24" t="n">
        <x:f>IF($A70="","",M70*Settings!$B$16)</x:f>
        <x:v>1862.19</x:v>
      </x:c>
      <x:c r="AJ70" s="24" t="n">
        <x:f>IF($A70="","",M70*Settings!$B$15)</x:f>
        <x:v>227.81000000000003</x:v>
      </x:c>
      <x:c r="AK70" s="24" t="n">
        <x:f>IF($A70="","",O70*Settings!$B$18)</x:f>
        <x:v>0</x:v>
      </x:c>
      <x:c r="AL70" s="24" t="n">
        <x:f>IF($A70="","",P70*Settings!$B$20+Q70*Settings!$B$21+R70*Settings!$B$22+S70*Settings!$B$23)</x:f>
        <x:v>2184.76</x:v>
      </x:c>
      <x:c r="AM70" s="24" t="n">
        <x:f>IF($A70="","",T70*Settings!$B$24)</x:f>
        <x:v>40</x:v>
      </x:c>
      <x:c r="AN70" s="23" t="n">
        <x:f>IF($A70="","",SUM(AI70,N70,AK70:AM70,U70))</x:f>
        <x:v>4336.950000000001</x:v>
      </x:c>
      <x:c r="AO70" s="23" t="n">
        <x:f>IF($A70="","",SUM(AD70:AI70,N70,AK70:AM70,U70))</x:f>
        <x:v>47858.35</x:v>
      </x:c>
      <x:c r="AP70" s="24" t="n">
        <x:f>IF($A70="","",G70*F70*AB70*((13-Settings!$B$9)*(1+H70*I70)+J70)*(1+SUM(Settings!$B$11:$B$12)))</x:f>
        <x:v>951.25875</x:v>
      </x:c>
      <x:c r="AQ70" s="23" t="n">
        <x:f>IF($A70="","",SUM(AO70:AP70))</x:f>
        <x:v>48809.60875</x:v>
      </x:c>
      <x:c r="AR70" s="23" t="n">
        <x:f>IF($A70="","",AQ70-X70)</x:f>
        <x:v>-690.3912500000006</x:v>
      </x:c>
      <x:c r="AS70" s="22" t="n">
        <x:f>IF($A70="","",IF(W70=0,"n.a.",V70/W70))</x:f>
        <x:v>0.004347826086956522</x:v>
      </x:c>
      <x:c r="AT70" s="26" t="str">
        <x:f>IF($A70="",IF(COUNTA(B70:Y70)&gt;0,"Missing ID",""),IF(COUNTIFS($A$9:$A$508,A70)&gt;1,"Duplicate ID",IF(OR(B70="",C70="",D70="",E70="",COUNT(F70:X70)&lt;&gt;19),"Missing / text input",IF(OR(COUNTIFS(Settings!$A$59:$A$64,B70)&lt;&gt;1,COUNTIFS(Settings!$A$29:$A$33,E70)&lt;&gt;1),"Unknown department / grade",IF(OR(F70&lt;=0,F70&gt;1,G70&lt;=0,L70&lt;=0,H70&lt;0,I70&lt;0,J70&lt;0,K70&lt;0,K70&gt;1,MIN(M70:X70)&lt;0,W70=0,V70&gt;W70,M70&gt;W70-V70,P70&gt;8,Q70&gt;4,R70&gt;12,S70&gt;12,T70&gt;1,AB70&lt;0),"Review quantity / rate",IF(OR(N70&gt;Settings!$C$17,AK70&gt;Settings!$C$19),"Review benefit ceiling","OK"))))))</x:f>
        <x:v>OK</x:v>
      </x:c>
    </x:row>
    <x:row r="71" ht="23" customHeight="1">
      <x:c r="A71" s="8" t="str">
        <x:v>BE-0063</x:v>
      </x:c>
      <x:c r="B71" s="8" t="str">
        <x:v>Technology</x:v>
      </x:c>
      <x:c r="C71" s="8" t="str">
        <x:v>Ghent</x:v>
      </x:c>
      <x:c r="D71" s="8" t="str">
        <x:v>IT coordinator</x:v>
      </x:c>
      <x:c r="E71" s="8" t="str">
        <x:v>G1</x:v>
      </x:c>
      <x:c r="F71" s="20" t="n">
        <x:v>1</x:v>
      </x:c>
      <x:c r="G71" s="12" t="n">
        <x:v>2690</x:v>
      </x:c>
      <x:c r="H71" s="21" t="n">
        <x:v>0.03</x:v>
      </x:c>
      <x:c r="I71" s="20" t="n">
        <x:v>1.1</x:v>
      </x:c>
      <x:c r="J71" s="20" t="n">
        <x:v>1</x:v>
      </x:c>
      <x:c r="K71" s="20" t="n">
        <x:v>1</x:v>
      </x:c>
      <x:c r="L71" s="12" t="n">
        <x:v>2690</x:v>
      </x:c>
      <x:c r="M71" s="8" t="n">
        <x:v>208</x:v>
      </x:c>
      <x:c r="N71" s="12" t="n">
        <x:v>250</x:v>
      </x:c>
      <x:c r="O71" s="8" t="n">
        <x:v>0</x:v>
      </x:c>
      <x:c r="P71" s="8" t="n">
        <x:v>8</x:v>
      </x:c>
      <x:c r="Q71" s="8" t="n">
        <x:v>4</x:v>
      </x:c>
      <x:c r="R71" s="8" t="n">
        <x:v>12</x:v>
      </x:c>
      <x:c r="S71" s="8" t="n">
        <x:v>0</x:v>
      </x:c>
      <x:c r="T71" s="8" t="n">
        <x:v>1</x:v>
      </x:c>
      <x:c r="U71" s="12" t="n">
        <x:v>0</x:v>
      </x:c>
      <x:c r="V71" s="8" t="n">
        <x:v>2</x:v>
      </x:c>
      <x:c r="W71" s="8" t="n">
        <x:v>230</x:v>
      </x:c>
      <x:c r="X71" s="12" t="n">
        <x:v>53700</x:v>
      </x:c>
      <x:c r="Y71" s="21"/>
      <x:c r="Z71" s="24" t="n">
        <x:f>IF($A71="","",INDEX(Settings!$C$29:$C$33,MATCH(E71,Settings!$A$29:$A$33,0)))</x:f>
        <x:v>2700</x:v>
      </x:c>
      <x:c r="AA71" s="22" t="n">
        <x:f>IF($A71="","",G71/Z71)</x:f>
        <x:v>0.9962962962962963</x:v>
      </x:c>
      <x:c r="AB71" s="25" t="n">
        <x:f>IF($A71="","",IF(ISNUMBER(Y71),Y71,Settings!$B$10))</x:f>
        <x:v>0.03</x:v>
      </x:c>
      <x:c r="AC71" s="23" t="n">
        <x:f>IF($A71="","",G71*(1+AB71))</x:f>
        <x:v>2770.7000000000003</x:v>
      </x:c>
      <x:c r="AD71" s="23" t="n">
        <x:f>IF($A71="","",G71*F71*12)</x:f>
        <x:v>32280</x:v>
      </x:c>
      <x:c r="AE71" s="23" t="n">
        <x:f>IF($A71="","",G71*F71*J71)</x:f>
        <x:v>2690</x:v>
      </x:c>
      <x:c r="AF71" s="24" t="n">
        <x:f>IF($A71="","",L71*F71*K71*Settings!$B$13)</x:f>
        <x:v>2474.8</x:v>
      </x:c>
      <x:c r="AG71" s="23" t="n">
        <x:f>IF($A71="","",AD71*H71*I71)</x:f>
        <x:v>1065.24</x:v>
      </x:c>
      <x:c r="AH71" s="24" t="n">
        <x:f>IF($A71="","",SUM(AD71:AE71,AG71)*SUM(Settings!$B$11:$B$12))</x:f>
        <x:v>9008.81</x:v>
      </x:c>
      <x:c r="AI71" s="24" t="n">
        <x:f>IF($A71="","",M71*Settings!$B$16)</x:f>
        <x:v>1853.28</x:v>
      </x:c>
      <x:c r="AJ71" s="24" t="n">
        <x:f>IF($A71="","",M71*Settings!$B$15)</x:f>
        <x:v>226.72000000000003</x:v>
      </x:c>
      <x:c r="AK71" s="24" t="n">
        <x:f>IF($A71="","",O71*Settings!$B$18)</x:f>
        <x:v>0</x:v>
      </x:c>
      <x:c r="AL71" s="24" t="n">
        <x:f>IF($A71="","",P71*Settings!$B$20+Q71*Settings!$B$21+R71*Settings!$B$22+S71*Settings!$B$23)</x:f>
        <x:v>2184.76</x:v>
      </x:c>
      <x:c r="AM71" s="24" t="n">
        <x:f>IF($A71="","",T71*Settings!$B$24)</x:f>
        <x:v>40</x:v>
      </x:c>
      <x:c r="AN71" s="23" t="n">
        <x:f>IF($A71="","",SUM(AI71,N71,AK71:AM71,U71))</x:f>
        <x:v>4328.04</x:v>
      </x:c>
      <x:c r="AO71" s="23" t="n">
        <x:f>IF($A71="","",SUM(AD71:AI71,N71,AK71:AM71,U71))</x:f>
        <x:v>51846.89</x:v>
      </x:c>
      <x:c r="AP71" s="24" t="n">
        <x:f>IF($A71="","",G71*F71*AB71*((13-Settings!$B$9)*(1+H71*I71)+J71)*(1+SUM(Settings!$B$11:$B$12)))</x:f>
        <x:v>1038.709875</x:v>
      </x:c>
      <x:c r="AQ71" s="23" t="n">
        <x:f>IF($A71="","",SUM(AO71:AP71))</x:f>
        <x:v>52885.599875</x:v>
      </x:c>
      <x:c r="AR71" s="23" t="n">
        <x:f>IF($A71="","",AQ71-X71)</x:f>
        <x:v>-814.4001250000001</x:v>
      </x:c>
      <x:c r="AS71" s="22" t="n">
        <x:f>IF($A71="","",IF(W71=0,"n.a.",V71/W71))</x:f>
        <x:v>0.008695652173913044</x:v>
      </x:c>
      <x:c r="AT71" s="26" t="str">
        <x:f>IF($A71="",IF(COUNTA(B71:Y71)&gt;0,"Missing ID",""),IF(COUNTIFS($A$9:$A$508,A71)&gt;1,"Duplicate ID",IF(OR(B71="",C71="",D71="",E71="",COUNT(F71:X71)&lt;&gt;19),"Missing / text input",IF(OR(COUNTIFS(Settings!$A$59:$A$64,B71)&lt;&gt;1,COUNTIFS(Settings!$A$29:$A$33,E71)&lt;&gt;1),"Unknown department / grade",IF(OR(F71&lt;=0,F71&gt;1,G71&lt;=0,L71&lt;=0,H71&lt;0,I71&lt;0,J71&lt;0,K71&lt;0,K71&gt;1,MIN(M71:X71)&lt;0,W71=0,V71&gt;W71,M71&gt;W71-V71,P71&gt;8,Q71&gt;4,R71&gt;12,S71&gt;12,T71&gt;1,AB71&lt;0),"Review quantity / rate",IF(OR(N71&gt;Settings!$C$17,AK71&gt;Settings!$C$19),"Review benefit ceiling","OK"))))))</x:f>
        <x:v>OK</x:v>
      </x:c>
    </x:row>
    <x:row r="72" ht="23" customHeight="1">
      <x:c r="A72" s="8" t="str">
        <x:v>BE-0064</x:v>
      </x:c>
      <x:c r="B72" s="8" t="str">
        <x:v>Sales</x:v>
      </x:c>
      <x:c r="C72" s="8" t="str">
        <x:v>Brussels</x:v>
      </x:c>
      <x:c r="D72" s="8" t="str">
        <x:v>Sales coordinator</x:v>
      </x:c>
      <x:c r="E72" s="8" t="str">
        <x:v>G1</x:v>
      </x:c>
      <x:c r="F72" s="20" t="n">
        <x:v>0.6</x:v>
      </x:c>
      <x:c r="G72" s="12" t="n">
        <x:v>2510</x:v>
      </x:c>
      <x:c r="H72" s="21" t="n">
        <x:v>0.03</x:v>
      </x:c>
      <x:c r="I72" s="20" t="n">
        <x:v>0.8</x:v>
      </x:c>
      <x:c r="J72" s="20" t="n">
        <x:v>1</x:v>
      </x:c>
      <x:c r="K72" s="20" t="n">
        <x:v>1</x:v>
      </x:c>
      <x:c r="L72" s="12" t="n">
        <x:v>2510</x:v>
      </x:c>
      <x:c r="M72" s="8" t="n">
        <x:v>128</x:v>
      </x:c>
      <x:c r="N72" s="12" t="n">
        <x:v>150</x:v>
      </x:c>
      <x:c r="O72" s="8" t="n">
        <x:v>960</x:v>
      </x:c>
      <x:c r="P72" s="8" t="n">
        <x:v>8</x:v>
      </x:c>
      <x:c r="Q72" s="8" t="n">
        <x:v>4</x:v>
      </x:c>
      <x:c r="R72" s="8" t="n">
        <x:v>12</x:v>
      </x:c>
      <x:c r="S72" s="8" t="n">
        <x:v>0</x:v>
      </x:c>
      <x:c r="T72" s="8" t="n">
        <x:v>1</x:v>
      </x:c>
      <x:c r="U72" s="12" t="n">
        <x:v>0</x:v>
      </x:c>
      <x:c r="V72" s="8" t="n">
        <x:v>3</x:v>
      </x:c>
      <x:c r="W72" s="8" t="n">
        <x:v>138</x:v>
      </x:c>
      <x:c r="X72" s="12" t="n">
        <x:v>31300</x:v>
      </x:c>
      <x:c r="Y72" s="21"/>
      <x:c r="Z72" s="24" t="n">
        <x:f>IF($A72="","",INDEX(Settings!$C$29:$C$33,MATCH(E72,Settings!$A$29:$A$33,0)))</x:f>
        <x:v>2700</x:v>
      </x:c>
      <x:c r="AA72" s="22" t="n">
        <x:f>IF($A72="","",G72/Z72)</x:f>
        <x:v>0.9296296296296296</x:v>
      </x:c>
      <x:c r="AB72" s="25" t="n">
        <x:f>IF($A72="","",IF(ISNUMBER(Y72),Y72,Settings!$B$10))</x:f>
        <x:v>0.03</x:v>
      </x:c>
      <x:c r="AC72" s="23" t="n">
        <x:f>IF($A72="","",G72*(1+AB72))</x:f>
        <x:v>2585.3</x:v>
      </x:c>
      <x:c r="AD72" s="23" t="n">
        <x:f>IF($A72="","",G72*F72*12)</x:f>
        <x:v>18072</x:v>
      </x:c>
      <x:c r="AE72" s="23" t="n">
        <x:f>IF($A72="","",G72*F72*J72)</x:f>
        <x:v>1506</x:v>
      </x:c>
      <x:c r="AF72" s="24" t="n">
        <x:f>IF($A72="","",L72*F72*K72*Settings!$B$13)</x:f>
        <x:v>1385.52</x:v>
      </x:c>
      <x:c r="AG72" s="23" t="n">
        <x:f>IF($A72="","",AD72*H72*I72)</x:f>
        <x:v>433.728</x:v>
      </x:c>
      <x:c r="AH72" s="24" t="n">
        <x:f>IF($A72="","",SUM(AD72:AE72,AG72)*SUM(Settings!$B$11:$B$12))</x:f>
        <x:v>5002.932</x:v>
      </x:c>
      <x:c r="AI72" s="24" t="n">
        <x:f>IF($A72="","",M72*Settings!$B$16)</x:f>
        <x:v>1140.48</x:v>
      </x:c>
      <x:c r="AJ72" s="24" t="n">
        <x:f>IF($A72="","",M72*Settings!$B$15)</x:f>
        <x:v>139.52</x:v>
      </x:c>
      <x:c r="AK72" s="24" t="n">
        <x:f>IF($A72="","",O72*Settings!$B$18)</x:f>
        <x:v>355.2</x:v>
      </x:c>
      <x:c r="AL72" s="24" t="n">
        <x:f>IF($A72="","",P72*Settings!$B$20+Q72*Settings!$B$21+R72*Settings!$B$22+S72*Settings!$B$23)</x:f>
        <x:v>2184.76</x:v>
      </x:c>
      <x:c r="AM72" s="24" t="n">
        <x:f>IF($A72="","",T72*Settings!$B$24)</x:f>
        <x:v>40</x:v>
      </x:c>
      <x:c r="AN72" s="23" t="n">
        <x:f>IF($A72="","",SUM(AI72,N72,AK72:AM72,U72))</x:f>
        <x:v>3870.44</x:v>
      </x:c>
      <x:c r="AO72" s="23" t="n">
        <x:f>IF($A72="","",SUM(AD72:AI72,N72,AK72:AM72,U72))</x:f>
        <x:v>30270.62</x:v>
      </x:c>
      <x:c r="AP72" s="24" t="n">
        <x:f>IF($A72="","",G72*F72*AB72*((13-Settings!$B$9)*(1+H72*I72)+J72)*(1+SUM(Settings!$B$11:$B$12)))</x:f>
        <x:v>576.9486</x:v>
      </x:c>
      <x:c r="AQ72" s="23" t="n">
        <x:f>IF($A72="","",SUM(AO72:AP72))</x:f>
        <x:v>30847.5686</x:v>
      </x:c>
      <x:c r="AR72" s="23" t="n">
        <x:f>IF($A72="","",AQ72-X72)</x:f>
        <x:v>-452.4314000000013</x:v>
      </x:c>
      <x:c r="AS72" s="22" t="n">
        <x:f>IF($A72="","",IF(W72=0,"n.a.",V72/W72))</x:f>
        <x:v>0.021739130434782608</x:v>
      </x:c>
      <x:c r="AT72" s="26" t="str">
        <x:f>IF($A72="",IF(COUNTA(B72:Y72)&gt;0,"Missing ID",""),IF(COUNTIFS($A$9:$A$508,A72)&gt;1,"Duplicate ID",IF(OR(B72="",C72="",D72="",E72="",COUNT(F72:X72)&lt;&gt;19),"Missing / text input",IF(OR(COUNTIFS(Settings!$A$59:$A$64,B72)&lt;&gt;1,COUNTIFS(Settings!$A$29:$A$33,E72)&lt;&gt;1),"Unknown department / grade",IF(OR(F72&lt;=0,F72&gt;1,G72&lt;=0,L72&lt;=0,H72&lt;0,I72&lt;0,J72&lt;0,K72&lt;0,K72&gt;1,MIN(M72:X72)&lt;0,W72=0,V72&gt;W72,M72&gt;W72-V72,P72&gt;8,Q72&gt;4,R72&gt;12,S72&gt;12,T72&gt;1,AB72&lt;0),"Review quantity / rate",IF(OR(N72&gt;Settings!$C$17,AK72&gt;Settings!$C$19),"Review benefit ceiling","OK"))))))</x:f>
        <x:v>OK</x:v>
      </x:c>
    </x:row>
    <x:row r="73" ht="23" customHeight="1">
      <x:c r="A73" s="8" t="str">
        <x:v>BE-0065</x:v>
      </x:c>
      <x:c r="B73" s="8" t="str">
        <x:v>Customer Operations</x:v>
      </x:c>
      <x:c r="C73" s="8" t="str">
        <x:v>Antwerp</x:v>
      </x:c>
      <x:c r="D73" s="8" t="str">
        <x:v>Service administrator</x:v>
      </x:c>
      <x:c r="E73" s="8" t="str">
        <x:v>G1</x:v>
      </x:c>
      <x:c r="F73" s="20" t="n">
        <x:v>1</x:v>
      </x:c>
      <x:c r="G73" s="12" t="n">
        <x:v>2880</x:v>
      </x:c>
      <x:c r="H73" s="21" t="n">
        <x:v>0.03</x:v>
      </x:c>
      <x:c r="I73" s="20" t="n">
        <x:v>1</x:v>
      </x:c>
      <x:c r="J73" s="20" t="n">
        <x:v>1</x:v>
      </x:c>
      <x:c r="K73" s="20" t="n">
        <x:v>1</x:v>
      </x:c>
      <x:c r="L73" s="12" t="n">
        <x:v>2880</x:v>
      </x:c>
      <x:c r="M73" s="8" t="n">
        <x:v>213</x:v>
      </x:c>
      <x:c r="N73" s="12" t="n">
        <x:v>250</x:v>
      </x:c>
      <x:c r="O73" s="8" t="n">
        <x:v>0</x:v>
      </x:c>
      <x:c r="P73" s="8" t="n">
        <x:v>0</x:v>
      </x:c>
      <x:c r="Q73" s="8" t="n">
        <x:v>0</x:v>
      </x:c>
      <x:c r="R73" s="8" t="n">
        <x:v>0</x:v>
      </x:c>
      <x:c r="S73" s="8" t="n">
        <x:v>0</x:v>
      </x:c>
      <x:c r="T73" s="8" t="n">
        <x:v>1</x:v>
      </x:c>
      <x:c r="U73" s="12" t="n">
        <x:v>0</x:v>
      </x:c>
      <x:c r="V73" s="8" t="n">
        <x:v>4</x:v>
      </x:c>
      <x:c r="W73" s="8" t="n">
        <x:v>230</x:v>
      </x:c>
      <x:c r="X73" s="12" t="n">
        <x:v>54900</x:v>
      </x:c>
      <x:c r="Y73" s="21"/>
      <x:c r="Z73" s="24" t="n">
        <x:f>IF($A73="","",INDEX(Settings!$C$29:$C$33,MATCH(E73,Settings!$A$29:$A$33,0)))</x:f>
        <x:v>2700</x:v>
      </x:c>
      <x:c r="AA73" s="22" t="n">
        <x:f>IF($A73="","",G73/Z73)</x:f>
        <x:v>1.0666666666666667</x:v>
      </x:c>
      <x:c r="AB73" s="25" t="n">
        <x:f>IF($A73="","",IF(ISNUMBER(Y73),Y73,Settings!$B$10))</x:f>
        <x:v>0.03</x:v>
      </x:c>
      <x:c r="AC73" s="23" t="n">
        <x:f>IF($A73="","",G73*(1+AB73))</x:f>
        <x:v>2966.4</x:v>
      </x:c>
      <x:c r="AD73" s="23" t="n">
        <x:f>IF($A73="","",G73*F73*12)</x:f>
        <x:v>34560</x:v>
      </x:c>
      <x:c r="AE73" s="23" t="n">
        <x:f>IF($A73="","",G73*F73*J73)</x:f>
        <x:v>2880</x:v>
      </x:c>
      <x:c r="AF73" s="24" t="n">
        <x:f>IF($A73="","",L73*F73*K73*Settings!$B$13)</x:f>
        <x:v>2649.6</x:v>
      </x:c>
      <x:c r="AG73" s="23" t="n">
        <x:f>IF($A73="","",AD73*H73*I73)</x:f>
        <x:v>1036.8</x:v>
      </x:c>
      <x:c r="AH73" s="24" t="n">
        <x:f>IF($A73="","",SUM(AD73:AE73,AG73)*SUM(Settings!$B$11:$B$12))</x:f>
        <x:v>9619.2</x:v>
      </x:c>
      <x:c r="AI73" s="24" t="n">
        <x:f>IF($A73="","",M73*Settings!$B$16)</x:f>
        <x:v>1897.83</x:v>
      </x:c>
      <x:c r="AJ73" s="24" t="n">
        <x:f>IF($A73="","",M73*Settings!$B$15)</x:f>
        <x:v>232.17000000000002</x:v>
      </x:c>
      <x:c r="AK73" s="24" t="n">
        <x:f>IF($A73="","",O73*Settings!$B$18)</x:f>
        <x:v>0</x:v>
      </x:c>
      <x:c r="AL73" s="24" t="n">
        <x:f>IF($A73="","",P73*Settings!$B$20+Q73*Settings!$B$21+R73*Settings!$B$22+S73*Settings!$B$23)</x:f>
        <x:v>0</x:v>
      </x:c>
      <x:c r="AM73" s="24" t="n">
        <x:f>IF($A73="","",T73*Settings!$B$24)</x:f>
        <x:v>40</x:v>
      </x:c>
      <x:c r="AN73" s="23" t="n">
        <x:f>IF($A73="","",SUM(AI73,N73,AK73:AM73,U73))</x:f>
        <x:v>2187.83</x:v>
      </x:c>
      <x:c r="AO73" s="23" t="n">
        <x:f>IF($A73="","",SUM(AD73:AI73,N73,AK73:AM73,U73))</x:f>
        <x:v>52933.43000000001</x:v>
      </x:c>
      <x:c r="AP73" s="24" t="n">
        <x:f>IF($A73="","",G73*F73*AB73*((13-Settings!$B$9)*(1+H73*I73)+J73)*(1+SUM(Settings!$B$11:$B$12)))</x:f>
        <x:v>1109.1599999999999</x:v>
      </x:c>
      <x:c r="AQ73" s="23" t="n">
        <x:f>IF($A73="","",SUM(AO73:AP73))</x:f>
        <x:v>54042.59000000001</x:v>
      </x:c>
      <x:c r="AR73" s="23" t="n">
        <x:f>IF($A73="","",AQ73-X73)</x:f>
        <x:v>-857.4099999999889</x:v>
      </x:c>
      <x:c r="AS73" s="22" t="n">
        <x:f>IF($A73="","",IF(W73=0,"n.a.",V73/W73))</x:f>
        <x:v>0.017391304347826087</x:v>
      </x:c>
      <x:c r="AT73" s="26" t="str">
        <x:f>IF($A73="",IF(COUNTA(B73:Y73)&gt;0,"Missing ID",""),IF(COUNTIFS($A$9:$A$508,A73)&gt;1,"Duplicate ID",IF(OR(B73="",C73="",D73="",E73="",COUNT(F73:X73)&lt;&gt;19),"Missing / text input",IF(OR(COUNTIFS(Settings!$A$59:$A$64,B73)&lt;&gt;1,COUNTIFS(Settings!$A$29:$A$33,E73)&lt;&gt;1),"Unknown department / grade",IF(OR(F73&lt;=0,F73&gt;1,G73&lt;=0,L73&lt;=0,H73&lt;0,I73&lt;0,J73&lt;0,K73&lt;0,K73&gt;1,MIN(M73:X73)&lt;0,W73=0,V73&gt;W73,M73&gt;W73-V73,P73&gt;8,Q73&gt;4,R73&gt;12,S73&gt;12,T73&gt;1,AB73&lt;0),"Review quantity / rate",IF(OR(N73&gt;Settings!$C$17,AK73&gt;Settings!$C$19),"Review benefit ceiling","OK"))))))</x:f>
        <x:v>OK</x:v>
      </x:c>
    </x:row>
    <x:row r="74" ht="23" customHeight="1">
      <x:c r="A74" s="8" t="str">
        <x:v>BE-0066</x:v>
      </x:c>
      <x:c r="B74" s="8" t="str">
        <x:v>Business Support</x:v>
      </x:c>
      <x:c r="C74" s="8" t="str">
        <x:v>Ghent</x:v>
      </x:c>
      <x:c r="D74" s="8" t="str">
        <x:v>Business specialist</x:v>
      </x:c>
      <x:c r="E74" s="8" t="str">
        <x:v>G2</x:v>
      </x:c>
      <x:c r="F74" s="20" t="n">
        <x:v>1</x:v>
      </x:c>
      <x:c r="G74" s="12" t="n">
        <x:v>3470</x:v>
      </x:c>
      <x:c r="H74" s="21" t="n">
        <x:v>0.05</x:v>
      </x:c>
      <x:c r="I74" s="20" t="n">
        <x:v>1.1</x:v>
      </x:c>
      <x:c r="J74" s="20" t="n">
        <x:v>1</x:v>
      </x:c>
      <x:c r="K74" s="20" t="n">
        <x:v>1</x:v>
      </x:c>
      <x:c r="L74" s="12" t="n">
        <x:v>3470</x:v>
      </x:c>
      <x:c r="M74" s="8" t="n">
        <x:v>212</x:v>
      </x:c>
      <x:c r="N74" s="12" t="n">
        <x:v>250</x:v>
      </x:c>
      <x:c r="O74" s="8" t="n">
        <x:v>0</x:v>
      </x:c>
      <x:c r="P74" s="8" t="n">
        <x:v>8</x:v>
      </x:c>
      <x:c r="Q74" s="8" t="n">
        <x:v>4</x:v>
      </x:c>
      <x:c r="R74" s="8" t="n">
        <x:v>12</x:v>
      </x:c>
      <x:c r="S74" s="8" t="n">
        <x:v>12</x:v>
      </x:c>
      <x:c r="T74" s="8" t="n">
        <x:v>1</x:v>
      </x:c>
      <x:c r="U74" s="12" t="n">
        <x:v>0</x:v>
      </x:c>
      <x:c r="V74" s="8" t="n">
        <x:v>5</x:v>
      </x:c>
      <x:c r="W74" s="8" t="n">
        <x:v>230</x:v>
      </x:c>
      <x:c r="X74" s="12" t="n">
        <x:v>67400</x:v>
      </x:c>
      <x:c r="Y74" s="21"/>
      <x:c r="Z74" s="24" t="n">
        <x:f>IF($A74="","",INDEX(Settings!$C$29:$C$33,MATCH(E74,Settings!$A$29:$A$33,0)))</x:f>
        <x:v>3300</x:v>
      </x:c>
      <x:c r="AA74" s="22" t="n">
        <x:f>IF($A74="","",G74/Z74)</x:f>
        <x:v>1.0515151515151515</x:v>
      </x:c>
      <x:c r="AB74" s="25" t="n">
        <x:f>IF($A74="","",IF(ISNUMBER(Y74),Y74,Settings!$B$10))</x:f>
        <x:v>0.03</x:v>
      </x:c>
      <x:c r="AC74" s="23" t="n">
        <x:f>IF($A74="","",G74*(1+AB74))</x:f>
        <x:v>3574.1</x:v>
      </x:c>
      <x:c r="AD74" s="23" t="n">
        <x:f>IF($A74="","",G74*F74*12)</x:f>
        <x:v>41640</x:v>
      </x:c>
      <x:c r="AE74" s="23" t="n">
        <x:f>IF($A74="","",G74*F74*J74)</x:f>
        <x:v>3470</x:v>
      </x:c>
      <x:c r="AF74" s="24" t="n">
        <x:f>IF($A74="","",L74*F74*K74*Settings!$B$13)</x:f>
        <x:v>3192.4</x:v>
      </x:c>
      <x:c r="AG74" s="23" t="n">
        <x:f>IF($A74="","",AD74*H74*I74)</x:f>
        <x:v>2290.2000000000003</x:v>
      </x:c>
      <x:c r="AH74" s="24" t="n">
        <x:f>IF($A74="","",SUM(AD74:AE74,AG74)*SUM(Settings!$B$11:$B$12))</x:f>
        <x:v>11850.05</x:v>
      </x:c>
      <x:c r="AI74" s="24" t="n">
        <x:f>IF($A74="","",M74*Settings!$B$16)</x:f>
        <x:v>1888.92</x:v>
      </x:c>
      <x:c r="AJ74" s="24" t="n">
        <x:f>IF($A74="","",M74*Settings!$B$15)</x:f>
        <x:v>231.08</x:v>
      </x:c>
      <x:c r="AK74" s="24" t="n">
        <x:f>IF($A74="","",O74*Settings!$B$18)</x:f>
        <x:v>0</x:v>
      </x:c>
      <x:c r="AL74" s="24" t="n">
        <x:f>IF($A74="","",P74*Settings!$B$20+Q74*Settings!$B$21+R74*Settings!$B$22+S74*Settings!$B$23)</x:f>
        <x:v>2424.76</x:v>
      </x:c>
      <x:c r="AM74" s="24" t="n">
        <x:f>IF($A74="","",T74*Settings!$B$24)</x:f>
        <x:v>40</x:v>
      </x:c>
      <x:c r="AN74" s="23" t="n">
        <x:f>IF($A74="","",SUM(AI74,N74,AK74:AM74,U74))</x:f>
        <x:v>4603.68</x:v>
      </x:c>
      <x:c r="AO74" s="23" t="n">
        <x:f>IF($A74="","",SUM(AD74:AI74,N74,AK74:AM74,U74))</x:f>
        <x:v>67046.32999999999</x:v>
      </x:c>
      <x:c r="AP74" s="24" t="n">
        <x:f>IF($A74="","",G74*F74*AB74*((13-Settings!$B$9)*(1+H74*I74)+J74)*(1+SUM(Settings!$B$11:$B$12)))</x:f>
        <x:v>1365.6618749999998</x:v>
      </x:c>
      <x:c r="AQ74" s="23" t="n">
        <x:f>IF($A74="","",SUM(AO74:AP74))</x:f>
        <x:v>68411.99187499999</x:v>
      </x:c>
      <x:c r="AR74" s="23" t="n">
        <x:f>IF($A74="","",AQ74-X74)</x:f>
        <x:v>1011.9918749999924</x:v>
      </x:c>
      <x:c r="AS74" s="22" t="n">
        <x:f>IF($A74="","",IF(W74=0,"n.a.",V74/W74))</x:f>
        <x:v>0.021739130434782608</x:v>
      </x:c>
      <x:c r="AT74" s="26" t="str">
        <x:f>IF($A74="",IF(COUNTA(B74:Y74)&gt;0,"Missing ID",""),IF(COUNTIFS($A$9:$A$508,A74)&gt;1,"Duplicate ID",IF(OR(B74="",C74="",D74="",E74="",COUNT(F74:X74)&lt;&gt;19),"Missing / text input",IF(OR(COUNTIFS(Settings!$A$59:$A$64,B74)&lt;&gt;1,COUNTIFS(Settings!$A$29:$A$33,E74)&lt;&gt;1),"Unknown department / grade",IF(OR(F74&lt;=0,F74&gt;1,G74&lt;=0,L74&lt;=0,H74&lt;0,I74&lt;0,J74&lt;0,K74&lt;0,K74&gt;1,MIN(M74:X74)&lt;0,W74=0,V74&gt;W74,M74&gt;W74-V74,P74&gt;8,Q74&gt;4,R74&gt;12,S74&gt;12,T74&gt;1,AB74&lt;0),"Review quantity / rate",IF(OR(N74&gt;Settings!$C$17,AK74&gt;Settings!$C$19),"Review benefit ceiling","OK"))))))</x:f>
        <x:v>OK</x:v>
      </x:c>
    </x:row>
    <x:row r="75" ht="23" customHeight="1">
      <x:c r="A75" s="8" t="str">
        <x:v>BE-0067</x:v>
      </x:c>
      <x:c r="B75" s="8" t="str">
        <x:v>Finance</x:v>
      </x:c>
      <x:c r="C75" s="8" t="str">
        <x:v>Brussels</x:v>
      </x:c>
      <x:c r="D75" s="8" t="str">
        <x:v>Accountant</x:v>
      </x:c>
      <x:c r="E75" s="8" t="str">
        <x:v>G2</x:v>
      </x:c>
      <x:c r="F75" s="20" t="n">
        <x:v>1</x:v>
      </x:c>
      <x:c r="G75" s="12" t="n">
        <x:v>3120</x:v>
      </x:c>
      <x:c r="H75" s="21" t="n">
        <x:v>0.05</x:v>
      </x:c>
      <x:c r="I75" s="20" t="n">
        <x:v>0.8</x:v>
      </x:c>
      <x:c r="J75" s="20" t="n">
        <x:v>1</x:v>
      </x:c>
      <x:c r="K75" s="20" t="n">
        <x:v>1</x:v>
      </x:c>
      <x:c r="L75" s="12" t="n">
        <x:v>3120</x:v>
      </x:c>
      <x:c r="M75" s="8" t="n">
        <x:v>211</x:v>
      </x:c>
      <x:c r="N75" s="12" t="n">
        <x:v>250</x:v>
      </x:c>
      <x:c r="O75" s="8" t="n">
        <x:v>1290</x:v>
      </x:c>
      <x:c r="P75" s="8" t="n">
        <x:v>8</x:v>
      </x:c>
      <x:c r="Q75" s="8" t="n">
        <x:v>4</x:v>
      </x:c>
      <x:c r="R75" s="8" t="n">
        <x:v>12</x:v>
      </x:c>
      <x:c r="S75" s="8" t="n">
        <x:v>0</x:v>
      </x:c>
      <x:c r="T75" s="8" t="n">
        <x:v>1</x:v>
      </x:c>
      <x:c r="U75" s="12" t="n">
        <x:v>0</x:v>
      </x:c>
      <x:c r="V75" s="8" t="n">
        <x:v>6</x:v>
      </x:c>
      <x:c r="W75" s="8" t="n">
        <x:v>230</x:v>
      </x:c>
      <x:c r="X75" s="12" t="n">
        <x:v>61200</x:v>
      </x:c>
      <x:c r="Y75" s="21" t="n">
        <x:v>0</x:v>
      </x:c>
      <x:c r="Z75" s="24" t="n">
        <x:f>IF($A75="","",INDEX(Settings!$C$29:$C$33,MATCH(E75,Settings!$A$29:$A$33,0)))</x:f>
        <x:v>3300</x:v>
      </x:c>
      <x:c r="AA75" s="22" t="n">
        <x:f>IF($A75="","",G75/Z75)</x:f>
        <x:v>0.9454545454545454</x:v>
      </x:c>
      <x:c r="AB75" s="25" t="n">
        <x:f>IF($A75="","",IF(ISNUMBER(Y75),Y75,Settings!$B$10))</x:f>
        <x:v>0</x:v>
      </x:c>
      <x:c r="AC75" s="23" t="n">
        <x:f>IF($A75="","",G75*(1+AB75))</x:f>
        <x:v>3120</x:v>
      </x:c>
      <x:c r="AD75" s="23" t="n">
        <x:f>IF($A75="","",G75*F75*12)</x:f>
        <x:v>37440</x:v>
      </x:c>
      <x:c r="AE75" s="23" t="n">
        <x:f>IF($A75="","",G75*F75*J75)</x:f>
        <x:v>3120</x:v>
      </x:c>
      <x:c r="AF75" s="24" t="n">
        <x:f>IF($A75="","",L75*F75*K75*Settings!$B$13)</x:f>
        <x:v>2870.4</x:v>
      </x:c>
      <x:c r="AG75" s="23" t="n">
        <x:f>IF($A75="","",AD75*H75*I75)</x:f>
        <x:v>1497.6000000000001</x:v>
      </x:c>
      <x:c r="AH75" s="24" t="n">
        <x:f>IF($A75="","",SUM(AD75:AE75,AG75)*SUM(Settings!$B$11:$B$12))</x:f>
        <x:v>10514.4</x:v>
      </x:c>
      <x:c r="AI75" s="24" t="n">
        <x:f>IF($A75="","",M75*Settings!$B$16)</x:f>
        <x:v>1880.01</x:v>
      </x:c>
      <x:c r="AJ75" s="24" t="n">
        <x:f>IF($A75="","",M75*Settings!$B$15)</x:f>
        <x:v>229.99</x:v>
      </x:c>
      <x:c r="AK75" s="24" t="n">
        <x:f>IF($A75="","",O75*Settings!$B$18)</x:f>
        <x:v>477.3</x:v>
      </x:c>
      <x:c r="AL75" s="24" t="n">
        <x:f>IF($A75="","",P75*Settings!$B$20+Q75*Settings!$B$21+R75*Settings!$B$22+S75*Settings!$B$23)</x:f>
        <x:v>2184.76</x:v>
      </x:c>
      <x:c r="AM75" s="24" t="n">
        <x:f>IF($A75="","",T75*Settings!$B$24)</x:f>
        <x:v>40</x:v>
      </x:c>
      <x:c r="AN75" s="23" t="n">
        <x:f>IF($A75="","",SUM(AI75,N75,AK75:AM75,U75))</x:f>
        <x:v>4832.070000000001</x:v>
      </x:c>
      <x:c r="AO75" s="23" t="n">
        <x:f>IF($A75="","",SUM(AD75:AI75,N75,AK75:AM75,U75))</x:f>
        <x:v>60274.47</x:v>
      </x:c>
      <x:c r="AP75" s="24" t="n">
        <x:f>IF($A75="","",G75*F75*AB75*((13-Settings!$B$9)*(1+H75*I75)+J75)*(1+SUM(Settings!$B$11:$B$12)))</x:f>
        <x:v>0</x:v>
      </x:c>
      <x:c r="AQ75" s="23" t="n">
        <x:f>IF($A75="","",SUM(AO75:AP75))</x:f>
        <x:v>60274.47</x:v>
      </x:c>
      <x:c r="AR75" s="23" t="n">
        <x:f>IF($A75="","",AQ75-X75)</x:f>
        <x:v>-925.5299999999988</x:v>
      </x:c>
      <x:c r="AS75" s="22" t="n">
        <x:f>IF($A75="","",IF(W75=0,"n.a.",V75/W75))</x:f>
        <x:v>0.02608695652173913</x:v>
      </x:c>
      <x:c r="AT75" s="26" t="str">
        <x:f>IF($A75="",IF(COUNTA(B75:Y75)&gt;0,"Missing ID",""),IF(COUNTIFS($A$9:$A$508,A75)&gt;1,"Duplicate ID",IF(OR(B75="",C75="",D75="",E75="",COUNT(F75:X75)&lt;&gt;19),"Missing / text input",IF(OR(COUNTIFS(Settings!$A$59:$A$64,B75)&lt;&gt;1,COUNTIFS(Settings!$A$29:$A$33,E75)&lt;&gt;1),"Unknown department / grade",IF(OR(F75&lt;=0,F75&gt;1,G75&lt;=0,L75&lt;=0,H75&lt;0,I75&lt;0,J75&lt;0,K75&lt;0,K75&gt;1,MIN(M75:X75)&lt;0,W75=0,V75&gt;W75,M75&gt;W75-V75,P75&gt;8,Q75&gt;4,R75&gt;12,S75&gt;12,T75&gt;1,AB75&lt;0),"Review quantity / rate",IF(OR(N75&gt;Settings!$C$17,AK75&gt;Settings!$C$19),"Review benefit ceiling","OK"))))))</x:f>
        <x:v>OK</x:v>
      </x:c>
    </x:row>
    <x:row r="76" ht="23" customHeight="1">
      <x:c r="A76" s="8" t="str">
        <x:v>BE-0068</x:v>
      </x:c>
      <x:c r="B76" s="8" t="str">
        <x:v>People &amp; Culture</x:v>
      </x:c>
      <x:c r="C76" s="8" t="str">
        <x:v>Antwerp</x:v>
      </x:c>
      <x:c r="D76" s="8" t="str">
        <x:v>HR specialist</x:v>
      </x:c>
      <x:c r="E76" s="8" t="str">
        <x:v>G2</x:v>
      </x:c>
      <x:c r="F76" s="20" t="n">
        <x:v>1</x:v>
      </x:c>
      <x:c r="G76" s="12" t="n">
        <x:v>3410</x:v>
      </x:c>
      <x:c r="H76" s="21" t="n">
        <x:v>0.05</x:v>
      </x:c>
      <x:c r="I76" s="20" t="n">
        <x:v>1</x:v>
      </x:c>
      <x:c r="J76" s="20" t="n">
        <x:v>1</x:v>
      </x:c>
      <x:c r="K76" s="20" t="n">
        <x:v>1</x:v>
      </x:c>
      <x:c r="L76" s="12" t="n">
        <x:v>3410</x:v>
      </x:c>
      <x:c r="M76" s="8" t="n">
        <x:v>210</x:v>
      </x:c>
      <x:c r="N76" s="12" t="n">
        <x:v>250</x:v>
      </x:c>
      <x:c r="O76" s="8" t="n">
        <x:v>0</x:v>
      </x:c>
      <x:c r="P76" s="8" t="n">
        <x:v>8</x:v>
      </x:c>
      <x:c r="Q76" s="8" t="n">
        <x:v>4</x:v>
      </x:c>
      <x:c r="R76" s="8" t="n">
        <x:v>12</x:v>
      </x:c>
      <x:c r="S76" s="8" t="n">
        <x:v>0</x:v>
      </x:c>
      <x:c r="T76" s="8" t="n">
        <x:v>1</x:v>
      </x:c>
      <x:c r="U76" s="12" t="n">
        <x:v>0</x:v>
      </x:c>
      <x:c r="V76" s="8" t="n">
        <x:v>7</x:v>
      </x:c>
      <x:c r="W76" s="8" t="n">
        <x:v>230</x:v>
      </x:c>
      <x:c r="X76" s="12" t="n">
        <x:v>67800</x:v>
      </x:c>
      <x:c r="Y76" s="21"/>
      <x:c r="Z76" s="24" t="n">
        <x:f>IF($A76="","",INDEX(Settings!$C$29:$C$33,MATCH(E76,Settings!$A$29:$A$33,0)))</x:f>
        <x:v>3300</x:v>
      </x:c>
      <x:c r="AA76" s="22" t="n">
        <x:f>IF($A76="","",G76/Z76)</x:f>
        <x:v>1.0333333333333334</x:v>
      </x:c>
      <x:c r="AB76" s="25" t="n">
        <x:f>IF($A76="","",IF(ISNUMBER(Y76),Y76,Settings!$B$10))</x:f>
        <x:v>0.03</x:v>
      </x:c>
      <x:c r="AC76" s="23" t="n">
        <x:f>IF($A76="","",G76*(1+AB76))</x:f>
        <x:v>3512.3</x:v>
      </x:c>
      <x:c r="AD76" s="23" t="n">
        <x:f>IF($A76="","",G76*F76*12)</x:f>
        <x:v>40920</x:v>
      </x:c>
      <x:c r="AE76" s="23" t="n">
        <x:f>IF($A76="","",G76*F76*J76)</x:f>
        <x:v>3410</x:v>
      </x:c>
      <x:c r="AF76" s="24" t="n">
        <x:f>IF($A76="","",L76*F76*K76*Settings!$B$13)</x:f>
        <x:v>3137.2000000000003</x:v>
      </x:c>
      <x:c r="AG76" s="23" t="n">
        <x:f>IF($A76="","",AD76*H76*I76)</x:f>
        <x:v>2046</x:v>
      </x:c>
      <x:c r="AH76" s="24" t="n">
        <x:f>IF($A76="","",SUM(AD76:AE76,AG76)*SUM(Settings!$B$11:$B$12))</x:f>
        <x:v>11594</x:v>
      </x:c>
      <x:c r="AI76" s="24" t="n">
        <x:f>IF($A76="","",M76*Settings!$B$16)</x:f>
        <x:v>1871.1000000000001</x:v>
      </x:c>
      <x:c r="AJ76" s="24" t="n">
        <x:f>IF($A76="","",M76*Settings!$B$15)</x:f>
        <x:v>228.9</x:v>
      </x:c>
      <x:c r="AK76" s="24" t="n">
        <x:f>IF($A76="","",O76*Settings!$B$18)</x:f>
        <x:v>0</x:v>
      </x:c>
      <x:c r="AL76" s="24" t="n">
        <x:f>IF($A76="","",P76*Settings!$B$20+Q76*Settings!$B$21+R76*Settings!$B$22+S76*Settings!$B$23)</x:f>
        <x:v>2184.76</x:v>
      </x:c>
      <x:c r="AM76" s="24" t="n">
        <x:f>IF($A76="","",T76*Settings!$B$24)</x:f>
        <x:v>40</x:v>
      </x:c>
      <x:c r="AN76" s="23" t="n">
        <x:f>IF($A76="","",SUM(AI76,N76,AK76:AM76,U76))</x:f>
        <x:v>4345.860000000001</x:v>
      </x:c>
      <x:c r="AO76" s="23" t="n">
        <x:f>IF($A76="","",SUM(AD76:AI76,N76,AK76:AM76,U76))</x:f>
        <x:v>65453.06</x:v>
      </x:c>
      <x:c r="AP76" s="24" t="n">
        <x:f>IF($A76="","",G76*F76*AB76*((13-Settings!$B$9)*(1+H76*I76)+J76)*(1+SUM(Settings!$B$11:$B$12)))</x:f>
        <x:v>1336.29375</x:v>
      </x:c>
      <x:c r="AQ76" s="23" t="n">
        <x:f>IF($A76="","",SUM(AO76:AP76))</x:f>
        <x:v>66789.35375</x:v>
      </x:c>
      <x:c r="AR76" s="23" t="n">
        <x:f>IF($A76="","",AQ76-X76)</x:f>
        <x:v>-1010.6462500000052</x:v>
      </x:c>
      <x:c r="AS76" s="22" t="n">
        <x:f>IF($A76="","",IF(W76=0,"n.a.",V76/W76))</x:f>
        <x:v>0.030434782608695653</x:v>
      </x:c>
      <x:c r="AT76" s="26" t="str">
        <x:f>IF($A76="",IF(COUNTA(B76:Y76)&gt;0,"Missing ID",""),IF(COUNTIFS($A$9:$A$508,A76)&gt;1,"Duplicate ID",IF(OR(B76="",C76="",D76="",E76="",COUNT(F76:X76)&lt;&gt;19),"Missing / text input",IF(OR(COUNTIFS(Settings!$A$59:$A$64,B76)&lt;&gt;1,COUNTIFS(Settings!$A$29:$A$33,E76)&lt;&gt;1),"Unknown department / grade",IF(OR(F76&lt;=0,F76&gt;1,G76&lt;=0,L76&lt;=0,H76&lt;0,I76&lt;0,J76&lt;0,K76&lt;0,K76&gt;1,MIN(M76:X76)&lt;0,W76=0,V76&gt;W76,M76&gt;W76-V76,P76&gt;8,Q76&gt;4,R76&gt;12,S76&gt;12,T76&gt;1,AB76&lt;0),"Review quantity / rate",IF(OR(N76&gt;Settings!$C$17,AK76&gt;Settings!$C$19),"Review benefit ceiling","OK"))))))</x:f>
        <x:v>OK</x:v>
      </x:c>
    </x:row>
    <x:row r="77" ht="23" customHeight="1">
      <x:c r="A77" s="8" t="str">
        <x:v>BE-0069</x:v>
      </x:c>
      <x:c r="B77" s="8" t="str">
        <x:v>Technology</x:v>
      </x:c>
      <x:c r="C77" s="8" t="str">
        <x:v>Ghent</x:v>
      </x:c>
      <x:c r="D77" s="8" t="str">
        <x:v>Developer</x:v>
      </x:c>
      <x:c r="E77" s="8" t="str">
        <x:v>G2</x:v>
      </x:c>
      <x:c r="F77" s="20" t="n">
        <x:v>1</x:v>
      </x:c>
      <x:c r="G77" s="12" t="n">
        <x:v>3250</x:v>
      </x:c>
      <x:c r="H77" s="21" t="n">
        <x:v>0.05</x:v>
      </x:c>
      <x:c r="I77" s="20" t="n">
        <x:v>1.1</x:v>
      </x:c>
      <x:c r="J77" s="20" t="n">
        <x:v>1</x:v>
      </x:c>
      <x:c r="K77" s="20" t="n">
        <x:v>1</x:v>
      </x:c>
      <x:c r="L77" s="12" t="n">
        <x:v>3250</x:v>
      </x:c>
      <x:c r="M77" s="8" t="n">
        <x:v>209</x:v>
      </x:c>
      <x:c r="N77" s="12" t="n">
        <x:v>250</x:v>
      </x:c>
      <x:c r="O77" s="8" t="n">
        <x:v>0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  <x:c r="T77" s="8" t="n">
        <x:v>1</x:v>
      </x:c>
      <x:c r="U77" s="12" t="n">
        <x:v>0</x:v>
      </x:c>
      <x:c r="V77" s="8" t="n">
        <x:v>8</x:v>
      </x:c>
      <x:c r="W77" s="8" t="n">
        <x:v>230</x:v>
      </x:c>
      <x:c r="X77" s="12" t="n">
        <x:v>62800</x:v>
      </x:c>
      <x:c r="Y77" s="21"/>
      <x:c r="Z77" s="24" t="n">
        <x:f>IF($A77="","",INDEX(Settings!$C$29:$C$33,MATCH(E77,Settings!$A$29:$A$33,0)))</x:f>
        <x:v>3300</x:v>
      </x:c>
      <x:c r="AA77" s="22" t="n">
        <x:f>IF($A77="","",G77/Z77)</x:f>
        <x:v>0.9848484848484849</x:v>
      </x:c>
      <x:c r="AB77" s="25" t="n">
        <x:f>IF($A77="","",IF(ISNUMBER(Y77),Y77,Settings!$B$10))</x:f>
        <x:v>0.03</x:v>
      </x:c>
      <x:c r="AC77" s="23" t="n">
        <x:f>IF($A77="","",G77*(1+AB77))</x:f>
        <x:v>3347.5</x:v>
      </x:c>
      <x:c r="AD77" s="23" t="n">
        <x:f>IF($A77="","",G77*F77*12)</x:f>
        <x:v>39000</x:v>
      </x:c>
      <x:c r="AE77" s="23" t="n">
        <x:f>IF($A77="","",G77*F77*J77)</x:f>
        <x:v>3250</x:v>
      </x:c>
      <x:c r="AF77" s="24" t="n">
        <x:f>IF($A77="","",L77*F77*K77*Settings!$B$13)</x:f>
        <x:v>2990</x:v>
      </x:c>
      <x:c r="AG77" s="23" t="n">
        <x:f>IF($A77="","",AD77*H77*I77)</x:f>
        <x:v>2145</x:v>
      </x:c>
      <x:c r="AH77" s="24" t="n">
        <x:f>IF($A77="","",SUM(AD77:AE77,AG77)*SUM(Settings!$B$11:$B$12))</x:f>
        <x:v>11098.75</x:v>
      </x:c>
      <x:c r="AI77" s="24" t="n">
        <x:f>IF($A77="","",M77*Settings!$B$16)</x:f>
        <x:v>1862.19</x:v>
      </x:c>
      <x:c r="AJ77" s="24" t="n">
        <x:f>IF($A77="","",M77*Settings!$B$15)</x:f>
        <x:v>227.81000000000003</x:v>
      </x:c>
      <x:c r="AK77" s="24" t="n">
        <x:f>IF($A77="","",O77*Settings!$B$18)</x:f>
        <x:v>0</x:v>
      </x:c>
      <x:c r="AL77" s="24" t="n">
        <x:f>IF($A77="","",P77*Settings!$B$20+Q77*Settings!$B$21+R77*Settings!$B$22+S77*Settings!$B$23)</x:f>
        <x:v>0</x:v>
      </x:c>
      <x:c r="AM77" s="24" t="n">
        <x:f>IF($A77="","",T77*Settings!$B$24)</x:f>
        <x:v>40</x:v>
      </x:c>
      <x:c r="AN77" s="23" t="n">
        <x:f>IF($A77="","",SUM(AI77,N77,AK77:AM77,U77))</x:f>
        <x:v>2152.19</x:v>
      </x:c>
      <x:c r="AO77" s="23" t="n">
        <x:f>IF($A77="","",SUM(AD77:AI77,N77,AK77:AM77,U77))</x:f>
        <x:v>60635.94</x:v>
      </x:c>
      <x:c r="AP77" s="24" t="n">
        <x:f>IF($A77="","",G77*F77*AB77*((13-Settings!$B$9)*(1+H77*I77)+J77)*(1+SUM(Settings!$B$11:$B$12)))</x:f>
        <x:v>1279.078125</x:v>
      </x:c>
      <x:c r="AQ77" s="23" t="n">
        <x:f>IF($A77="","",SUM(AO77:AP77))</x:f>
        <x:v>61915.018125</x:v>
      </x:c>
      <x:c r="AR77" s="23" t="n">
        <x:f>IF($A77="","",AQ77-X77)</x:f>
        <x:v>-884.9818749999977</x:v>
      </x:c>
      <x:c r="AS77" s="22" t="n">
        <x:f>IF($A77="","",IF(W77=0,"n.a.",V77/W77))</x:f>
        <x:v>0.034782608695652174</x:v>
      </x:c>
      <x:c r="AT77" s="26" t="str">
        <x:f>IF($A77="",IF(COUNTA(B77:Y77)&gt;0,"Missing ID",""),IF(COUNTIFS($A$9:$A$508,A77)&gt;1,"Duplicate ID",IF(OR(B77="",C77="",D77="",E77="",COUNT(F77:X77)&lt;&gt;19),"Missing / text input",IF(OR(COUNTIFS(Settings!$A$59:$A$64,B77)&lt;&gt;1,COUNTIFS(Settings!$A$29:$A$33,E77)&lt;&gt;1),"Unknown department / grade",IF(OR(F77&lt;=0,F77&gt;1,G77&lt;=0,L77&lt;=0,H77&lt;0,I77&lt;0,J77&lt;0,K77&lt;0,K77&gt;1,MIN(M77:X77)&lt;0,W77=0,V77&gt;W77,M77&gt;W77-V77,P77&gt;8,Q77&gt;4,R77&gt;12,S77&gt;12,T77&gt;1,AB77&lt;0),"Review quantity / rate",IF(OR(N77&gt;Settings!$C$17,AK77&gt;Settings!$C$19),"Review benefit ceiling","OK"))))))</x:f>
        <x:v>OK</x:v>
      </x:c>
    </x:row>
    <x:row r="78" ht="23" customHeight="1">
      <x:c r="A78" s="8" t="str">
        <x:v>BE-0070</x:v>
      </x:c>
      <x:c r="B78" s="8" t="str">
        <x:v>Sales</x:v>
      </x:c>
      <x:c r="C78" s="8" t="str">
        <x:v>Brussels</x:v>
      </x:c>
      <x:c r="D78" s="8" t="str">
        <x:v>Account manager</x:v>
      </x:c>
      <x:c r="E78" s="8" t="str">
        <x:v>G2</x:v>
      </x:c>
      <x:c r="F78" s="20" t="n">
        <x:v>1</x:v>
      </x:c>
      <x:c r="G78" s="12" t="n">
        <x:v>3630</x:v>
      </x:c>
      <x:c r="H78" s="21" t="n">
        <x:v>0.05</x:v>
      </x:c>
      <x:c r="I78" s="20" t="n">
        <x:v>0.8</x:v>
      </x:c>
      <x:c r="J78" s="20" t="n">
        <x:v>1</x:v>
      </x:c>
      <x:c r="K78" s="20" t="n">
        <x:v>1</x:v>
      </x:c>
      <x:c r="L78" s="12" t="n">
        <x:v>3630</x:v>
      </x:c>
      <x:c r="M78" s="8" t="n">
        <x:v>208</x:v>
      </x:c>
      <x:c r="N78" s="12" t="n">
        <x:v>250</x:v>
      </x:c>
      <x:c r="O78" s="8" t="n">
        <x:v>1620</x:v>
      </x:c>
      <x:c r="P78" s="8" t="n">
        <x:v>8</x:v>
      </x:c>
      <x:c r="Q78" s="8" t="n">
        <x:v>4</x:v>
      </x:c>
      <x:c r="R78" s="8" t="n">
        <x:v>12</x:v>
      </x:c>
      <x:c r="S78" s="8" t="n">
        <x:v>0</x:v>
      </x:c>
      <x:c r="T78" s="8" t="n">
        <x:v>1</x:v>
      </x:c>
      <x:c r="U78" s="12" t="n">
        <x:v>0</x:v>
      </x:c>
      <x:c r="V78" s="8" t="n">
        <x:v>9</x:v>
      </x:c>
      <x:c r="W78" s="8" t="n">
        <x:v>230</x:v>
      </x:c>
      <x:c r="X78" s="12" t="n">
        <x:v>71900</x:v>
      </x:c>
      <x:c r="Y78" s="21"/>
      <x:c r="Z78" s="24" t="n">
        <x:f>IF($A78="","",INDEX(Settings!$C$29:$C$33,MATCH(E78,Settings!$A$29:$A$33,0)))</x:f>
        <x:v>3300</x:v>
      </x:c>
      <x:c r="AA78" s="22" t="n">
        <x:f>IF($A78="","",G78/Z78)</x:f>
        <x:v>1.1</x:v>
      </x:c>
      <x:c r="AB78" s="25" t="n">
        <x:f>IF($A78="","",IF(ISNUMBER(Y78),Y78,Settings!$B$10))</x:f>
        <x:v>0.03</x:v>
      </x:c>
      <x:c r="AC78" s="23" t="n">
        <x:f>IF($A78="","",G78*(1+AB78))</x:f>
        <x:v>3738.9</x:v>
      </x:c>
      <x:c r="AD78" s="23" t="n">
        <x:f>IF($A78="","",G78*F78*12)</x:f>
        <x:v>43560</x:v>
      </x:c>
      <x:c r="AE78" s="23" t="n">
        <x:f>IF($A78="","",G78*F78*J78)</x:f>
        <x:v>3630</x:v>
      </x:c>
      <x:c r="AF78" s="24" t="n">
        <x:f>IF($A78="","",L78*F78*K78*Settings!$B$13)</x:f>
        <x:v>3339.6000000000004</x:v>
      </x:c>
      <x:c r="AG78" s="23" t="n">
        <x:f>IF($A78="","",AD78*H78*I78)</x:f>
        <x:v>1742.4</x:v>
      </x:c>
      <x:c r="AH78" s="24" t="n">
        <x:f>IF($A78="","",SUM(AD78:AE78,AG78)*SUM(Settings!$B$11:$B$12))</x:f>
        <x:v>12233.1</x:v>
      </x:c>
      <x:c r="AI78" s="24" t="n">
        <x:f>IF($A78="","",M78*Settings!$B$16)</x:f>
        <x:v>1853.28</x:v>
      </x:c>
      <x:c r="AJ78" s="24" t="n">
        <x:f>IF($A78="","",M78*Settings!$B$15)</x:f>
        <x:v>226.72000000000003</x:v>
      </x:c>
      <x:c r="AK78" s="24" t="n">
        <x:f>IF($A78="","",O78*Settings!$B$18)</x:f>
        <x:v>599.4</x:v>
      </x:c>
      <x:c r="AL78" s="24" t="n">
        <x:f>IF($A78="","",P78*Settings!$B$20+Q78*Settings!$B$21+R78*Settings!$B$22+S78*Settings!$B$23)</x:f>
        <x:v>2184.76</x:v>
      </x:c>
      <x:c r="AM78" s="24" t="n">
        <x:f>IF($A78="","",T78*Settings!$B$24)</x:f>
        <x:v>40</x:v>
      </x:c>
      <x:c r="AN78" s="23" t="n">
        <x:f>IF($A78="","",SUM(AI78,N78,AK78:AM78,U78))</x:f>
        <x:v>4927.4400000000005</x:v>
      </x:c>
      <x:c r="AO78" s="23" t="n">
        <x:f>IF($A78="","",SUM(AD78:AI78,N78,AK78:AM78,U78))</x:f>
        <x:v>69432.54000000001</x:v>
      </x:c>
      <x:c r="AP78" s="24" t="n">
        <x:f>IF($A78="","",G78*F78*AB78*((13-Settings!$B$9)*(1+H78*I78)+J78)*(1+SUM(Settings!$B$11:$B$12)))</x:f>
        <x:v>1410.2549999999999</x:v>
      </x:c>
      <x:c r="AQ78" s="23" t="n">
        <x:f>IF($A78="","",SUM(AO78:AP78))</x:f>
        <x:v>70842.79500000001</x:v>
      </x:c>
      <x:c r="AR78" s="23" t="n">
        <x:f>IF($A78="","",AQ78-X78)</x:f>
        <x:v>-1057.2049999999872</x:v>
      </x:c>
      <x:c r="AS78" s="22" t="n">
        <x:f>IF($A78="","",IF(W78=0,"n.a.",V78/W78))</x:f>
        <x:v>0.0391304347826087</x:v>
      </x:c>
      <x:c r="AT78" s="26" t="str">
        <x:f>IF($A78="",IF(COUNTA(B78:Y78)&gt;0,"Missing ID",""),IF(COUNTIFS($A$9:$A$508,A78)&gt;1,"Duplicate ID",IF(OR(B78="",C78="",D78="",E78="",COUNT(F78:X78)&lt;&gt;19),"Missing / text input",IF(OR(COUNTIFS(Settings!$A$59:$A$64,B78)&lt;&gt;1,COUNTIFS(Settings!$A$29:$A$33,E78)&lt;&gt;1),"Unknown department / grade",IF(OR(F78&lt;=0,F78&gt;1,G78&lt;=0,L78&lt;=0,H78&lt;0,I78&lt;0,J78&lt;0,K78&lt;0,K78&gt;1,MIN(M78:X78)&lt;0,W78=0,V78&gt;W78,M78&gt;W78-V78,P78&gt;8,Q78&gt;4,R78&gt;12,S78&gt;12,T78&gt;1,AB78&lt;0),"Review quantity / rate",IF(OR(N78&gt;Settings!$C$17,AK78&gt;Settings!$C$19),"Review benefit ceiling","OK"))))))</x:f>
        <x:v>OK</x:v>
      </x:c>
    </x:row>
    <x:row r="79" ht="23" customHeight="1">
      <x:c r="A79" s="8" t="str">
        <x:v>BE-0071</x:v>
      </x:c>
      <x:c r="B79" s="8" t="str">
        <x:v>Customer Operations</x:v>
      </x:c>
      <x:c r="C79" s="8" t="str">
        <x:v>Antwerp</x:v>
      </x:c>
      <x:c r="D79" s="8" t="str">
        <x:v>Service specialist</x:v>
      </x:c>
      <x:c r="E79" s="8" t="str">
        <x:v>G2</x:v>
      </x:c>
      <x:c r="F79" s="20" t="n">
        <x:v>0.8</x:v>
      </x:c>
      <x:c r="G79" s="12" t="n">
        <x:v>3200</x:v>
      </x:c>
      <x:c r="H79" s="21" t="n">
        <x:v>0.05</x:v>
      </x:c>
      <x:c r="I79" s="20" t="n">
        <x:v>1</x:v>
      </x:c>
      <x:c r="J79" s="20" t="n">
        <x:v>1</x:v>
      </x:c>
      <x:c r="K79" s="20" t="n">
        <x:v>1</x:v>
      </x:c>
      <x:c r="L79" s="12" t="n">
        <x:v>3200</x:v>
      </x:c>
      <x:c r="M79" s="8" t="n">
        <x:v>171</x:v>
      </x:c>
      <x:c r="N79" s="12" t="n">
        <x:v>200</x:v>
      </x:c>
      <x:c r="O79" s="8" t="n">
        <x:v>0</x:v>
      </x:c>
      <x:c r="P79" s="8" t="n">
        <x:v>8</x:v>
      </x:c>
      <x:c r="Q79" s="8" t="n">
        <x:v>4</x:v>
      </x:c>
      <x:c r="R79" s="8" t="n">
        <x:v>12</x:v>
      </x:c>
      <x:c r="S79" s="8" t="n">
        <x:v>12</x:v>
      </x:c>
      <x:c r="T79" s="8" t="n">
        <x:v>1</x:v>
      </x:c>
      <x:c r="U79" s="12" t="n">
        <x:v>0</x:v>
      </x:c>
      <x:c r="V79" s="8" t="n">
        <x:v>10</x:v>
      </x:c>
      <x:c r="W79" s="8" t="n">
        <x:v>184</x:v>
      </x:c>
      <x:c r="X79" s="12" t="n">
        <x:v>50300</x:v>
      </x:c>
      <x:c r="Y79" s="21"/>
      <x:c r="Z79" s="24" t="n">
        <x:f>IF($A79="","",INDEX(Settings!$C$29:$C$33,MATCH(E79,Settings!$A$29:$A$33,0)))</x:f>
        <x:v>3300</x:v>
      </x:c>
      <x:c r="AA79" s="22" t="n">
        <x:f>IF($A79="","",G79/Z79)</x:f>
        <x:v>0.9696969696969697</x:v>
      </x:c>
      <x:c r="AB79" s="25" t="n">
        <x:f>IF($A79="","",IF(ISNUMBER(Y79),Y79,Settings!$B$10))</x:f>
        <x:v>0.03</x:v>
      </x:c>
      <x:c r="AC79" s="23" t="n">
        <x:f>IF($A79="","",G79*(1+AB79))</x:f>
        <x:v>3296</x:v>
      </x:c>
      <x:c r="AD79" s="23" t="n">
        <x:f>IF($A79="","",G79*F79*12)</x:f>
        <x:v>30720</x:v>
      </x:c>
      <x:c r="AE79" s="23" t="n">
        <x:f>IF($A79="","",G79*F79*J79)</x:f>
        <x:v>2560</x:v>
      </x:c>
      <x:c r="AF79" s="24" t="n">
        <x:f>IF($A79="","",L79*F79*K79*Settings!$B$13)</x:f>
        <x:v>2355.2000000000003</x:v>
      </x:c>
      <x:c r="AG79" s="23" t="n">
        <x:f>IF($A79="","",AD79*H79*I79)</x:f>
        <x:v>1536</x:v>
      </x:c>
      <x:c r="AH79" s="24" t="n">
        <x:f>IF($A79="","",SUM(AD79:AE79,AG79)*SUM(Settings!$B$11:$B$12))</x:f>
        <x:v>8704</x:v>
      </x:c>
      <x:c r="AI79" s="24" t="n">
        <x:f>IF($A79="","",M79*Settings!$B$16)</x:f>
        <x:v>1523.6100000000001</x:v>
      </x:c>
      <x:c r="AJ79" s="24" t="n">
        <x:f>IF($A79="","",M79*Settings!$B$15)</x:f>
        <x:v>186.39000000000001</x:v>
      </x:c>
      <x:c r="AK79" s="24" t="n">
        <x:f>IF($A79="","",O79*Settings!$B$18)</x:f>
        <x:v>0</x:v>
      </x:c>
      <x:c r="AL79" s="24" t="n">
        <x:f>IF($A79="","",P79*Settings!$B$20+Q79*Settings!$B$21+R79*Settings!$B$22+S79*Settings!$B$23)</x:f>
        <x:v>2424.76</x:v>
      </x:c>
      <x:c r="AM79" s="24" t="n">
        <x:f>IF($A79="","",T79*Settings!$B$24)</x:f>
        <x:v>40</x:v>
      </x:c>
      <x:c r="AN79" s="23" t="n">
        <x:f>IF($A79="","",SUM(AI79,N79,AK79:AM79,U79))</x:f>
        <x:v>4188.370000000001</x:v>
      </x:c>
      <x:c r="AO79" s="23" t="n">
        <x:f>IF($A79="","",SUM(AD79:AI79,N79,AK79:AM79,U79))</x:f>
        <x:v>50063.57</x:v>
      </x:c>
      <x:c r="AP79" s="24" t="n">
        <x:f>IF($A79="","",G79*F79*AB79*((13-Settings!$B$9)*(1+H79*I79)+J79)*(1+SUM(Settings!$B$11:$B$12)))</x:f>
        <x:v>1003.2</x:v>
      </x:c>
      <x:c r="AQ79" s="23" t="n">
        <x:f>IF($A79="","",SUM(AO79:AP79))</x:f>
        <x:v>51066.77</x:v>
      </x:c>
      <x:c r="AR79" s="23" t="n">
        <x:f>IF($A79="","",AQ79-X79)</x:f>
        <x:v>766.7699999999968</x:v>
      </x:c>
      <x:c r="AS79" s="22" t="n">
        <x:f>IF($A79="","",IF(W79=0,"n.a.",V79/W79))</x:f>
        <x:v>0.05434782608695652</x:v>
      </x:c>
      <x:c r="AT79" s="26" t="str">
        <x:f>IF($A79="",IF(COUNTA(B79:Y79)&gt;0,"Missing ID",""),IF(COUNTIFS($A$9:$A$508,A79)&gt;1,"Duplicate ID",IF(OR(B79="",C79="",D79="",E79="",COUNT(F79:X79)&lt;&gt;19),"Missing / text input",IF(OR(COUNTIFS(Settings!$A$59:$A$64,B79)&lt;&gt;1,COUNTIFS(Settings!$A$29:$A$33,E79)&lt;&gt;1),"Unknown department / grade",IF(OR(F79&lt;=0,F79&gt;1,G79&lt;=0,L79&lt;=0,H79&lt;0,I79&lt;0,J79&lt;0,K79&lt;0,K79&gt;1,MIN(M79:X79)&lt;0,W79=0,V79&gt;W79,M79&gt;W79-V79,P79&gt;8,Q79&gt;4,R79&gt;12,S79&gt;12,T79&gt;1,AB79&lt;0),"Review quantity / rate",IF(OR(N79&gt;Settings!$C$17,AK79&gt;Settings!$C$19),"Review benefit ceiling","OK"))))))</x:f>
        <x:v>OK</x:v>
      </x:c>
    </x:row>
    <x:row r="80" ht="23" customHeight="1">
      <x:c r="A80" s="8" t="str">
        <x:v>BE-0072</x:v>
      </x:c>
      <x:c r="B80" s="8" t="str">
        <x:v>Business Support</x:v>
      </x:c>
      <x:c r="C80" s="8" t="str">
        <x:v>Ghent</x:v>
      </x:c>
      <x:c r="D80" s="8" t="str">
        <x:v>Business specialist</x:v>
      </x:c>
      <x:c r="E80" s="8" t="str">
        <x:v>G2</x:v>
      </x:c>
      <x:c r="F80" s="20" t="n">
        <x:v>1</x:v>
      </x:c>
      <x:c r="G80" s="12" t="n">
        <x:v>3600</x:v>
      </x:c>
      <x:c r="H80" s="21" t="n">
        <x:v>0.05</x:v>
      </x:c>
      <x:c r="I80" s="20" t="n">
        <x:v>1.1</x:v>
      </x:c>
      <x:c r="J80" s="20" t="n">
        <x:v>1</x:v>
      </x:c>
      <x:c r="K80" s="20" t="n">
        <x:v>1</x:v>
      </x:c>
      <x:c r="L80" s="12" t="n">
        <x:v>3600</x:v>
      </x:c>
      <x:c r="M80" s="8" t="n">
        <x:v>213</x:v>
      </x:c>
      <x:c r="N80" s="12" t="n">
        <x:v>250</x:v>
      </x:c>
      <x:c r="O80" s="8" t="n">
        <x:v>0</x:v>
      </x:c>
      <x:c r="P80" s="8" t="n">
        <x:v>8</x:v>
      </x:c>
      <x:c r="Q80" s="8" t="n">
        <x:v>4</x:v>
      </x:c>
      <x:c r="R80" s="8" t="n">
        <x:v>12</x:v>
      </x:c>
      <x:c r="S80" s="8" t="n">
        <x:v>0</x:v>
      </x:c>
      <x:c r="T80" s="8" t="n">
        <x:v>1</x:v>
      </x:c>
      <x:c r="U80" s="12" t="n">
        <x:v>0</x:v>
      </x:c>
      <x:c r="V80" s="8" t="n">
        <x:v>11</x:v>
      </x:c>
      <x:c r="W80" s="8" t="n">
        <x:v>230</x:v>
      </x:c>
      <x:c r="X80" s="12" t="n">
        <x:v>71600</x:v>
      </x:c>
      <x:c r="Y80" s="21"/>
      <x:c r="Z80" s="24" t="n">
        <x:f>IF($A80="","",INDEX(Settings!$C$29:$C$33,MATCH(E80,Settings!$A$29:$A$33,0)))</x:f>
        <x:v>3300</x:v>
      </x:c>
      <x:c r="AA80" s="22" t="n">
        <x:f>IF($A80="","",G80/Z80)</x:f>
        <x:v>1.0909090909090908</x:v>
      </x:c>
      <x:c r="AB80" s="25" t="n">
        <x:f>IF($A80="","",IF(ISNUMBER(Y80),Y80,Settings!$B$10))</x:f>
        <x:v>0.03</x:v>
      </x:c>
      <x:c r="AC80" s="23" t="n">
        <x:f>IF($A80="","",G80*(1+AB80))</x:f>
        <x:v>3708</x:v>
      </x:c>
      <x:c r="AD80" s="23" t="n">
        <x:f>IF($A80="","",G80*F80*12)</x:f>
        <x:v>43200</x:v>
      </x:c>
      <x:c r="AE80" s="23" t="n">
        <x:f>IF($A80="","",G80*F80*J80)</x:f>
        <x:v>3600</x:v>
      </x:c>
      <x:c r="AF80" s="24" t="n">
        <x:f>IF($A80="","",L80*F80*K80*Settings!$B$13)</x:f>
        <x:v>3312</x:v>
      </x:c>
      <x:c r="AG80" s="23" t="n">
        <x:f>IF($A80="","",AD80*H80*I80)</x:f>
        <x:v>2376</x:v>
      </x:c>
      <x:c r="AH80" s="24" t="n">
        <x:f>IF($A80="","",SUM(AD80:AE80,AG80)*SUM(Settings!$B$11:$B$12))</x:f>
        <x:v>12294</x:v>
      </x:c>
      <x:c r="AI80" s="24" t="n">
        <x:f>IF($A80="","",M80*Settings!$B$16)</x:f>
        <x:v>1897.83</x:v>
      </x:c>
      <x:c r="AJ80" s="24" t="n">
        <x:f>IF($A80="","",M80*Settings!$B$15)</x:f>
        <x:v>232.17000000000002</x:v>
      </x:c>
      <x:c r="AK80" s="24" t="n">
        <x:f>IF($A80="","",O80*Settings!$B$18)</x:f>
        <x:v>0</x:v>
      </x:c>
      <x:c r="AL80" s="24" t="n">
        <x:f>IF($A80="","",P80*Settings!$B$20+Q80*Settings!$B$21+R80*Settings!$B$22+S80*Settings!$B$23)</x:f>
        <x:v>2184.76</x:v>
      </x:c>
      <x:c r="AM80" s="24" t="n">
        <x:f>IF($A80="","",T80*Settings!$B$24)</x:f>
        <x:v>40</x:v>
      </x:c>
      <x:c r="AN80" s="23" t="n">
        <x:f>IF($A80="","",SUM(AI80,N80,AK80:AM80,U80))</x:f>
        <x:v>4372.59</x:v>
      </x:c>
      <x:c r="AO80" s="23" t="n">
        <x:f>IF($A80="","",SUM(AD80:AI80,N80,AK80:AM80,U80))</x:f>
        <x:v>69154.59</x:v>
      </x:c>
      <x:c r="AP80" s="24" t="n">
        <x:f>IF($A80="","",G80*F80*AB80*((13-Settings!$B$9)*(1+H80*I80)+J80)*(1+SUM(Settings!$B$11:$B$12)))</x:f>
        <x:v>1416.8249999999998</x:v>
      </x:c>
      <x:c r="AQ80" s="23" t="n">
        <x:f>IF($A80="","",SUM(AO80:AP80))</x:f>
        <x:v>70571.415</x:v>
      </x:c>
      <x:c r="AR80" s="23" t="n">
        <x:f>IF($A80="","",AQ80-X80)</x:f>
        <x:v>-1028.5850000000064</x:v>
      </x:c>
      <x:c r="AS80" s="22" t="n">
        <x:f>IF($A80="","",IF(W80=0,"n.a.",V80/W80))</x:f>
        <x:v>0.04782608695652174</x:v>
      </x:c>
      <x:c r="AT80" s="26" t="str">
        <x:f>IF($A80="",IF(COUNTA(B80:Y80)&gt;0,"Missing ID",""),IF(COUNTIFS($A$9:$A$508,A80)&gt;1,"Duplicate ID",IF(OR(B80="",C80="",D80="",E80="",COUNT(F80:X80)&lt;&gt;19),"Missing / text input",IF(OR(COUNTIFS(Settings!$A$59:$A$64,B80)&lt;&gt;1,COUNTIFS(Settings!$A$29:$A$33,E80)&lt;&gt;1),"Unknown department / grade",IF(OR(F80&lt;=0,F80&gt;1,G80&lt;=0,L80&lt;=0,H80&lt;0,I80&lt;0,J80&lt;0,K80&lt;0,K80&gt;1,MIN(M80:X80)&lt;0,W80=0,V80&gt;W80,M80&gt;W80-V80,P80&gt;8,Q80&gt;4,R80&gt;12,S80&gt;12,T80&gt;1,AB80&lt;0),"Review quantity / rate",IF(OR(N80&gt;Settings!$C$17,AK80&gt;Settings!$C$19),"Review benefit ceiling","OK"))))))</x:f>
        <x:v>OK</x:v>
      </x:c>
    </x:row>
    <x:row r="81" ht="23" customHeight="1">
      <x:c r="A81" s="8" t="str">
        <x:v>BE-0073</x:v>
      </x:c>
      <x:c r="B81" s="8" t="str">
        <x:v>Finance</x:v>
      </x:c>
      <x:c r="C81" s="8" t="str">
        <x:v>Brussels</x:v>
      </x:c>
      <x:c r="D81" s="8" t="str">
        <x:v>Senior analyst</x:v>
      </x:c>
      <x:c r="E81" s="8" t="str">
        <x:v>G3</x:v>
      </x:c>
      <x:c r="F81" s="20" t="n">
        <x:v>0.6</x:v>
      </x:c>
      <x:c r="G81" s="12" t="n">
        <x:v>4060</x:v>
      </x:c>
      <x:c r="H81" s="21" t="n">
        <x:v>0.08</x:v>
      </x:c>
      <x:c r="I81" s="20" t="n">
        <x:v>0.8</x:v>
      </x:c>
      <x:c r="J81" s="20" t="n">
        <x:v>1</x:v>
      </x:c>
      <x:c r="K81" s="20" t="n">
        <x:v>1</x:v>
      </x:c>
      <x:c r="L81" s="12" t="n">
        <x:v>4060</x:v>
      </x:c>
      <x:c r="M81" s="8" t="n">
        <x:v>126</x:v>
      </x:c>
      <x:c r="N81" s="12" t="n">
        <x:v>150</x:v>
      </x:c>
      <x:c r="O81" s="8" t="n">
        <x:v>1950</x:v>
      </x:c>
      <x:c r="P81" s="8" t="n">
        <x:v>0</x:v>
      </x:c>
      <x:c r="Q81" s="8" t="n">
        <x:v>0</x:v>
      </x:c>
      <x:c r="R81" s="8" t="n">
        <x:v>0</x:v>
      </x:c>
      <x:c r="S81" s="8" t="n">
        <x:v>0</x:v>
      </x:c>
      <x:c r="T81" s="8" t="n">
        <x:v>1</x:v>
      </x:c>
      <x:c r="U81" s="12" t="n">
        <x:v>0</x:v>
      </x:c>
      <x:c r="V81" s="8" t="n">
        <x:v>0</x:v>
      </x:c>
      <x:c r="W81" s="8" t="n">
        <x:v>138</x:v>
      </x:c>
      <x:c r="X81" s="12" t="n">
        <x:v>47900</x:v>
      </x:c>
      <x:c r="Y81" s="21"/>
      <x:c r="Z81" s="24" t="n">
        <x:f>IF($A81="","",INDEX(Settings!$C$29:$C$33,MATCH(E81,Settings!$A$29:$A$33,0)))</x:f>
        <x:v>4200</x:v>
      </x:c>
      <x:c r="AA81" s="22" t="n">
        <x:f>IF($A81="","",G81/Z81)</x:f>
        <x:v>0.9666666666666667</x:v>
      </x:c>
      <x:c r="AB81" s="25" t="n">
        <x:f>IF($A81="","",IF(ISNUMBER(Y81),Y81,Settings!$B$10))</x:f>
        <x:v>0.03</x:v>
      </x:c>
      <x:c r="AC81" s="23" t="n">
        <x:f>IF($A81="","",G81*(1+AB81))</x:f>
        <x:v>4181.8</x:v>
      </x:c>
      <x:c r="AD81" s="23" t="n">
        <x:f>IF($A81="","",G81*F81*12)</x:f>
        <x:v>29232</x:v>
      </x:c>
      <x:c r="AE81" s="23" t="n">
        <x:f>IF($A81="","",G81*F81*J81)</x:f>
        <x:v>2436</x:v>
      </x:c>
      <x:c r="AF81" s="24" t="n">
        <x:f>IF($A81="","",L81*F81*K81*Settings!$B$13)</x:f>
        <x:v>2241.12</x:v>
      </x:c>
      <x:c r="AG81" s="23" t="n">
        <x:f>IF($A81="","",AD81*H81*I81)</x:f>
        <x:v>1870.848</x:v>
      </x:c>
      <x:c r="AH81" s="24" t="n">
        <x:f>IF($A81="","",SUM(AD81:AE81,AG81)*SUM(Settings!$B$11:$B$12))</x:f>
        <x:v>8384.712</x:v>
      </x:c>
      <x:c r="AI81" s="24" t="n">
        <x:f>IF($A81="","",M81*Settings!$B$16)</x:f>
        <x:v>1122.66</x:v>
      </x:c>
      <x:c r="AJ81" s="24" t="n">
        <x:f>IF($A81="","",M81*Settings!$B$15)</x:f>
        <x:v>137.34</x:v>
      </x:c>
      <x:c r="AK81" s="24" t="n">
        <x:f>IF($A81="","",O81*Settings!$B$18)</x:f>
        <x:v>721.5</x:v>
      </x:c>
      <x:c r="AL81" s="24" t="n">
        <x:f>IF($A81="","",P81*Settings!$B$20+Q81*Settings!$B$21+R81*Settings!$B$22+S81*Settings!$B$23)</x:f>
        <x:v>0</x:v>
      </x:c>
      <x:c r="AM81" s="24" t="n">
        <x:f>IF($A81="","",T81*Settings!$B$24)</x:f>
        <x:v>40</x:v>
      </x:c>
      <x:c r="AN81" s="23" t="n">
        <x:f>IF($A81="","",SUM(AI81,N81,AK81:AM81,U81))</x:f>
        <x:v>2034.16</x:v>
      </x:c>
      <x:c r="AO81" s="23" t="n">
        <x:f>IF($A81="","",SUM(AD81:AI81,N81,AK81:AM81,U81))</x:f>
        <x:v>46198.840000000004</x:v>
      </x:c>
      <x:c r="AP81" s="24" t="n">
        <x:f>IF($A81="","",G81*F81*AB81*((13-Settings!$B$9)*(1+H81*I81)+J81)*(1+SUM(Settings!$B$11:$B$12)))</x:f>
        <x:v>966.1176</x:v>
      </x:c>
      <x:c r="AQ81" s="23" t="n">
        <x:f>IF($A81="","",SUM(AO81:AP81))</x:f>
        <x:v>47164.9576</x:v>
      </x:c>
      <x:c r="AR81" s="23" t="n">
        <x:f>IF($A81="","",AQ81-X81)</x:f>
        <x:v>-735.0423999999985</x:v>
      </x:c>
      <x:c r="AS81" s="22" t="n">
        <x:f>IF($A81="","",IF(W81=0,"n.a.",V81/W81))</x:f>
        <x:v>0</x:v>
      </x:c>
      <x:c r="AT81" s="26" t="str">
        <x:f>IF($A81="",IF(COUNTA(B81:Y81)&gt;0,"Missing ID",""),IF(COUNTIFS($A$9:$A$508,A81)&gt;1,"Duplicate ID",IF(OR(B81="",C81="",D81="",E81="",COUNT(F81:X81)&lt;&gt;19),"Missing / text input",IF(OR(COUNTIFS(Settings!$A$59:$A$64,B81)&lt;&gt;1,COUNTIFS(Settings!$A$29:$A$33,E81)&lt;&gt;1),"Unknown department / grade",IF(OR(F81&lt;=0,F81&gt;1,G81&lt;=0,L81&lt;=0,H81&lt;0,I81&lt;0,J81&lt;0,K81&lt;0,K81&gt;1,MIN(M81:X81)&lt;0,W81=0,V81&gt;W81,M81&gt;W81-V81,P81&gt;8,Q81&gt;4,R81&gt;12,S81&gt;12,T81&gt;1,AB81&lt;0),"Review quantity / rate",IF(OR(N81&gt;Settings!$C$17,AK81&gt;Settings!$C$19),"Review benefit ceiling","OK"))))))</x:f>
        <x:v>OK</x:v>
      </x:c>
    </x:row>
    <x:row r="82" ht="23" customHeight="1">
      <x:c r="A82" s="8" t="str">
        <x:v>BE-0074</x:v>
      </x:c>
      <x:c r="B82" s="8" t="str">
        <x:v>People &amp; Culture</x:v>
      </x:c>
      <x:c r="C82" s="8" t="str">
        <x:v>Antwerp</x:v>
      </x:c>
      <x:c r="D82" s="8" t="str">
        <x:v>Reward specialist</x:v>
      </x:c>
      <x:c r="E82" s="8" t="str">
        <x:v>G3</x:v>
      </x:c>
      <x:c r="F82" s="20" t="n">
        <x:v>1</x:v>
      </x:c>
      <x:c r="G82" s="12" t="n">
        <x:v>4490</x:v>
      </x:c>
      <x:c r="H82" s="21" t="n">
        <x:v>0.08</x:v>
      </x:c>
      <x:c r="I82" s="20" t="n">
        <x:v>1</x:v>
      </x:c>
      <x:c r="J82" s="20" t="n">
        <x:v>1</x:v>
      </x:c>
      <x:c r="K82" s="20" t="n">
        <x:v>1</x:v>
      </x:c>
      <x:c r="L82" s="12" t="n">
        <x:v>4490</x:v>
      </x:c>
      <x:c r="M82" s="8" t="n">
        <x:v>211</x:v>
      </x:c>
      <x:c r="N82" s="12" t="n">
        <x:v>250</x:v>
      </x:c>
      <x:c r="O82" s="8" t="n">
        <x:v>0</x:v>
      </x:c>
      <x:c r="P82" s="8" t="n">
        <x:v>8</x:v>
      </x:c>
      <x:c r="Q82" s="8" t="n">
        <x:v>4</x:v>
      </x:c>
      <x:c r="R82" s="8" t="n">
        <x:v>12</x:v>
      </x:c>
      <x:c r="S82" s="8" t="n">
        <x:v>0</x:v>
      </x:c>
      <x:c r="T82" s="8" t="n">
        <x:v>1</x:v>
      </x:c>
      <x:c r="U82" s="12" t="n">
        <x:v>0</x:v>
      </x:c>
      <x:c r="V82" s="8" t="n">
        <x:v>1</x:v>
      </x:c>
      <x:c r="W82" s="8" t="n">
        <x:v>230</x:v>
      </x:c>
      <x:c r="X82" s="12" t="n">
        <x:v>90000</x:v>
      </x:c>
      <x:c r="Y82" s="21"/>
      <x:c r="Z82" s="24" t="n">
        <x:f>IF($A82="","",INDEX(Settings!$C$29:$C$33,MATCH(E82,Settings!$A$29:$A$33,0)))</x:f>
        <x:v>4200</x:v>
      </x:c>
      <x:c r="AA82" s="22" t="n">
        <x:f>IF($A82="","",G82/Z82)</x:f>
        <x:v>1.069047619047619</x:v>
      </x:c>
      <x:c r="AB82" s="25" t="n">
        <x:f>IF($A82="","",IF(ISNUMBER(Y82),Y82,Settings!$B$10))</x:f>
        <x:v>0.03</x:v>
      </x:c>
      <x:c r="AC82" s="23" t="n">
        <x:f>IF($A82="","",G82*(1+AB82))</x:f>
        <x:v>4624.7</x:v>
      </x:c>
      <x:c r="AD82" s="23" t="n">
        <x:f>IF($A82="","",G82*F82*12)</x:f>
        <x:v>53880</x:v>
      </x:c>
      <x:c r="AE82" s="23" t="n">
        <x:f>IF($A82="","",G82*F82*J82)</x:f>
        <x:v>4490</x:v>
      </x:c>
      <x:c r="AF82" s="24" t="n">
        <x:f>IF($A82="","",L82*F82*K82*Settings!$B$13)</x:f>
        <x:v>4130.8</x:v>
      </x:c>
      <x:c r="AG82" s="23" t="n">
        <x:f>IF($A82="","",AD82*H82*I82)</x:f>
        <x:v>4310.4</x:v>
      </x:c>
      <x:c r="AH82" s="24" t="n">
        <x:f>IF($A82="","",SUM(AD82:AE82,AG82)*SUM(Settings!$B$11:$B$12))</x:f>
        <x:v>15670.1</x:v>
      </x:c>
      <x:c r="AI82" s="24" t="n">
        <x:f>IF($A82="","",M82*Settings!$B$16)</x:f>
        <x:v>1880.01</x:v>
      </x:c>
      <x:c r="AJ82" s="24" t="n">
        <x:f>IF($A82="","",M82*Settings!$B$15)</x:f>
        <x:v>229.99</x:v>
      </x:c>
      <x:c r="AK82" s="24" t="n">
        <x:f>IF($A82="","",O82*Settings!$B$18)</x:f>
        <x:v>0</x:v>
      </x:c>
      <x:c r="AL82" s="24" t="n">
        <x:f>IF($A82="","",P82*Settings!$B$20+Q82*Settings!$B$21+R82*Settings!$B$22+S82*Settings!$B$23)</x:f>
        <x:v>2184.76</x:v>
      </x:c>
      <x:c r="AM82" s="24" t="n">
        <x:f>IF($A82="","",T82*Settings!$B$24)</x:f>
        <x:v>40</x:v>
      </x:c>
      <x:c r="AN82" s="23" t="n">
        <x:f>IF($A82="","",SUM(AI82,N82,AK82:AM82,U82))</x:f>
        <x:v>4354.77</x:v>
      </x:c>
      <x:c r="AO82" s="23" t="n">
        <x:f>IF($A82="","",SUM(AD82:AI82,N82,AK82:AM82,U82))</x:f>
        <x:v>86836.06999999999</x:v>
      </x:c>
      <x:c r="AP82" s="24" t="n">
        <x:f>IF($A82="","",G82*F82*AB82*((13-Settings!$B$9)*(1+H82*I82)+J82)*(1+SUM(Settings!$B$11:$B$12)))</x:f>
        <x:v>1804.98</x:v>
      </x:c>
      <x:c r="AQ82" s="23" t="n">
        <x:f>IF($A82="","",SUM(AO82:AP82))</x:f>
        <x:v>88641.04999999999</x:v>
      </x:c>
      <x:c r="AR82" s="23" t="n">
        <x:f>IF($A82="","",AQ82-X82)</x:f>
        <x:v>-1358.9500000000116</x:v>
      </x:c>
      <x:c r="AS82" s="22" t="n">
        <x:f>IF($A82="","",IF(W82=0,"n.a.",V82/W82))</x:f>
        <x:v>0.004347826086956522</x:v>
      </x:c>
      <x:c r="AT82" s="26" t="str">
        <x:f>IF($A82="",IF(COUNTA(B82:Y82)&gt;0,"Missing ID",""),IF(COUNTIFS($A$9:$A$508,A82)&gt;1,"Duplicate ID",IF(OR(B82="",C82="",D82="",E82="",COUNT(F82:X82)&lt;&gt;19),"Missing / text input",IF(OR(COUNTIFS(Settings!$A$59:$A$64,B82)&lt;&gt;1,COUNTIFS(Settings!$A$29:$A$33,E82)&lt;&gt;1),"Unknown department / grade",IF(OR(F82&lt;=0,F82&gt;1,G82&lt;=0,L82&lt;=0,H82&lt;0,I82&lt;0,J82&lt;0,K82&lt;0,K82&gt;1,MIN(M82:X82)&lt;0,W82=0,V82&gt;W82,M82&gt;W82-V82,P82&gt;8,Q82&gt;4,R82&gt;12,S82&gt;12,T82&gt;1,AB82&lt;0),"Review quantity / rate",IF(OR(N82&gt;Settings!$C$17,AK82&gt;Settings!$C$19),"Review benefit ceiling","OK"))))))</x:f>
        <x:v>OK</x:v>
      </x:c>
    </x:row>
    <x:row r="83" ht="23" customHeight="1">
      <x:c r="A83" s="8" t="str">
        <x:v>BE-0075</x:v>
      </x:c>
      <x:c r="B83" s="8" t="str">
        <x:v>Technology</x:v>
      </x:c>
      <x:c r="C83" s="8" t="str">
        <x:v>Ghent</x:v>
      </x:c>
      <x:c r="D83" s="8" t="str">
        <x:v>Senior engineer</x:v>
      </x:c>
      <x:c r="E83" s="8" t="str">
        <x:v>G3</x:v>
      </x:c>
      <x:c r="F83" s="20" t="n">
        <x:v>1</x:v>
      </x:c>
      <x:c r="G83" s="12" t="n">
        <x:v>4370</x:v>
      </x:c>
      <x:c r="H83" s="21" t="n">
        <x:v>0.08</x:v>
      </x:c>
      <x:c r="I83" s="20" t="n">
        <x:v>1.1</x:v>
      </x:c>
      <x:c r="J83" s="20" t="n">
        <x:v>1</x:v>
      </x:c>
      <x:c r="K83" s="20" t="n">
        <x:v>1</x:v>
      </x:c>
      <x:c r="L83" s="12" t="n">
        <x:v>4370</x:v>
      </x:c>
      <x:c r="M83" s="8" t="n">
        <x:v>210</x:v>
      </x:c>
      <x:c r="N83" s="12" t="n">
        <x:v>250</x:v>
      </x:c>
      <x:c r="O83" s="8" t="n">
        <x:v>0</x:v>
      </x:c>
      <x:c r="P83" s="8" t="n">
        <x:v>8</x:v>
      </x:c>
      <x:c r="Q83" s="8" t="n">
        <x:v>4</x:v>
      </x:c>
      <x:c r="R83" s="8" t="n">
        <x:v>12</x:v>
      </x:c>
      <x:c r="S83" s="8" t="n">
        <x:v>0</x:v>
      </x:c>
      <x:c r="T83" s="8" t="n">
        <x:v>1</x:v>
      </x:c>
      <x:c r="U83" s="12" t="n">
        <x:v>0</x:v>
      </x:c>
      <x:c r="V83" s="8" t="n">
        <x:v>2</x:v>
      </x:c>
      <x:c r="W83" s="8" t="n">
        <x:v>230</x:v>
      </x:c>
      <x:c r="X83" s="12" t="n">
        <x:v>88200</x:v>
      </x:c>
      <x:c r="Y83" s="21"/>
      <x:c r="Z83" s="24" t="n">
        <x:f>IF($A83="","",INDEX(Settings!$C$29:$C$33,MATCH(E83,Settings!$A$29:$A$33,0)))</x:f>
        <x:v>4200</x:v>
      </x:c>
      <x:c r="AA83" s="22" t="n">
        <x:f>IF($A83="","",G83/Z83)</x:f>
        <x:v>1.0404761904761906</x:v>
      </x:c>
      <x:c r="AB83" s="25" t="n">
        <x:f>IF($A83="","",IF(ISNUMBER(Y83),Y83,Settings!$B$10))</x:f>
        <x:v>0.03</x:v>
      </x:c>
      <x:c r="AC83" s="23" t="n">
        <x:f>IF($A83="","",G83*(1+AB83))</x:f>
        <x:v>4501.1</x:v>
      </x:c>
      <x:c r="AD83" s="23" t="n">
        <x:f>IF($A83="","",G83*F83*12)</x:f>
        <x:v>52440</x:v>
      </x:c>
      <x:c r="AE83" s="23" t="n">
        <x:f>IF($A83="","",G83*F83*J83)</x:f>
        <x:v>4370</x:v>
      </x:c>
      <x:c r="AF83" s="24" t="n">
        <x:f>IF($A83="","",L83*F83*K83*Settings!$B$13)</x:f>
        <x:v>4020.4</x:v>
      </x:c>
      <x:c r="AG83" s="23" t="n">
        <x:f>IF($A83="","",AD83*H83*I83)</x:f>
        <x:v>4614.72</x:v>
      </x:c>
      <x:c r="AH83" s="24" t="n">
        <x:f>IF($A83="","",SUM(AD83:AE83,AG83)*SUM(Settings!$B$11:$B$12))</x:f>
        <x:v>15356.18</x:v>
      </x:c>
      <x:c r="AI83" s="24" t="n">
        <x:f>IF($A83="","",M83*Settings!$B$16)</x:f>
        <x:v>1871.1000000000001</x:v>
      </x:c>
      <x:c r="AJ83" s="24" t="n">
        <x:f>IF($A83="","",M83*Settings!$B$15)</x:f>
        <x:v>228.9</x:v>
      </x:c>
      <x:c r="AK83" s="24" t="n">
        <x:f>IF($A83="","",O83*Settings!$B$18)</x:f>
        <x:v>0</x:v>
      </x:c>
      <x:c r="AL83" s="24" t="n">
        <x:f>IF($A83="","",P83*Settings!$B$20+Q83*Settings!$B$21+R83*Settings!$B$22+S83*Settings!$B$23)</x:f>
        <x:v>2184.76</x:v>
      </x:c>
      <x:c r="AM83" s="24" t="n">
        <x:f>IF($A83="","",T83*Settings!$B$24)</x:f>
        <x:v>40</x:v>
      </x:c>
      <x:c r="AN83" s="23" t="n">
        <x:f>IF($A83="","",SUM(AI83,N83,AK83:AM83,U83))</x:f>
        <x:v>4345.860000000001</x:v>
      </x:c>
      <x:c r="AO83" s="23" t="n">
        <x:f>IF($A83="","",SUM(AD83:AI83,N83,AK83:AM83,U83))</x:f>
        <x:v>85147.16</x:v>
      </x:c>
      <x:c r="AP83" s="24" t="n">
        <x:f>IF($A83="","",G83*F83*AB83*((13-Settings!$B$9)*(1+H83*I83)+J83)*(1+SUM(Settings!$B$11:$B$12)))</x:f>
        <x:v>1768.5390000000002</x:v>
      </x:c>
      <x:c r="AQ83" s="23" t="n">
        <x:f>IF($A83="","",SUM(AO83:AP83))</x:f>
        <x:v>86915.69900000001</x:v>
      </x:c>
      <x:c r="AR83" s="23" t="n">
        <x:f>IF($A83="","",AQ83-X83)</x:f>
        <x:v>-1284.3009999999922</x:v>
      </x:c>
      <x:c r="AS83" s="22" t="n">
        <x:f>IF($A83="","",IF(W83=0,"n.a.",V83/W83))</x:f>
        <x:v>0.008695652173913044</x:v>
      </x:c>
      <x:c r="AT83" s="26" t="str">
        <x:f>IF($A83="",IF(COUNTA(B83:Y83)&gt;0,"Missing ID",""),IF(COUNTIFS($A$9:$A$508,A83)&gt;1,"Duplicate ID",IF(OR(B83="",C83="",D83="",E83="",COUNT(F83:X83)&lt;&gt;19),"Missing / text input",IF(OR(COUNTIFS(Settings!$A$59:$A$64,B83)&lt;&gt;1,COUNTIFS(Settings!$A$29:$A$33,E83)&lt;&gt;1),"Unknown department / grade",IF(OR(F83&lt;=0,F83&gt;1,G83&lt;=0,L83&lt;=0,H83&lt;0,I83&lt;0,J83&lt;0,K83&lt;0,K83&gt;1,MIN(M83:X83)&lt;0,W83=0,V83&gt;W83,M83&gt;W83-V83,P83&gt;8,Q83&gt;4,R83&gt;12,S83&gt;12,T83&gt;1,AB83&lt;0),"Review quantity / rate",IF(OR(N83&gt;Settings!$C$17,AK83&gt;Settings!$C$19),"Review benefit ceiling","OK"))))))</x:f>
        <x:v>OK</x:v>
      </x:c>
    </x:row>
    <x:row r="84" ht="23" customHeight="1">
      <x:c r="A84" s="8" t="str">
        <x:v>BE-0076</x:v>
      </x:c>
      <x:c r="B84" s="8" t="str">
        <x:v>Sales</x:v>
      </x:c>
      <x:c r="C84" s="8" t="str">
        <x:v>Brussels</x:v>
      </x:c>
      <x:c r="D84" s="8" t="str">
        <x:v>Senior account manager</x:v>
      </x:c>
      <x:c r="E84" s="8" t="str">
        <x:v>G3</x:v>
      </x:c>
      <x:c r="F84" s="20" t="n">
        <x:v>1</x:v>
      </x:c>
      <x:c r="G84" s="12" t="n">
        <x:v>4550</x:v>
      </x:c>
      <x:c r="H84" s="21" t="n">
        <x:v>0.08</x:v>
      </x:c>
      <x:c r="I84" s="20" t="n">
        <x:v>0.8</x:v>
      </x:c>
      <x:c r="J84" s="20" t="n">
        <x:v>1</x:v>
      </x:c>
      <x:c r="K84" s="20" t="n">
        <x:v>1</x:v>
      </x:c>
      <x:c r="L84" s="12" t="n">
        <x:v>4550</x:v>
      </x:c>
      <x:c r="M84" s="8" t="n">
        <x:v>209</x:v>
      </x:c>
      <x:c r="N84" s="12" t="n">
        <x:v>250</x:v>
      </x:c>
      <x:c r="O84" s="8" t="n">
        <x:v>2280</x:v>
      </x:c>
      <x:c r="P84" s="8" t="n">
        <x:v>8</x:v>
      </x:c>
      <x:c r="Q84" s="8" t="n">
        <x:v>4</x:v>
      </x:c>
      <x:c r="R84" s="8" t="n">
        <x:v>12</x:v>
      </x:c>
      <x:c r="S84" s="8" t="n">
        <x:v>12</x:v>
      </x:c>
      <x:c r="T84" s="8" t="n">
        <x:v>1</x:v>
      </x:c>
      <x:c r="U84" s="12" t="n">
        <x:v>0</x:v>
      </x:c>
      <x:c r="V84" s="8" t="n">
        <x:v>3</x:v>
      </x:c>
      <x:c r="W84" s="8" t="n">
        <x:v>230</x:v>
      </x:c>
      <x:c r="X84" s="12" t="n">
        <x:v>88400</x:v>
      </x:c>
      <x:c r="Y84" s="21"/>
      <x:c r="Z84" s="24" t="n">
        <x:f>IF($A84="","",INDEX(Settings!$C$29:$C$33,MATCH(E84,Settings!$A$29:$A$33,0)))</x:f>
        <x:v>4200</x:v>
      </x:c>
      <x:c r="AA84" s="22" t="n">
        <x:f>IF($A84="","",G84/Z84)</x:f>
        <x:v>1.0833333333333333</x:v>
      </x:c>
      <x:c r="AB84" s="25" t="n">
        <x:f>IF($A84="","",IF(ISNUMBER(Y84),Y84,Settings!$B$10))</x:f>
        <x:v>0.03</x:v>
      </x:c>
      <x:c r="AC84" s="23" t="n">
        <x:f>IF($A84="","",G84*(1+AB84))</x:f>
        <x:v>4686.5</x:v>
      </x:c>
      <x:c r="AD84" s="23" t="n">
        <x:f>IF($A84="","",G84*F84*12)</x:f>
        <x:v>54600</x:v>
      </x:c>
      <x:c r="AE84" s="23" t="n">
        <x:f>IF($A84="","",G84*F84*J84)</x:f>
        <x:v>4550</x:v>
      </x:c>
      <x:c r="AF84" s="24" t="n">
        <x:f>IF($A84="","",L84*F84*K84*Settings!$B$13)</x:f>
        <x:v>4186</x:v>
      </x:c>
      <x:c r="AG84" s="23" t="n">
        <x:f>IF($A84="","",AD84*H84*I84)</x:f>
        <x:v>3494.4</x:v>
      </x:c>
      <x:c r="AH84" s="24" t="n">
        <x:f>IF($A84="","",SUM(AD84:AE84,AG84)*SUM(Settings!$B$11:$B$12))</x:f>
        <x:v>15661.1</x:v>
      </x:c>
      <x:c r="AI84" s="24" t="n">
        <x:f>IF($A84="","",M84*Settings!$B$16)</x:f>
        <x:v>1862.19</x:v>
      </x:c>
      <x:c r="AJ84" s="24" t="n">
        <x:f>IF($A84="","",M84*Settings!$B$15)</x:f>
        <x:v>227.81000000000003</x:v>
      </x:c>
      <x:c r="AK84" s="24" t="n">
        <x:f>IF($A84="","",O84*Settings!$B$18)</x:f>
        <x:v>843.6</x:v>
      </x:c>
      <x:c r="AL84" s="24" t="n">
        <x:f>IF($A84="","",P84*Settings!$B$20+Q84*Settings!$B$21+R84*Settings!$B$22+S84*Settings!$B$23)</x:f>
        <x:v>2424.76</x:v>
      </x:c>
      <x:c r="AM84" s="24" t="n">
        <x:f>IF($A84="","",T84*Settings!$B$24)</x:f>
        <x:v>40</x:v>
      </x:c>
      <x:c r="AN84" s="23" t="n">
        <x:f>IF($A84="","",SUM(AI84,N84,AK84:AM84,U84))</x:f>
        <x:v>5420.55</x:v>
      </x:c>
      <x:c r="AO84" s="23" t="n">
        <x:f>IF($A84="","",SUM(AD84:AI84,N84,AK84:AM84,U84))</x:f>
        <x:v>87912.05</x:v>
      </x:c>
      <x:c r="AP84" s="24" t="n">
        <x:f>IF($A84="","",G84*F84*AB84*((13-Settings!$B$9)*(1+H84*I84)+J84)*(1+SUM(Settings!$B$11:$B$12)))</x:f>
        <x:v>1804.53</x:v>
      </x:c>
      <x:c r="AQ84" s="23" t="n">
        <x:f>IF($A84="","",SUM(AO84:AP84))</x:f>
        <x:v>89716.58</x:v>
      </x:c>
      <x:c r="AR84" s="23" t="n">
        <x:f>IF($A84="","",AQ84-X84)</x:f>
        <x:v>1316.5800000000017</x:v>
      </x:c>
      <x:c r="AS84" s="22" t="n">
        <x:f>IF($A84="","",IF(W84=0,"n.a.",V84/W84))</x:f>
        <x:v>0.013043478260869565</x:v>
      </x:c>
      <x:c r="AT84" s="26" t="str">
        <x:f>IF($A84="",IF(COUNTA(B84:Y84)&gt;0,"Missing ID",""),IF(COUNTIFS($A$9:$A$508,A84)&gt;1,"Duplicate ID",IF(OR(B84="",C84="",D84="",E84="",COUNT(F84:X84)&lt;&gt;19),"Missing / text input",IF(OR(COUNTIFS(Settings!$A$59:$A$64,B84)&lt;&gt;1,COUNTIFS(Settings!$A$29:$A$33,E84)&lt;&gt;1),"Unknown department / grade",IF(OR(F84&lt;=0,F84&gt;1,G84&lt;=0,L84&lt;=0,H84&lt;0,I84&lt;0,J84&lt;0,K84&lt;0,K84&gt;1,MIN(M84:X84)&lt;0,W84=0,V84&gt;W84,M84&gt;W84-V84,P84&gt;8,Q84&gt;4,R84&gt;12,S84&gt;12,T84&gt;1,AB84&lt;0),"Review quantity / rate",IF(OR(N84&gt;Settings!$C$17,AK84&gt;Settings!$C$19),"Review benefit ceiling","OK"))))))</x:f>
        <x:v>OK</x:v>
      </x:c>
    </x:row>
    <x:row r="85" ht="23" customHeight="1">
      <x:c r="A85" s="8" t="str">
        <x:v>BE-0077</x:v>
      </x:c>
      <x:c r="B85" s="8" t="str">
        <x:v>Customer Operations</x:v>
      </x:c>
      <x:c r="C85" s="8" t="str">
        <x:v>Antwerp</x:v>
      </x:c>
      <x:c r="D85" s="8" t="str">
        <x:v>Senior service specialist</x:v>
      </x:c>
      <x:c r="E85" s="8" t="str">
        <x:v>G3</x:v>
      </x:c>
      <x:c r="F85" s="20" t="n">
        <x:v>1</x:v>
      </x:c>
      <x:c r="G85" s="12" t="n">
        <x:v>3920</x:v>
      </x:c>
      <x:c r="H85" s="21" t="n">
        <x:v>0.08</x:v>
      </x:c>
      <x:c r="I85" s="20" t="n">
        <x:v>1</x:v>
      </x:c>
      <x:c r="J85" s="20" t="n">
        <x:v>1</x:v>
      </x:c>
      <x:c r="K85" s="20" t="n">
        <x:v>1</x:v>
      </x:c>
      <x:c r="L85" s="12" t="n">
        <x:v>3920</x:v>
      </x:c>
      <x:c r="M85" s="8" t="n">
        <x:v>208</x:v>
      </x:c>
      <x:c r="N85" s="12" t="n">
        <x:v>250</x:v>
      </x:c>
      <x:c r="O85" s="8" t="n">
        <x:v>0</x:v>
      </x:c>
      <x:c r="P85" s="8" t="n">
        <x:v>0</x:v>
      </x:c>
      <x:c r="Q85" s="8" t="n">
        <x:v>0</x:v>
      </x:c>
      <x:c r="R85" s="8" t="n">
        <x:v>0</x:v>
      </x:c>
      <x:c r="S85" s="8" t="n">
        <x:v>0</x:v>
      </x:c>
      <x:c r="T85" s="8" t="n">
        <x:v>1</x:v>
      </x:c>
      <x:c r="U85" s="12" t="n">
        <x:v>0</x:v>
      </x:c>
      <x:c r="V85" s="8" t="n">
        <x:v>4</x:v>
      </x:c>
      <x:c r="W85" s="8" t="n">
        <x:v>230</x:v>
      </x:c>
      <x:c r="X85" s="12" t="n">
        <x:v>76900</x:v>
      </x:c>
      <x:c r="Y85" s="21"/>
      <x:c r="Z85" s="24" t="n">
        <x:f>IF($A85="","",INDEX(Settings!$C$29:$C$33,MATCH(E85,Settings!$A$29:$A$33,0)))</x:f>
        <x:v>4200</x:v>
      </x:c>
      <x:c r="AA85" s="22" t="n">
        <x:f>IF($A85="","",G85/Z85)</x:f>
        <x:v>0.9333333333333333</x:v>
      </x:c>
      <x:c r="AB85" s="25" t="n">
        <x:f>IF($A85="","",IF(ISNUMBER(Y85),Y85,Settings!$B$10))</x:f>
        <x:v>0.03</x:v>
      </x:c>
      <x:c r="AC85" s="23" t="n">
        <x:f>IF($A85="","",G85*(1+AB85))</x:f>
        <x:v>4037.6</x:v>
      </x:c>
      <x:c r="AD85" s="23" t="n">
        <x:f>IF($A85="","",G85*F85*12)</x:f>
        <x:v>47040</x:v>
      </x:c>
      <x:c r="AE85" s="23" t="n">
        <x:f>IF($A85="","",G85*F85*J85)</x:f>
        <x:v>3920</x:v>
      </x:c>
      <x:c r="AF85" s="24" t="n">
        <x:f>IF($A85="","",L85*F85*K85*Settings!$B$13)</x:f>
        <x:v>3606.4</x:v>
      </x:c>
      <x:c r="AG85" s="23" t="n">
        <x:f>IF($A85="","",AD85*H85*I85)</x:f>
        <x:v>3763.2000000000003</x:v>
      </x:c>
      <x:c r="AH85" s="24" t="n">
        <x:f>IF($A85="","",SUM(AD85:AE85,AG85)*SUM(Settings!$B$11:$B$12))</x:f>
        <x:v>13680.8</x:v>
      </x:c>
      <x:c r="AI85" s="24" t="n">
        <x:f>IF($A85="","",M85*Settings!$B$16)</x:f>
        <x:v>1853.28</x:v>
      </x:c>
      <x:c r="AJ85" s="24" t="n">
        <x:f>IF($A85="","",M85*Settings!$B$15)</x:f>
        <x:v>226.72000000000003</x:v>
      </x:c>
      <x:c r="AK85" s="24" t="n">
        <x:f>IF($A85="","",O85*Settings!$B$18)</x:f>
        <x:v>0</x:v>
      </x:c>
      <x:c r="AL85" s="24" t="n">
        <x:f>IF($A85="","",P85*Settings!$B$20+Q85*Settings!$B$21+R85*Settings!$B$22+S85*Settings!$B$23)</x:f>
        <x:v>0</x:v>
      </x:c>
      <x:c r="AM85" s="24" t="n">
        <x:f>IF($A85="","",T85*Settings!$B$24)</x:f>
        <x:v>40</x:v>
      </x:c>
      <x:c r="AN85" s="23" t="n">
        <x:f>IF($A85="","",SUM(AI85,N85,AK85:AM85,U85))</x:f>
        <x:v>2143.2799999999997</x:v>
      </x:c>
      <x:c r="AO85" s="23" t="n">
        <x:f>IF($A85="","",SUM(AD85:AI85,N85,AK85:AM85,U85))</x:f>
        <x:v>74153.68</x:v>
      </x:c>
      <x:c r="AP85" s="24" t="n">
        <x:f>IF($A85="","",G85*F85*AB85*((13-Settings!$B$9)*(1+H85*I85)+J85)*(1+SUM(Settings!$B$11:$B$12)))</x:f>
        <x:v>1575.8400000000001</x:v>
      </x:c>
      <x:c r="AQ85" s="23" t="n">
        <x:f>IF($A85="","",SUM(AO85:AP85))</x:f>
        <x:v>75729.51999999999</x:v>
      </x:c>
      <x:c r="AR85" s="23" t="n">
        <x:f>IF($A85="","",AQ85-X85)</x:f>
        <x:v>-1170.4800000000105</x:v>
      </x:c>
      <x:c r="AS85" s="22" t="n">
        <x:f>IF($A85="","",IF(W85=0,"n.a.",V85/W85))</x:f>
        <x:v>0.017391304347826087</x:v>
      </x:c>
      <x:c r="AT85" s="26" t="str">
        <x:f>IF($A85="",IF(COUNTA(B85:Y85)&gt;0,"Missing ID",""),IF(COUNTIFS($A$9:$A$508,A85)&gt;1,"Duplicate ID",IF(OR(B85="",C85="",D85="",E85="",COUNT(F85:X85)&lt;&gt;19),"Missing / text input",IF(OR(COUNTIFS(Settings!$A$59:$A$64,B85)&lt;&gt;1,COUNTIFS(Settings!$A$29:$A$33,E85)&lt;&gt;1),"Unknown department / grade",IF(OR(F85&lt;=0,F85&gt;1,G85&lt;=0,L85&lt;=0,H85&lt;0,I85&lt;0,J85&lt;0,K85&lt;0,K85&gt;1,MIN(M85:X85)&lt;0,W85=0,V85&gt;W85,M85&gt;W85-V85,P85&gt;8,Q85&gt;4,R85&gt;12,S85&gt;12,T85&gt;1,AB85&lt;0),"Review quantity / rate",IF(OR(N85&gt;Settings!$C$17,AK85&gt;Settings!$C$19),"Review benefit ceiling","OK"))))))</x:f>
        <x:v>OK</x:v>
      </x:c>
    </x:row>
    <x:row r="86" ht="23" customHeight="1">
      <x:c r="A86" s="8" t="str">
        <x:v>BE-0078</x:v>
      </x:c>
      <x:c r="B86" s="8" t="str">
        <x:v>Business Support</x:v>
      </x:c>
      <x:c r="C86" s="8" t="str">
        <x:v>Ghent</x:v>
      </x:c>
      <x:c r="D86" s="8" t="str">
        <x:v>Support manager</x:v>
      </x:c>
      <x:c r="E86" s="8" t="str">
        <x:v>G4</x:v>
      </x:c>
      <x:c r="F86" s="20" t="n">
        <x:v>0.8</x:v>
      </x:c>
      <x:c r="G86" s="12" t="n">
        <x:v>5870</x:v>
      </x:c>
      <x:c r="H86" s="21" t="n">
        <x:v>0.12</x:v>
      </x:c>
      <x:c r="I86" s="20" t="n">
        <x:v>1.1</x:v>
      </x:c>
      <x:c r="J86" s="20" t="n">
        <x:v>1</x:v>
      </x:c>
      <x:c r="K86" s="20" t="n">
        <x:v>1</x:v>
      </x:c>
      <x:c r="L86" s="12" t="n">
        <x:v>5870</x:v>
      </x:c>
      <x:c r="M86" s="8" t="n">
        <x:v>171</x:v>
      </x:c>
      <x:c r="N86" s="12" t="n">
        <x:v>200</x:v>
      </x:c>
      <x:c r="O86" s="8" t="n">
        <x:v>0</x:v>
      </x:c>
      <x:c r="P86" s="8" t="n">
        <x:v>8</x:v>
      </x:c>
      <x:c r="Q86" s="8" t="n">
        <x:v>4</x:v>
      </x:c>
      <x:c r="R86" s="8" t="n">
        <x:v>12</x:v>
      </x:c>
      <x:c r="S86" s="8" t="n">
        <x:v>0</x:v>
      </x:c>
      <x:c r="T86" s="8" t="n">
        <x:v>1</x:v>
      </x:c>
      <x:c r="U86" s="12" t="n">
        <x:v>0</x:v>
      </x:c>
      <x:c r="V86" s="8" t="n">
        <x:v>5</x:v>
      </x:c>
      <x:c r="W86" s="8" t="n">
        <x:v>184</x:v>
      </x:c>
      <x:c r="X86" s="12" t="n">
        <x:v>95300</x:v>
      </x:c>
      <x:c r="Y86" s="21" t="n">
        <x:v>0</x:v>
      </x:c>
      <x:c r="Z86" s="24" t="n">
        <x:f>IF($A86="","",INDEX(Settings!$C$29:$C$33,MATCH(E86,Settings!$A$29:$A$33,0)))</x:f>
        <x:v>5400</x:v>
      </x:c>
      <x:c r="AA86" s="22" t="n">
        <x:f>IF($A86="","",G86/Z86)</x:f>
        <x:v>1.087037037037037</x:v>
      </x:c>
      <x:c r="AB86" s="25" t="n">
        <x:f>IF($A86="","",IF(ISNUMBER(Y86),Y86,Settings!$B$10))</x:f>
        <x:v>0</x:v>
      </x:c>
      <x:c r="AC86" s="23" t="n">
        <x:f>IF($A86="","",G86*(1+AB86))</x:f>
        <x:v>5870</x:v>
      </x:c>
      <x:c r="AD86" s="23" t="n">
        <x:f>IF($A86="","",G86*F86*12)</x:f>
        <x:v>56352</x:v>
      </x:c>
      <x:c r="AE86" s="23" t="n">
        <x:f>IF($A86="","",G86*F86*J86)</x:f>
        <x:v>4696</x:v>
      </x:c>
      <x:c r="AF86" s="24" t="n">
        <x:f>IF($A86="","",L86*F86*K86*Settings!$B$13)</x:f>
        <x:v>4320.320000000001</x:v>
      </x:c>
      <x:c r="AG86" s="23" t="n">
        <x:f>IF($A86="","",AD86*H86*I86)</x:f>
        <x:v>7438.464</x:v>
      </x:c>
      <x:c r="AH86" s="24" t="n">
        <x:f>IF($A86="","",SUM(AD86:AE86,AG86)*SUM(Settings!$B$11:$B$12))</x:f>
        <x:v>17121.616</x:v>
      </x:c>
      <x:c r="AI86" s="24" t="n">
        <x:f>IF($A86="","",M86*Settings!$B$16)</x:f>
        <x:v>1523.6100000000001</x:v>
      </x:c>
      <x:c r="AJ86" s="24" t="n">
        <x:f>IF($A86="","",M86*Settings!$B$15)</x:f>
        <x:v>186.39000000000001</x:v>
      </x:c>
      <x:c r="AK86" s="24" t="n">
        <x:f>IF($A86="","",O86*Settings!$B$18)</x:f>
        <x:v>0</x:v>
      </x:c>
      <x:c r="AL86" s="24" t="n">
        <x:f>IF($A86="","",P86*Settings!$B$20+Q86*Settings!$B$21+R86*Settings!$B$22+S86*Settings!$B$23)</x:f>
        <x:v>2184.76</x:v>
      </x:c>
      <x:c r="AM86" s="24" t="n">
        <x:f>IF($A86="","",T86*Settings!$B$24)</x:f>
        <x:v>40</x:v>
      </x:c>
      <x:c r="AN86" s="23" t="n">
        <x:f>IF($A86="","",SUM(AI86,N86,AK86:AM86,U86))</x:f>
        <x:v>3948.3700000000003</x:v>
      </x:c>
      <x:c r="AO86" s="23" t="n">
        <x:f>IF($A86="","",SUM(AD86:AI86,N86,AK86:AM86,U86))</x:f>
        <x:v>93876.76999999999</x:v>
      </x:c>
      <x:c r="AP86" s="24" t="n">
        <x:f>IF($A86="","",G86*F86*AB86*((13-Settings!$B$9)*(1+H86*I86)+J86)*(1+SUM(Settings!$B$11:$B$12)))</x:f>
        <x:v>0</x:v>
      </x:c>
      <x:c r="AQ86" s="23" t="n">
        <x:f>IF($A86="","",SUM(AO86:AP86))</x:f>
        <x:v>93876.76999999999</x:v>
      </x:c>
      <x:c r="AR86" s="23" t="n">
        <x:f>IF($A86="","",AQ86-X86)</x:f>
        <x:v>-1423.2300000000105</x:v>
      </x:c>
      <x:c r="AS86" s="22" t="n">
        <x:f>IF($A86="","",IF(W86=0,"n.a.",V86/W86))</x:f>
        <x:v>0.02717391304347826</x:v>
      </x:c>
      <x:c r="AT86" s="26" t="str">
        <x:f>IF($A86="",IF(COUNTA(B86:Y86)&gt;0,"Missing ID",""),IF(COUNTIFS($A$9:$A$508,A86)&gt;1,"Duplicate ID",IF(OR(B86="",C86="",D86="",E86="",COUNT(F86:X86)&lt;&gt;19),"Missing / text input",IF(OR(COUNTIFS(Settings!$A$59:$A$64,B86)&lt;&gt;1,COUNTIFS(Settings!$A$29:$A$33,E86)&lt;&gt;1),"Unknown department / grade",IF(OR(F86&lt;=0,F86&gt;1,G86&lt;=0,L86&lt;=0,H86&lt;0,I86&lt;0,J86&lt;0,K86&lt;0,K86&gt;1,MIN(M86:X86)&lt;0,W86=0,V86&gt;W86,M86&gt;W86-V86,P86&gt;8,Q86&gt;4,R86&gt;12,S86&gt;12,T86&gt;1,AB86&lt;0),"Review quantity / rate",IF(OR(N86&gt;Settings!$C$17,AK86&gt;Settings!$C$19),"Review benefit ceiling","OK"))))))</x:f>
        <x:v>OK</x:v>
      </x:c>
    </x:row>
    <x:row r="87" ht="23" customHeight="1">
      <x:c r="A87" s="8" t="str">
        <x:v>BE-0079</x:v>
      </x:c>
      <x:c r="B87" s="8" t="str">
        <x:v>Finance</x:v>
      </x:c>
      <x:c r="C87" s="8" t="str">
        <x:v>Brussels</x:v>
      </x:c>
      <x:c r="D87" s="8" t="str">
        <x:v>Finance manager</x:v>
      </x:c>
      <x:c r="E87" s="8" t="str">
        <x:v>G4</x:v>
      </x:c>
      <x:c r="F87" s="20" t="n">
        <x:v>1</x:v>
      </x:c>
      <x:c r="G87" s="12" t="n">
        <x:v>5860</x:v>
      </x:c>
      <x:c r="H87" s="21" t="n">
        <x:v>0.12</x:v>
      </x:c>
      <x:c r="I87" s="20" t="n">
        <x:v>0.8</x:v>
      </x:c>
      <x:c r="J87" s="20" t="n">
        <x:v>1</x:v>
      </x:c>
      <x:c r="K87" s="20" t="n">
        <x:v>1</x:v>
      </x:c>
      <x:c r="L87" s="12" t="n">
        <x:v>5860</x:v>
      </x:c>
      <x:c r="M87" s="8" t="n">
        <x:v>213</x:v>
      </x:c>
      <x:c r="N87" s="12" t="n">
        <x:v>250</x:v>
      </x:c>
      <x:c r="O87" s="8" t="n">
        <x:v>520</x:v>
      </x:c>
      <x:c r="P87" s="8" t="n">
        <x:v>8</x:v>
      </x:c>
      <x:c r="Q87" s="8" t="n">
        <x:v>4</x:v>
      </x:c>
      <x:c r="R87" s="8" t="n">
        <x:v>12</x:v>
      </x:c>
      <x:c r="S87" s="8" t="n">
        <x:v>0</x:v>
      </x:c>
      <x:c r="T87" s="8" t="n">
        <x:v>1</x:v>
      </x:c>
      <x:c r="U87" s="12" t="n">
        <x:v>0</x:v>
      </x:c>
      <x:c r="V87" s="8" t="n">
        <x:v>6</x:v>
      </x:c>
      <x:c r="W87" s="8" t="n">
        <x:v>230</x:v>
      </x:c>
      <x:c r="X87" s="12" t="n">
        <x:v>117700</x:v>
      </x:c>
      <x:c r="Y87" s="21"/>
      <x:c r="Z87" s="24" t="n">
        <x:f>IF($A87="","",INDEX(Settings!$C$29:$C$33,MATCH(E87,Settings!$A$29:$A$33,0)))</x:f>
        <x:v>5400</x:v>
      </x:c>
      <x:c r="AA87" s="22" t="n">
        <x:f>IF($A87="","",G87/Z87)</x:f>
        <x:v>1.0851851851851853</x:v>
      </x:c>
      <x:c r="AB87" s="25" t="n">
        <x:f>IF($A87="","",IF(ISNUMBER(Y87),Y87,Settings!$B$10))</x:f>
        <x:v>0.03</x:v>
      </x:c>
      <x:c r="AC87" s="23" t="n">
        <x:f>IF($A87="","",G87*(1+AB87))</x:f>
        <x:v>6035.8</x:v>
      </x:c>
      <x:c r="AD87" s="23" t="n">
        <x:f>IF($A87="","",G87*F87*12)</x:f>
        <x:v>70320</x:v>
      </x:c>
      <x:c r="AE87" s="23" t="n">
        <x:f>IF($A87="","",G87*F87*J87)</x:f>
        <x:v>5860</x:v>
      </x:c>
      <x:c r="AF87" s="24" t="n">
        <x:f>IF($A87="","",L87*F87*K87*Settings!$B$13)</x:f>
        <x:v>5391.2</x:v>
      </x:c>
      <x:c r="AG87" s="23" t="n">
        <x:f>IF($A87="","",AD87*H87*I87)</x:f>
        <x:v>6750.72</x:v>
      </x:c>
      <x:c r="AH87" s="24" t="n">
        <x:f>IF($A87="","",SUM(AD87:AE87,AG87)*SUM(Settings!$B$11:$B$12))</x:f>
        <x:v>20732.68</x:v>
      </x:c>
      <x:c r="AI87" s="24" t="n">
        <x:f>IF($A87="","",M87*Settings!$B$16)</x:f>
        <x:v>1897.83</x:v>
      </x:c>
      <x:c r="AJ87" s="24" t="n">
        <x:f>IF($A87="","",M87*Settings!$B$15)</x:f>
        <x:v>232.17000000000002</x:v>
      </x:c>
      <x:c r="AK87" s="24" t="n">
        <x:f>IF($A87="","",O87*Settings!$B$18)</x:f>
        <x:v>192.4</x:v>
      </x:c>
      <x:c r="AL87" s="24" t="n">
        <x:f>IF($A87="","",P87*Settings!$B$20+Q87*Settings!$B$21+R87*Settings!$B$22+S87*Settings!$B$23)</x:f>
        <x:v>2184.76</x:v>
      </x:c>
      <x:c r="AM87" s="24" t="n">
        <x:f>IF($A87="","",T87*Settings!$B$24)</x:f>
        <x:v>40</x:v>
      </x:c>
      <x:c r="AN87" s="23" t="n">
        <x:f>IF($A87="","",SUM(AI87,N87,AK87:AM87,U87))</x:f>
        <x:v>4564.99</x:v>
      </x:c>
      <x:c r="AO87" s="23" t="n">
        <x:f>IF($A87="","",SUM(AD87:AI87,N87,AK87:AM87,U87))</x:f>
        <x:v>113619.59000000001</x:v>
      </x:c>
      <x:c r="AP87" s="24" t="n">
        <x:f>IF($A87="","",G87*F87*AB87*((13-Settings!$B$9)*(1+H87*I87)+J87)*(1+SUM(Settings!$B$11:$B$12)))</x:f>
        <x:v>2387.364</x:v>
      </x:c>
      <x:c r="AQ87" s="23" t="n">
        <x:f>IF($A87="","",SUM(AO87:AP87))</x:f>
        <x:v>116006.95400000001</x:v>
      </x:c>
      <x:c r="AR87" s="23" t="n">
        <x:f>IF($A87="","",AQ87-X87)</x:f>
        <x:v>-1693.0459999999875</x:v>
      </x:c>
      <x:c r="AS87" s="22" t="n">
        <x:f>IF($A87="","",IF(W87=0,"n.a.",V87/W87))</x:f>
        <x:v>0.02608695652173913</x:v>
      </x:c>
      <x:c r="AT87" s="26" t="str">
        <x:f>IF($A87="",IF(COUNTA(B87:Y87)&gt;0,"Missing ID",""),IF(COUNTIFS($A$9:$A$508,A87)&gt;1,"Duplicate ID",IF(OR(B87="",C87="",D87="",E87="",COUNT(F87:X87)&lt;&gt;19),"Missing / text input",IF(OR(COUNTIFS(Settings!$A$59:$A$64,B87)&lt;&gt;1,COUNTIFS(Settings!$A$29:$A$33,E87)&lt;&gt;1),"Unknown department / grade",IF(OR(F87&lt;=0,F87&gt;1,G87&lt;=0,L87&lt;=0,H87&lt;0,I87&lt;0,J87&lt;0,K87&lt;0,K87&gt;1,MIN(M87:X87)&lt;0,W87=0,V87&gt;W87,M87&gt;W87-V87,P87&gt;8,Q87&gt;4,R87&gt;12,S87&gt;12,T87&gt;1,AB87&lt;0),"Review quantity / rate",IF(OR(N87&gt;Settings!$C$17,AK87&gt;Settings!$C$19),"Review benefit ceiling","OK"))))))</x:f>
        <x:v>OK</x:v>
      </x:c>
    </x:row>
    <x:row r="88" ht="23" customHeight="1">
      <x:c r="A88" s="8" t="str">
        <x:v>BE-0080</x:v>
      </x:c>
      <x:c r="B88" s="8" t="str">
        <x:v>People &amp; Culture</x:v>
      </x:c>
      <x:c r="C88" s="8" t="str">
        <x:v>Antwerp</x:v>
      </x:c>
      <x:c r="D88" s="8" t="str">
        <x:v>Head of People</x:v>
      </x:c>
      <x:c r="E88" s="8" t="str">
        <x:v>G5</x:v>
      </x:c>
      <x:c r="F88" s="20" t="n">
        <x:v>1</x:v>
      </x:c>
      <x:c r="G88" s="12" t="n">
        <x:v>7250</x:v>
      </x:c>
      <x:c r="H88" s="21" t="n">
        <x:v>0.18</x:v>
      </x:c>
      <x:c r="I88" s="20" t="n">
        <x:v>1</x:v>
      </x:c>
      <x:c r="J88" s="20" t="n">
        <x:v>1</x:v>
      </x:c>
      <x:c r="K88" s="20" t="n">
        <x:v>1</x:v>
      </x:c>
      <x:c r="L88" s="12" t="n">
        <x:v>7250</x:v>
      </x:c>
      <x:c r="M88" s="8" t="n">
        <x:v>212</x:v>
      </x:c>
      <x:c r="N88" s="12" t="n">
        <x:v>250</x:v>
      </x:c>
      <x:c r="O88" s="8" t="n">
        <x:v>0</x:v>
      </x:c>
      <x:c r="P88" s="8" t="n">
        <x:v>8</x:v>
      </x:c>
      <x:c r="Q88" s="8" t="n">
        <x:v>4</x:v>
      </x:c>
      <x:c r="R88" s="8" t="n">
        <x:v>12</x:v>
      </x:c>
      <x:c r="S88" s="8" t="n">
        <x:v>0</x:v>
      </x:c>
      <x:c r="T88" s="8" t="n">
        <x:v>1</x:v>
      </x:c>
      <x:c r="U88" s="12" t="n">
        <x:v>0</x:v>
      </x:c>
      <x:c r="V88" s="8" t="n">
        <x:v>7</x:v>
      </x:c>
      <x:c r="W88" s="8" t="n">
        <x:v>230</x:v>
      </x:c>
      <x:c r="X88" s="12" t="n">
        <x:v>153900</x:v>
      </x:c>
      <x:c r="Y88" s="21"/>
      <x:c r="Z88" s="24" t="n">
        <x:f>IF($A88="","",INDEX(Settings!$C$29:$C$33,MATCH(E88,Settings!$A$29:$A$33,0)))</x:f>
        <x:v>7500</x:v>
      </x:c>
      <x:c r="AA88" s="22" t="n">
        <x:f>IF($A88="","",G88/Z88)</x:f>
        <x:v>0.9666666666666667</x:v>
      </x:c>
      <x:c r="AB88" s="25" t="n">
        <x:f>IF($A88="","",IF(ISNUMBER(Y88),Y88,Settings!$B$10))</x:f>
        <x:v>0.03</x:v>
      </x:c>
      <x:c r="AC88" s="23" t="n">
        <x:f>IF($A88="","",G88*(1+AB88))</x:f>
        <x:v>7467.5</x:v>
      </x:c>
      <x:c r="AD88" s="23" t="n">
        <x:f>IF($A88="","",G88*F88*12)</x:f>
        <x:v>87000</x:v>
      </x:c>
      <x:c r="AE88" s="23" t="n">
        <x:f>IF($A88="","",G88*F88*J88)</x:f>
        <x:v>7250</x:v>
      </x:c>
      <x:c r="AF88" s="24" t="n">
        <x:f>IF($A88="","",L88*F88*K88*Settings!$B$13)</x:f>
        <x:v>6670</x:v>
      </x:c>
      <x:c r="AG88" s="23" t="n">
        <x:f>IF($A88="","",AD88*H88*I88)</x:f>
        <x:v>15660</x:v>
      </x:c>
      <x:c r="AH88" s="24" t="n">
        <x:f>IF($A88="","",SUM(AD88:AE88,AG88)*SUM(Settings!$B$11:$B$12))</x:f>
        <x:v>27477.5</x:v>
      </x:c>
      <x:c r="AI88" s="24" t="n">
        <x:f>IF($A88="","",M88*Settings!$B$16)</x:f>
        <x:v>1888.92</x:v>
      </x:c>
      <x:c r="AJ88" s="24" t="n">
        <x:f>IF($A88="","",M88*Settings!$B$15)</x:f>
        <x:v>231.08</x:v>
      </x:c>
      <x:c r="AK88" s="24" t="n">
        <x:f>IF($A88="","",O88*Settings!$B$18)</x:f>
        <x:v>0</x:v>
      </x:c>
      <x:c r="AL88" s="24" t="n">
        <x:f>IF($A88="","",P88*Settings!$B$20+Q88*Settings!$B$21+R88*Settings!$B$22+S88*Settings!$B$23)</x:f>
        <x:v>2184.76</x:v>
      </x:c>
      <x:c r="AM88" s="24" t="n">
        <x:f>IF($A88="","",T88*Settings!$B$24)</x:f>
        <x:v>40</x:v>
      </x:c>
      <x:c r="AN88" s="23" t="n">
        <x:f>IF($A88="","",SUM(AI88,N88,AK88:AM88,U88))</x:f>
        <x:v>4363.68</x:v>
      </x:c>
      <x:c r="AO88" s="23" t="n">
        <x:f>IF($A88="","",SUM(AD88:AI88,N88,AK88:AM88,U88))</x:f>
        <x:v>148421.18000000002</x:v>
      </x:c>
      <x:c r="AP88" s="24" t="n">
        <x:f>IF($A88="","",G88*F88*AB88*((13-Settings!$B$9)*(1+H88*I88)+J88)*(1+SUM(Settings!$B$11:$B$12)))</x:f>
        <x:v>3159.1875</x:v>
      </x:c>
      <x:c r="AQ88" s="23" t="n">
        <x:f>IF($A88="","",SUM(AO88:AP88))</x:f>
        <x:v>151580.36750000002</x:v>
      </x:c>
      <x:c r="AR88" s="23" t="n">
        <x:f>IF($A88="","",AQ88-X88)</x:f>
        <x:v>-2319.632499999978</x:v>
      </x:c>
      <x:c r="AS88" s="22" t="n">
        <x:f>IF($A88="","",IF(W88=0,"n.a.",V88/W88))</x:f>
        <x:v>0.030434782608695653</x:v>
      </x:c>
      <x:c r="AT88" s="26" t="str">
        <x:f>IF($A88="",IF(COUNTA(B88:Y88)&gt;0,"Missing ID",""),IF(COUNTIFS($A$9:$A$508,A88)&gt;1,"Duplicate ID",IF(OR(B88="",C88="",D88="",E88="",COUNT(F88:X88)&lt;&gt;19),"Missing / text input",IF(OR(COUNTIFS(Settings!$A$59:$A$64,B88)&lt;&gt;1,COUNTIFS(Settings!$A$29:$A$33,E88)&lt;&gt;1),"Unknown department / grade",IF(OR(F88&lt;=0,F88&gt;1,G88&lt;=0,L88&lt;=0,H88&lt;0,I88&lt;0,J88&lt;0,K88&lt;0,K88&gt;1,MIN(M88:X88)&lt;0,W88=0,V88&gt;W88,M88&gt;W88-V88,P88&gt;8,Q88&gt;4,R88&gt;12,S88&gt;12,T88&gt;1,AB88&lt;0),"Review quantity / rate",IF(OR(N88&gt;Settings!$C$17,AK88&gt;Settings!$C$19),"Review benefit ceiling","OK"))))))</x:f>
        <x:v>OK</x:v>
      </x:c>
    </x:row>
    <x:row r="89" ht="23" customHeight="1">
      <x:c r="A89" s="8" t="str">
        <x:v>BE-0081</x:v>
      </x:c>
      <x:c r="B89" s="8" t="str">
        <x:v>Technology</x:v>
      </x:c>
      <x:c r="C89" s="8" t="str">
        <x:v>Ghent</x:v>
      </x:c>
      <x:c r="D89" s="8" t="str">
        <x:v>IT coordinator</x:v>
      </x:c>
      <x:c r="E89" s="8" t="str">
        <x:v>G1</x:v>
      </x:c>
      <x:c r="F89" s="20" t="n">
        <x:v>1</x:v>
      </x:c>
      <x:c r="G89" s="12" t="n">
        <x:v>2600</x:v>
      </x:c>
      <x:c r="H89" s="21" t="n">
        <x:v>0.03</x:v>
      </x:c>
      <x:c r="I89" s="20" t="n">
        <x:v>1.1</x:v>
      </x:c>
      <x:c r="J89" s="20" t="n">
        <x:v>1</x:v>
      </x:c>
      <x:c r="K89" s="20" t="n">
        <x:v>1</x:v>
      </x:c>
      <x:c r="L89" s="12" t="n">
        <x:v>2600</x:v>
      </x:c>
      <x:c r="M89" s="8" t="n">
        <x:v>211</x:v>
      </x:c>
      <x:c r="N89" s="12" t="n">
        <x:v>250</x:v>
      </x:c>
      <x:c r="O89" s="8" t="n">
        <x:v>0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  <x:c r="T89" s="8" t="n">
        <x:v>1</x:v>
      </x:c>
      <x:c r="U89" s="12" t="n">
        <x:v>0</x:v>
      </x:c>
      <x:c r="V89" s="8" t="n">
        <x:v>8</x:v>
      </x:c>
      <x:c r="W89" s="8" t="n">
        <x:v>230</x:v>
      </x:c>
      <x:c r="X89" s="12" t="n">
        <x:v>48400</x:v>
      </x:c>
      <x:c r="Y89" s="21"/>
      <x:c r="Z89" s="24" t="n">
        <x:f>IF($A89="","",INDEX(Settings!$C$29:$C$33,MATCH(E89,Settings!$A$29:$A$33,0)))</x:f>
        <x:v>2700</x:v>
      </x:c>
      <x:c r="AA89" s="22" t="n">
        <x:f>IF($A89="","",G89/Z89)</x:f>
        <x:v>0.9629629629629629</x:v>
      </x:c>
      <x:c r="AB89" s="25" t="n">
        <x:f>IF($A89="","",IF(ISNUMBER(Y89),Y89,Settings!$B$10))</x:f>
        <x:v>0.03</x:v>
      </x:c>
      <x:c r="AC89" s="23" t="n">
        <x:f>IF($A89="","",G89*(1+AB89))</x:f>
        <x:v>2678</x:v>
      </x:c>
      <x:c r="AD89" s="23" t="n">
        <x:f>IF($A89="","",G89*F89*12)</x:f>
        <x:v>31200</x:v>
      </x:c>
      <x:c r="AE89" s="23" t="n">
        <x:f>IF($A89="","",G89*F89*J89)</x:f>
        <x:v>2600</x:v>
      </x:c>
      <x:c r="AF89" s="24" t="n">
        <x:f>IF($A89="","",L89*F89*K89*Settings!$B$13)</x:f>
        <x:v>2392</x:v>
      </x:c>
      <x:c r="AG89" s="23" t="n">
        <x:f>IF($A89="","",AD89*H89*I89)</x:f>
        <x:v>1029.6000000000001</x:v>
      </x:c>
      <x:c r="AH89" s="24" t="n">
        <x:f>IF($A89="","",SUM(AD89:AE89,AG89)*SUM(Settings!$B$11:$B$12))</x:f>
        <x:v>8707.4</x:v>
      </x:c>
      <x:c r="AI89" s="24" t="n">
        <x:f>IF($A89="","",M89*Settings!$B$16)</x:f>
        <x:v>1880.01</x:v>
      </x:c>
      <x:c r="AJ89" s="24" t="n">
        <x:f>IF($A89="","",M89*Settings!$B$15)</x:f>
        <x:v>229.99</x:v>
      </x:c>
      <x:c r="AK89" s="24" t="n">
        <x:f>IF($A89="","",O89*Settings!$B$18)</x:f>
        <x:v>0</x:v>
      </x:c>
      <x:c r="AL89" s="24" t="n">
        <x:f>IF($A89="","",P89*Settings!$B$20+Q89*Settings!$B$21+R89*Settings!$B$22+S89*Settings!$B$23)</x:f>
        <x:v>0</x:v>
      </x:c>
      <x:c r="AM89" s="24" t="n">
        <x:f>IF($A89="","",T89*Settings!$B$24)</x:f>
        <x:v>40</x:v>
      </x:c>
      <x:c r="AN89" s="23" t="n">
        <x:f>IF($A89="","",SUM(AI89,N89,AK89:AM89,U89))</x:f>
        <x:v>2170.01</x:v>
      </x:c>
      <x:c r="AO89" s="23" t="n">
        <x:f>IF($A89="","",SUM(AD89:AI89,N89,AK89:AM89,U89))</x:f>
        <x:v>48099.01</x:v>
      </x:c>
      <x:c r="AP89" s="24" t="n">
        <x:f>IF($A89="","",G89*F89*AB89*((13-Settings!$B$9)*(1+H89*I89)+J89)*(1+SUM(Settings!$B$11:$B$12)))</x:f>
        <x:v>1003.9575</x:v>
      </x:c>
      <x:c r="AQ89" s="23" t="n">
        <x:f>IF($A89="","",SUM(AO89:AP89))</x:f>
        <x:v>49102.9675</x:v>
      </x:c>
      <x:c r="AR89" s="23" t="n">
        <x:f>IF($A89="","",AQ89-X89)</x:f>
        <x:v>702.9674999999988</x:v>
      </x:c>
      <x:c r="AS89" s="22" t="n">
        <x:f>IF($A89="","",IF(W89=0,"n.a.",V89/W89))</x:f>
        <x:v>0.034782608695652174</x:v>
      </x:c>
      <x:c r="AT89" s="26" t="str">
        <x:f>IF($A89="",IF(COUNTA(B89:Y89)&gt;0,"Missing ID",""),IF(COUNTIFS($A$9:$A$508,A89)&gt;1,"Duplicate ID",IF(OR(B89="",C89="",D89="",E89="",COUNT(F89:X89)&lt;&gt;19),"Missing / text input",IF(OR(COUNTIFS(Settings!$A$59:$A$64,B89)&lt;&gt;1,COUNTIFS(Settings!$A$29:$A$33,E89)&lt;&gt;1),"Unknown department / grade",IF(OR(F89&lt;=0,F89&gt;1,G89&lt;=0,L89&lt;=0,H89&lt;0,I89&lt;0,J89&lt;0,K89&lt;0,K89&gt;1,MIN(M89:X89)&lt;0,W89=0,V89&gt;W89,M89&gt;W89-V89,P89&gt;8,Q89&gt;4,R89&gt;12,S89&gt;12,T89&gt;1,AB89&lt;0),"Review quantity / rate",IF(OR(N89&gt;Settings!$C$17,AK89&gt;Settings!$C$19),"Review benefit ceiling","OK"))))))</x:f>
        <x:v>OK</x:v>
      </x:c>
    </x:row>
    <x:row r="90" ht="23" customHeight="1">
      <x:c r="A90" s="8" t="str">
        <x:v>BE-0082</x:v>
      </x:c>
      <x:c r="B90" s="8" t="str">
        <x:v>Sales</x:v>
      </x:c>
      <x:c r="C90" s="8" t="str">
        <x:v>Brussels</x:v>
      </x:c>
      <x:c r="D90" s="8" t="str">
        <x:v>Sales coordinator</x:v>
      </x:c>
      <x:c r="E90" s="8" t="str">
        <x:v>G1</x:v>
      </x:c>
      <x:c r="F90" s="20" t="n">
        <x:v>0.6</x:v>
      </x:c>
      <x:c r="G90" s="12" t="n">
        <x:v>2490</x:v>
      </x:c>
      <x:c r="H90" s="21" t="n">
        <x:v>0.03</x:v>
      </x:c>
      <x:c r="I90" s="20" t="n">
        <x:v>0.8</x:v>
      </x:c>
      <x:c r="J90" s="20" t="n">
        <x:v>1</x:v>
      </x:c>
      <x:c r="K90" s="20" t="n">
        <x:v>1</x:v>
      </x:c>
      <x:c r="L90" s="12" t="n">
        <x:v>2490</x:v>
      </x:c>
      <x:c r="M90" s="8" t="n">
        <x:v>124</x:v>
      </x:c>
      <x:c r="N90" s="12" t="n">
        <x:v>150</x:v>
      </x:c>
      <x:c r="O90" s="8" t="n">
        <x:v>850</x:v>
      </x:c>
      <x:c r="P90" s="8" t="n">
        <x:v>8</x:v>
      </x:c>
      <x:c r="Q90" s="8" t="n">
        <x:v>4</x:v>
      </x:c>
      <x:c r="R90" s="8" t="n">
        <x:v>12</x:v>
      </x:c>
      <x:c r="S90" s="8" t="n">
        <x:v>0</x:v>
      </x:c>
      <x:c r="T90" s="8" t="n">
        <x:v>1</x:v>
      </x:c>
      <x:c r="U90" s="12" t="n">
        <x:v>0</x:v>
      </x:c>
      <x:c r="V90" s="8" t="n">
        <x:v>9</x:v>
      </x:c>
      <x:c r="W90" s="8" t="n">
        <x:v>138</x:v>
      </x:c>
      <x:c r="X90" s="12" t="n">
        <x:v>31000</x:v>
      </x:c>
      <x:c r="Y90" s="21"/>
      <x:c r="Z90" s="24" t="n">
        <x:f>IF($A90="","",INDEX(Settings!$C$29:$C$33,MATCH(E90,Settings!$A$29:$A$33,0)))</x:f>
        <x:v>2700</x:v>
      </x:c>
      <x:c r="AA90" s="22" t="n">
        <x:f>IF($A90="","",G90/Z90)</x:f>
        <x:v>0.9222222222222223</x:v>
      </x:c>
      <x:c r="AB90" s="25" t="n">
        <x:f>IF($A90="","",IF(ISNUMBER(Y90),Y90,Settings!$B$10))</x:f>
        <x:v>0.03</x:v>
      </x:c>
      <x:c r="AC90" s="23" t="n">
        <x:f>IF($A90="","",G90*(1+AB90))</x:f>
        <x:v>2564.7000000000003</x:v>
      </x:c>
      <x:c r="AD90" s="23" t="n">
        <x:f>IF($A90="","",G90*F90*12)</x:f>
        <x:v>17928</x:v>
      </x:c>
      <x:c r="AE90" s="23" t="n">
        <x:f>IF($A90="","",G90*F90*J90)</x:f>
        <x:v>1494</x:v>
      </x:c>
      <x:c r="AF90" s="24" t="n">
        <x:f>IF($A90="","",L90*F90*K90*Settings!$B$13)</x:f>
        <x:v>1374.48</x:v>
      </x:c>
      <x:c r="AG90" s="23" t="n">
        <x:f>IF($A90="","",AD90*H90*I90)</x:f>
        <x:v>430.27200000000005</x:v>
      </x:c>
      <x:c r="AH90" s="24" t="n">
        <x:f>IF($A90="","",SUM(AD90:AE90,AG90)*SUM(Settings!$B$11:$B$12))</x:f>
        <x:v>4963.068</x:v>
      </x:c>
      <x:c r="AI90" s="24" t="n">
        <x:f>IF($A90="","",M90*Settings!$B$16)</x:f>
        <x:v>1104.84</x:v>
      </x:c>
      <x:c r="AJ90" s="24" t="n">
        <x:f>IF($A90="","",M90*Settings!$B$15)</x:f>
        <x:v>135.16</x:v>
      </x:c>
      <x:c r="AK90" s="24" t="n">
        <x:f>IF($A90="","",O90*Settings!$B$18)</x:f>
        <x:v>314.5</x:v>
      </x:c>
      <x:c r="AL90" s="24" t="n">
        <x:f>IF($A90="","",P90*Settings!$B$20+Q90*Settings!$B$21+R90*Settings!$B$22+S90*Settings!$B$23)</x:f>
        <x:v>2184.76</x:v>
      </x:c>
      <x:c r="AM90" s="24" t="n">
        <x:f>IF($A90="","",T90*Settings!$B$24)</x:f>
        <x:v>40</x:v>
      </x:c>
      <x:c r="AN90" s="23" t="n">
        <x:f>IF($A90="","",SUM(AI90,N90,AK90:AM90,U90))</x:f>
        <x:v>3794.1000000000004</x:v>
      </x:c>
      <x:c r="AO90" s="23" t="n">
        <x:f>IF($A90="","",SUM(AD90:AI90,N90,AK90:AM90,U90))</x:f>
        <x:v>29983.92</x:v>
      </x:c>
      <x:c r="AP90" s="24" t="n">
        <x:f>IF($A90="","",G90*F90*AB90*((13-Settings!$B$9)*(1+H90*I90)+J90)*(1+SUM(Settings!$B$11:$B$12)))</x:f>
        <x:v>572.3514000000001</x:v>
      </x:c>
      <x:c r="AQ90" s="23" t="n">
        <x:f>IF($A90="","",SUM(AO90:AP90))</x:f>
        <x:v>30556.271399999998</x:v>
      </x:c>
      <x:c r="AR90" s="23" t="n">
        <x:f>IF($A90="","",AQ90-X90)</x:f>
        <x:v>-443.7286000000022</x:v>
      </x:c>
      <x:c r="AS90" s="22" t="n">
        <x:f>IF($A90="","",IF(W90=0,"n.a.",V90/W90))</x:f>
        <x:v>0.06521739130434782</x:v>
      </x:c>
      <x:c r="AT90" s="26" t="str">
        <x:f>IF($A90="",IF(COUNTA(B90:Y90)&gt;0,"Missing ID",""),IF(COUNTIFS($A$9:$A$508,A90)&gt;1,"Duplicate ID",IF(OR(B90="",C90="",D90="",E90="",COUNT(F90:X90)&lt;&gt;19),"Missing / text input",IF(OR(COUNTIFS(Settings!$A$59:$A$64,B90)&lt;&gt;1,COUNTIFS(Settings!$A$29:$A$33,E90)&lt;&gt;1),"Unknown department / grade",IF(OR(F90&lt;=0,F90&gt;1,G90&lt;=0,L90&lt;=0,H90&lt;0,I90&lt;0,J90&lt;0,K90&lt;0,K90&gt;1,MIN(M90:X90)&lt;0,W90=0,V90&gt;W90,M90&gt;W90-V90,P90&gt;8,Q90&gt;4,R90&gt;12,S90&gt;12,T90&gt;1,AB90&lt;0),"Review quantity / rate",IF(OR(N90&gt;Settings!$C$17,AK90&gt;Settings!$C$19),"Review benefit ceiling","OK"))))))</x:f>
        <x:v>OK</x:v>
      </x:c>
    </x:row>
    <x:row r="91" ht="23" customHeight="1">
      <x:c r="A91" s="8" t="str">
        <x:v>BE-0083</x:v>
      </x:c>
      <x:c r="B91" s="8" t="str">
        <x:v>Customer Operations</x:v>
      </x:c>
      <x:c r="C91" s="8" t="str">
        <x:v>Antwerp</x:v>
      </x:c>
      <x:c r="D91" s="8" t="str">
        <x:v>Service administrator</x:v>
      </x:c>
      <x:c r="E91" s="8" t="str">
        <x:v>G1</x:v>
      </x:c>
      <x:c r="F91" s="20" t="n">
        <x:v>1</x:v>
      </x:c>
      <x:c r="G91" s="12" t="n">
        <x:v>2890</x:v>
      </x:c>
      <x:c r="H91" s="21" t="n">
        <x:v>0.03</x:v>
      </x:c>
      <x:c r="I91" s="20" t="n">
        <x:v>1</x:v>
      </x:c>
      <x:c r="J91" s="20" t="n">
        <x:v>1</x:v>
      </x:c>
      <x:c r="K91" s="20" t="n">
        <x:v>1</x:v>
      </x:c>
      <x:c r="L91" s="12" t="n">
        <x:v>2890</x:v>
      </x:c>
      <x:c r="M91" s="8" t="n">
        <x:v>209</x:v>
      </x:c>
      <x:c r="N91" s="12" t="n">
        <x:v>250</x:v>
      </x:c>
      <x:c r="O91" s="8" t="n">
        <x:v>0</x:v>
      </x:c>
      <x:c r="P91" s="8" t="n">
        <x:v>8</x:v>
      </x:c>
      <x:c r="Q91" s="8" t="n">
        <x:v>4</x:v>
      </x:c>
      <x:c r="R91" s="8" t="n">
        <x:v>12</x:v>
      </x:c>
      <x:c r="S91" s="8" t="n">
        <x:v>0</x:v>
      </x:c>
      <x:c r="T91" s="8" t="n">
        <x:v>1</x:v>
      </x:c>
      <x:c r="U91" s="12" t="n">
        <x:v>0</x:v>
      </x:c>
      <x:c r="V91" s="8" t="n">
        <x:v>10</x:v>
      </x:c>
      <x:c r="W91" s="8" t="n">
        <x:v>230</x:v>
      </x:c>
      <x:c r="X91" s="12" t="n">
        <x:v>57200</x:v>
      </x:c>
      <x:c r="Y91" s="21"/>
      <x:c r="Z91" s="24" t="n">
        <x:f>IF($A91="","",INDEX(Settings!$C$29:$C$33,MATCH(E91,Settings!$A$29:$A$33,0)))</x:f>
        <x:v>2700</x:v>
      </x:c>
      <x:c r="AA91" s="22" t="n">
        <x:f>IF($A91="","",G91/Z91)</x:f>
        <x:v>1.0703703703703704</x:v>
      </x:c>
      <x:c r="AB91" s="25" t="n">
        <x:f>IF($A91="","",IF(ISNUMBER(Y91),Y91,Settings!$B$10))</x:f>
        <x:v>0.03</x:v>
      </x:c>
      <x:c r="AC91" s="23" t="n">
        <x:f>IF($A91="","",G91*(1+AB91))</x:f>
        <x:v>2976.7000000000003</x:v>
      </x:c>
      <x:c r="AD91" s="23" t="n">
        <x:f>IF($A91="","",G91*F91*12)</x:f>
        <x:v>34680</x:v>
      </x:c>
      <x:c r="AE91" s="23" t="n">
        <x:f>IF($A91="","",G91*F91*J91)</x:f>
        <x:v>2890</x:v>
      </x:c>
      <x:c r="AF91" s="24" t="n">
        <x:f>IF($A91="","",L91*F91*K91*Settings!$B$13)</x:f>
        <x:v>2658.8</x:v>
      </x:c>
      <x:c r="AG91" s="23" t="n">
        <x:f>IF($A91="","",AD91*H91*I91)</x:f>
        <x:v>1040.3999999999999</x:v>
      </x:c>
      <x:c r="AH91" s="24" t="n">
        <x:f>IF($A91="","",SUM(AD91:AE91,AG91)*SUM(Settings!$B$11:$B$12))</x:f>
        <x:v>9652.6</x:v>
      </x:c>
      <x:c r="AI91" s="24" t="n">
        <x:f>IF($A91="","",M91*Settings!$B$16)</x:f>
        <x:v>1862.19</x:v>
      </x:c>
      <x:c r="AJ91" s="24" t="n">
        <x:f>IF($A91="","",M91*Settings!$B$15)</x:f>
        <x:v>227.81000000000003</x:v>
      </x:c>
      <x:c r="AK91" s="24" t="n">
        <x:f>IF($A91="","",O91*Settings!$B$18)</x:f>
        <x:v>0</x:v>
      </x:c>
      <x:c r="AL91" s="24" t="n">
        <x:f>IF($A91="","",P91*Settings!$B$20+Q91*Settings!$B$21+R91*Settings!$B$22+S91*Settings!$B$23)</x:f>
        <x:v>2184.76</x:v>
      </x:c>
      <x:c r="AM91" s="24" t="n">
        <x:f>IF($A91="","",T91*Settings!$B$24)</x:f>
        <x:v>40</x:v>
      </x:c>
      <x:c r="AN91" s="23" t="n">
        <x:f>IF($A91="","",SUM(AI91,N91,AK91:AM91,U91))</x:f>
        <x:v>4336.950000000001</x:v>
      </x:c>
      <x:c r="AO91" s="23" t="n">
        <x:f>IF($A91="","",SUM(AD91:AI91,N91,AK91:AM91,U91))</x:f>
        <x:v>55258.75000000001</x:v>
      </x:c>
      <x:c r="AP91" s="24" t="n">
        <x:f>IF($A91="","",G91*F91*AB91*((13-Settings!$B$9)*(1+H91*I91)+J91)*(1+SUM(Settings!$B$11:$B$12)))</x:f>
        <x:v>1113.01125</x:v>
      </x:c>
      <x:c r="AQ91" s="23" t="n">
        <x:f>IF($A91="","",SUM(AO91:AP91))</x:f>
        <x:v>56371.76125000001</x:v>
      </x:c>
      <x:c r="AR91" s="23" t="n">
        <x:f>IF($A91="","",AQ91-X91)</x:f>
        <x:v>-828.2387499999895</x:v>
      </x:c>
      <x:c r="AS91" s="22" t="n">
        <x:f>IF($A91="","",IF(W91=0,"n.a.",V91/W91))</x:f>
        <x:v>0.043478260869565216</x:v>
      </x:c>
      <x:c r="AT91" s="26" t="str">
        <x:f>IF($A91="",IF(COUNTA(B91:Y91)&gt;0,"Missing ID",""),IF(COUNTIFS($A$9:$A$508,A91)&gt;1,"Duplicate ID",IF(OR(B91="",C91="",D91="",E91="",COUNT(F91:X91)&lt;&gt;19),"Missing / text input",IF(OR(COUNTIFS(Settings!$A$59:$A$64,B91)&lt;&gt;1,COUNTIFS(Settings!$A$29:$A$33,E91)&lt;&gt;1),"Unknown department / grade",IF(OR(F91&lt;=0,F91&gt;1,G91&lt;=0,L91&lt;=0,H91&lt;0,I91&lt;0,J91&lt;0,K91&lt;0,K91&gt;1,MIN(M91:X91)&lt;0,W91=0,V91&gt;W91,M91&gt;W91-V91,P91&gt;8,Q91&gt;4,R91&gt;12,S91&gt;12,T91&gt;1,AB91&lt;0),"Review quantity / rate",IF(OR(N91&gt;Settings!$C$17,AK91&gt;Settings!$C$19),"Review benefit ceiling","OK"))))))</x:f>
        <x:v>OK</x:v>
      </x:c>
    </x:row>
    <x:row r="92" ht="23" customHeight="1">
      <x:c r="A92" s="8" t="str">
        <x:v>BE-0084</x:v>
      </x:c>
      <x:c r="B92" s="8" t="str">
        <x:v>Business Support</x:v>
      </x:c>
      <x:c r="C92" s="8" t="str">
        <x:v>Ghent</x:v>
      </x:c>
      <x:c r="D92" s="8" t="str">
        <x:v>Office administrator</x:v>
      </x:c>
      <x:c r="E92" s="8" t="str">
        <x:v>G1</x:v>
      </x:c>
      <x:c r="F92" s="20" t="n">
        <x:v>1</x:v>
      </x:c>
      <x:c r="G92" s="12" t="n">
        <x:v>2920</x:v>
      </x:c>
      <x:c r="H92" s="21" t="n">
        <x:v>0.03</x:v>
      </x:c>
      <x:c r="I92" s="20" t="n">
        <x:v>1.1</x:v>
      </x:c>
      <x:c r="J92" s="20" t="n">
        <x:v>1</x:v>
      </x:c>
      <x:c r="K92" s="20" t="n">
        <x:v>1</x:v>
      </x:c>
      <x:c r="L92" s="12" t="n">
        <x:v>2920</x:v>
      </x:c>
      <x:c r="M92" s="8" t="n">
        <x:v>208</x:v>
      </x:c>
      <x:c r="N92" s="12" t="n">
        <x:v>250</x:v>
      </x:c>
      <x:c r="O92" s="8" t="n">
        <x:v>0</x:v>
      </x:c>
      <x:c r="P92" s="8" t="n">
        <x:v>8</x:v>
      </x:c>
      <x:c r="Q92" s="8" t="n">
        <x:v>4</x:v>
      </x:c>
      <x:c r="R92" s="8" t="n">
        <x:v>12</x:v>
      </x:c>
      <x:c r="S92" s="8" t="n">
        <x:v>0</x:v>
      </x:c>
      <x:c r="T92" s="8" t="n">
        <x:v>1</x:v>
      </x:c>
      <x:c r="U92" s="12" t="n">
        <x:v>0</x:v>
      </x:c>
      <x:c r="V92" s="8" t="n">
        <x:v>11</x:v>
      </x:c>
      <x:c r="W92" s="8" t="n">
        <x:v>230</x:v>
      </x:c>
      <x:c r="X92" s="12" t="n">
        <x:v>57900</x:v>
      </x:c>
      <x:c r="Y92" s="21"/>
      <x:c r="Z92" s="24" t="n">
        <x:f>IF($A92="","",INDEX(Settings!$C$29:$C$33,MATCH(E92,Settings!$A$29:$A$33,0)))</x:f>
        <x:v>2700</x:v>
      </x:c>
      <x:c r="AA92" s="22" t="n">
        <x:f>IF($A92="","",G92/Z92)</x:f>
        <x:v>1.0814814814814815</x:v>
      </x:c>
      <x:c r="AB92" s="25" t="n">
        <x:f>IF($A92="","",IF(ISNUMBER(Y92),Y92,Settings!$B$10))</x:f>
        <x:v>0.03</x:v>
      </x:c>
      <x:c r="AC92" s="23" t="n">
        <x:f>IF($A92="","",G92*(1+AB92))</x:f>
        <x:v>3007.6</x:v>
      </x:c>
      <x:c r="AD92" s="23" t="n">
        <x:f>IF($A92="","",G92*F92*12)</x:f>
        <x:v>35040</x:v>
      </x:c>
      <x:c r="AE92" s="23" t="n">
        <x:f>IF($A92="","",G92*F92*J92)</x:f>
        <x:v>2920</x:v>
      </x:c>
      <x:c r="AF92" s="24" t="n">
        <x:f>IF($A92="","",L92*F92*K92*Settings!$B$13)</x:f>
        <x:v>2686.4</x:v>
      </x:c>
      <x:c r="AG92" s="23" t="n">
        <x:f>IF($A92="","",AD92*H92*I92)</x:f>
        <x:v>1156.3200000000002</x:v>
      </x:c>
      <x:c r="AH92" s="24" t="n">
        <x:f>IF($A92="","",SUM(AD92:AE92,AG92)*SUM(Settings!$B$11:$B$12))</x:f>
        <x:v>9779.08</x:v>
      </x:c>
      <x:c r="AI92" s="24" t="n">
        <x:f>IF($A92="","",M92*Settings!$B$16)</x:f>
        <x:v>1853.28</x:v>
      </x:c>
      <x:c r="AJ92" s="24" t="n">
        <x:f>IF($A92="","",M92*Settings!$B$15)</x:f>
        <x:v>226.72000000000003</x:v>
      </x:c>
      <x:c r="AK92" s="24" t="n">
        <x:f>IF($A92="","",O92*Settings!$B$18)</x:f>
        <x:v>0</x:v>
      </x:c>
      <x:c r="AL92" s="24" t="n">
        <x:f>IF($A92="","",P92*Settings!$B$20+Q92*Settings!$B$21+R92*Settings!$B$22+S92*Settings!$B$23)</x:f>
        <x:v>2184.76</x:v>
      </x:c>
      <x:c r="AM92" s="24" t="n">
        <x:f>IF($A92="","",T92*Settings!$B$24)</x:f>
        <x:v>40</x:v>
      </x:c>
      <x:c r="AN92" s="23" t="n">
        <x:f>IF($A92="","",SUM(AI92,N92,AK92:AM92,U92))</x:f>
        <x:v>4328.04</x:v>
      </x:c>
      <x:c r="AO92" s="23" t="n">
        <x:f>IF($A92="","",SUM(AD92:AI92,N92,AK92:AM92,U92))</x:f>
        <x:v>55909.840000000004</x:v>
      </x:c>
      <x:c r="AP92" s="24" t="n">
        <x:f>IF($A92="","",G92*F92*AB92*((13-Settings!$B$9)*(1+H92*I92)+J92)*(1+SUM(Settings!$B$11:$B$12)))</x:f>
        <x:v>1127.5214999999998</x:v>
      </x:c>
      <x:c r="AQ92" s="23" t="n">
        <x:f>IF($A92="","",SUM(AO92:AP92))</x:f>
        <x:v>57037.361500000006</x:v>
      </x:c>
      <x:c r="AR92" s="23" t="n">
        <x:f>IF($A92="","",AQ92-X92)</x:f>
        <x:v>-862.6384999999937</x:v>
      </x:c>
      <x:c r="AS92" s="22" t="n">
        <x:f>IF($A92="","",IF(W92=0,"n.a.",V92/W92))</x:f>
        <x:v>0.04782608695652174</x:v>
      </x:c>
      <x:c r="AT92" s="26" t="str">
        <x:f>IF($A92="",IF(COUNTA(B92:Y92)&gt;0,"Missing ID",""),IF(COUNTIFS($A$9:$A$508,A92)&gt;1,"Duplicate ID",IF(OR(B92="",C92="",D92="",E92="",COUNT(F92:X92)&lt;&gt;19),"Missing / text input",IF(OR(COUNTIFS(Settings!$A$59:$A$64,B92)&lt;&gt;1,COUNTIFS(Settings!$A$29:$A$33,E92)&lt;&gt;1),"Unknown department / grade",IF(OR(F92&lt;=0,F92&gt;1,G92&lt;=0,L92&lt;=0,H92&lt;0,I92&lt;0,J92&lt;0,K92&lt;0,K92&gt;1,MIN(M92:X92)&lt;0,W92=0,V92&gt;W92,M92&gt;W92-V92,P92&gt;8,Q92&gt;4,R92&gt;12,S92&gt;12,T92&gt;1,AB92&lt;0),"Review quantity / rate",IF(OR(N92&gt;Settings!$C$17,AK92&gt;Settings!$C$19),"Review benefit ceiling","OK"))))))</x:f>
        <x:v>OK</x:v>
      </x:c>
    </x:row>
    <x:row r="93" ht="23" customHeight="1">
      <x:c r="A93" s="8" t="str">
        <x:v>BE-0085</x:v>
      </x:c>
      <x:c r="B93" s="8" t="str">
        <x:v>Finance</x:v>
      </x:c>
      <x:c r="C93" s="8" t="str">
        <x:v>Brussels</x:v>
      </x:c>
      <x:c r="D93" s="8" t="str">
        <x:v>Finance administrator</x:v>
      </x:c>
      <x:c r="E93" s="8" t="str">
        <x:v>G1</x:v>
      </x:c>
      <x:c r="F93" s="20" t="n">
        <x:v>0.8</x:v>
      </x:c>
      <x:c r="G93" s="12" t="n">
        <x:v>2960</x:v>
      </x:c>
      <x:c r="H93" s="21" t="n">
        <x:v>0.03</x:v>
      </x:c>
      <x:c r="I93" s="20" t="n">
        <x:v>0.8</x:v>
      </x:c>
      <x:c r="J93" s="20" t="n">
        <x:v>1</x:v>
      </x:c>
      <x:c r="K93" s="20" t="n">
        <x:v>1</x:v>
      </x:c>
      <x:c r="L93" s="12" t="n">
        <x:v>2960</x:v>
      </x:c>
      <x:c r="M93" s="8" t="n">
        <x:v>171</x:v>
      </x:c>
      <x:c r="N93" s="12" t="n">
        <x:v>200</x:v>
      </x:c>
      <x:c r="O93" s="8" t="n">
        <x:v>1180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  <x:c r="T93" s="8" t="n">
        <x:v>1</x:v>
      </x:c>
      <x:c r="U93" s="12" t="n">
        <x:v>0</x:v>
      </x:c>
      <x:c r="V93" s="8" t="n">
        <x:v>0</x:v>
      </x:c>
      <x:c r="W93" s="8" t="n">
        <x:v>184</x:v>
      </x:c>
      <x:c r="X93" s="12" t="n">
        <x:v>45300</x:v>
      </x:c>
      <x:c r="Y93" s="21"/>
      <x:c r="Z93" s="24" t="n">
        <x:f>IF($A93="","",INDEX(Settings!$C$29:$C$33,MATCH(E93,Settings!$A$29:$A$33,0)))</x:f>
        <x:v>2700</x:v>
      </x:c>
      <x:c r="AA93" s="22" t="n">
        <x:f>IF($A93="","",G93/Z93)</x:f>
        <x:v>1.0962962962962963</x:v>
      </x:c>
      <x:c r="AB93" s="25" t="n">
        <x:f>IF($A93="","",IF(ISNUMBER(Y93),Y93,Settings!$B$10))</x:f>
        <x:v>0.03</x:v>
      </x:c>
      <x:c r="AC93" s="23" t="n">
        <x:f>IF($A93="","",G93*(1+AB93))</x:f>
        <x:v>3048.8</x:v>
      </x:c>
      <x:c r="AD93" s="23" t="n">
        <x:f>IF($A93="","",G93*F93*12)</x:f>
        <x:v>28416</x:v>
      </x:c>
      <x:c r="AE93" s="23" t="n">
        <x:f>IF($A93="","",G93*F93*J93)</x:f>
        <x:v>2368</x:v>
      </x:c>
      <x:c r="AF93" s="24" t="n">
        <x:f>IF($A93="","",L93*F93*K93*Settings!$B$13)</x:f>
        <x:v>2178.56</x:v>
      </x:c>
      <x:c r="AG93" s="23" t="n">
        <x:f>IF($A93="","",AD93*H93*I93)</x:f>
        <x:v>681.984</x:v>
      </x:c>
      <x:c r="AH93" s="24" t="n">
        <x:f>IF($A93="","",SUM(AD93:AE93,AG93)*SUM(Settings!$B$11:$B$12))</x:f>
        <x:v>7866.496</x:v>
      </x:c>
      <x:c r="AI93" s="24" t="n">
        <x:f>IF($A93="","",M93*Settings!$B$16)</x:f>
        <x:v>1523.6100000000001</x:v>
      </x:c>
      <x:c r="AJ93" s="24" t="n">
        <x:f>IF($A93="","",M93*Settings!$B$15)</x:f>
        <x:v>186.39000000000001</x:v>
      </x:c>
      <x:c r="AK93" s="24" t="n">
        <x:f>IF($A93="","",O93*Settings!$B$18)</x:f>
        <x:v>436.6</x:v>
      </x:c>
      <x:c r="AL93" s="24" t="n">
        <x:f>IF($A93="","",P93*Settings!$B$20+Q93*Settings!$B$21+R93*Settings!$B$22+S93*Settings!$B$23)</x:f>
        <x:v>0</x:v>
      </x:c>
      <x:c r="AM93" s="24" t="n">
        <x:f>IF($A93="","",T93*Settings!$B$24)</x:f>
        <x:v>40</x:v>
      </x:c>
      <x:c r="AN93" s="23" t="n">
        <x:f>IF($A93="","",SUM(AI93,N93,AK93:AM93,U93))</x:f>
        <x:v>2200.21</x:v>
      </x:c>
      <x:c r="AO93" s="23" t="n">
        <x:f>IF($A93="","",SUM(AD93:AI93,N93,AK93:AM93,U93))</x:f>
        <x:v>43711.24999999999</x:v>
      </x:c>
      <x:c r="AP93" s="24" t="n">
        <x:f>IF($A93="","",G93*F93*AB93*((13-Settings!$B$9)*(1+H93*I93)+J93)*(1+SUM(Settings!$B$11:$B$12)))</x:f>
        <x:v>907.1808</x:v>
      </x:c>
      <x:c r="AQ93" s="23" t="n">
        <x:f>IF($A93="","",SUM(AO93:AP93))</x:f>
        <x:v>44618.430799999995</x:v>
      </x:c>
      <x:c r="AR93" s="23" t="n">
        <x:f>IF($A93="","",AQ93-X93)</x:f>
        <x:v>-681.5692000000054</x:v>
      </x:c>
      <x:c r="AS93" s="22" t="n">
        <x:f>IF($A93="","",IF(W93=0,"n.a.",V93/W93))</x:f>
        <x:v>0</x:v>
      </x:c>
      <x:c r="AT93" s="26" t="str">
        <x:f>IF($A93="",IF(COUNTA(B93:Y93)&gt;0,"Missing ID",""),IF(COUNTIFS($A$9:$A$508,A93)&gt;1,"Duplicate ID",IF(OR(B93="",C93="",D93="",E93="",COUNT(F93:X93)&lt;&gt;19),"Missing / text input",IF(OR(COUNTIFS(Settings!$A$59:$A$64,B93)&lt;&gt;1,COUNTIFS(Settings!$A$29:$A$33,E93)&lt;&gt;1),"Unknown department / grade",IF(OR(F93&lt;=0,F93&gt;1,G93&lt;=0,L93&lt;=0,H93&lt;0,I93&lt;0,J93&lt;0,K93&lt;0,K93&gt;1,MIN(M93:X93)&lt;0,W93=0,V93&gt;W93,M93&gt;W93-V93,P93&gt;8,Q93&gt;4,R93&gt;12,S93&gt;12,T93&gt;1,AB93&lt;0),"Review quantity / rate",IF(OR(N93&gt;Settings!$C$17,AK93&gt;Settings!$C$19),"Review benefit ceiling","OK"))))))</x:f>
        <x:v>OK</x:v>
      </x:c>
    </x:row>
    <x:row r="94" ht="23" customHeight="1">
      <x:c r="A94" s="8" t="str">
        <x:v>BE-0086</x:v>
      </x:c>
      <x:c r="B94" s="8" t="str">
        <x:v>People &amp; Culture</x:v>
      </x:c>
      <x:c r="C94" s="8" t="str">
        <x:v>Antwerp</x:v>
      </x:c>
      <x:c r="D94" s="8" t="str">
        <x:v>HR specialist</x:v>
      </x:c>
      <x:c r="E94" s="8" t="str">
        <x:v>G2</x:v>
      </x:c>
      <x:c r="F94" s="20" t="n">
        <x:v>1</x:v>
      </x:c>
      <x:c r="G94" s="12" t="n">
        <x:v>3560</x:v>
      </x:c>
      <x:c r="H94" s="21" t="n">
        <x:v>0.05</x:v>
      </x:c>
      <x:c r="I94" s="20" t="n">
        <x:v>1</x:v>
      </x:c>
      <x:c r="J94" s="20" t="n">
        <x:v>1</x:v>
      </x:c>
      <x:c r="K94" s="20" t="n">
        <x:v>1</x:v>
      </x:c>
      <x:c r="L94" s="12" t="n">
        <x:v>3560</x:v>
      </x:c>
      <x:c r="M94" s="8" t="n">
        <x:v>213</x:v>
      </x:c>
      <x:c r="N94" s="12" t="n">
        <x:v>250</x:v>
      </x:c>
      <x:c r="O94" s="8" t="n">
        <x:v>0</x:v>
      </x:c>
      <x:c r="P94" s="8" t="n">
        <x:v>8</x:v>
      </x:c>
      <x:c r="Q94" s="8" t="n">
        <x:v>4</x:v>
      </x:c>
      <x:c r="R94" s="8" t="n">
        <x:v>12</x:v>
      </x:c>
      <x:c r="S94" s="8" t="n">
        <x:v>12</x:v>
      </x:c>
      <x:c r="T94" s="8" t="n">
        <x:v>1</x:v>
      </x:c>
      <x:c r="U94" s="12" t="n">
        <x:v>0</x:v>
      </x:c>
      <x:c r="V94" s="8" t="n">
        <x:v>1</x:v>
      </x:c>
      <x:c r="W94" s="8" t="n">
        <x:v>230</x:v>
      </x:c>
      <x:c r="X94" s="12" t="n">
        <x:v>68800</x:v>
      </x:c>
      <x:c r="Y94" s="21"/>
      <x:c r="Z94" s="24" t="n">
        <x:f>IF($A94="","",INDEX(Settings!$C$29:$C$33,MATCH(E94,Settings!$A$29:$A$33,0)))</x:f>
        <x:v>3300</x:v>
      </x:c>
      <x:c r="AA94" s="22" t="n">
        <x:f>IF($A94="","",G94/Z94)</x:f>
        <x:v>1.0787878787878789</x:v>
      </x:c>
      <x:c r="AB94" s="25" t="n">
        <x:f>IF($A94="","",IF(ISNUMBER(Y94),Y94,Settings!$B$10))</x:f>
        <x:v>0.03</x:v>
      </x:c>
      <x:c r="AC94" s="23" t="n">
        <x:f>IF($A94="","",G94*(1+AB94))</x:f>
        <x:v>3666.8</x:v>
      </x:c>
      <x:c r="AD94" s="23" t="n">
        <x:f>IF($A94="","",G94*F94*12)</x:f>
        <x:v>42720</x:v>
      </x:c>
      <x:c r="AE94" s="23" t="n">
        <x:f>IF($A94="","",G94*F94*J94)</x:f>
        <x:v>3560</x:v>
      </x:c>
      <x:c r="AF94" s="24" t="n">
        <x:f>IF($A94="","",L94*F94*K94*Settings!$B$13)</x:f>
        <x:v>3275.2000000000003</x:v>
      </x:c>
      <x:c r="AG94" s="23" t="n">
        <x:f>IF($A94="","",AD94*H94*I94)</x:f>
        <x:v>2136</x:v>
      </x:c>
      <x:c r="AH94" s="24" t="n">
        <x:f>IF($A94="","",SUM(AD94:AE94,AG94)*SUM(Settings!$B$11:$B$12))</x:f>
        <x:v>12104</x:v>
      </x:c>
      <x:c r="AI94" s="24" t="n">
        <x:f>IF($A94="","",M94*Settings!$B$16)</x:f>
        <x:v>1897.83</x:v>
      </x:c>
      <x:c r="AJ94" s="24" t="n">
        <x:f>IF($A94="","",M94*Settings!$B$15)</x:f>
        <x:v>232.17000000000002</x:v>
      </x:c>
      <x:c r="AK94" s="24" t="n">
        <x:f>IF($A94="","",O94*Settings!$B$18)</x:f>
        <x:v>0</x:v>
      </x:c>
      <x:c r="AL94" s="24" t="n">
        <x:f>IF($A94="","",P94*Settings!$B$20+Q94*Settings!$B$21+R94*Settings!$B$22+S94*Settings!$B$23)</x:f>
        <x:v>2424.76</x:v>
      </x:c>
      <x:c r="AM94" s="24" t="n">
        <x:f>IF($A94="","",T94*Settings!$B$24)</x:f>
        <x:v>40</x:v>
      </x:c>
      <x:c r="AN94" s="23" t="n">
        <x:f>IF($A94="","",SUM(AI94,N94,AK94:AM94,U94))</x:f>
        <x:v>4612.59</x:v>
      </x:c>
      <x:c r="AO94" s="23" t="n">
        <x:f>IF($A94="","",SUM(AD94:AI94,N94,AK94:AM94,U94))</x:f>
        <x:v>68407.79</x:v>
      </x:c>
      <x:c r="AP94" s="24" t="n">
        <x:f>IF($A94="","",G94*F94*AB94*((13-Settings!$B$9)*(1+H94*I94)+J94)*(1+SUM(Settings!$B$11:$B$12)))</x:f>
        <x:v>1395.0750000000003</x:v>
      </x:c>
      <x:c r="AQ94" s="23" t="n">
        <x:f>IF($A94="","",SUM(AO94:AP94))</x:f>
        <x:v>69802.86499999999</x:v>
      </x:c>
      <x:c r="AR94" s="23" t="n">
        <x:f>IF($A94="","",AQ94-X94)</x:f>
        <x:v>1002.8649999999907</x:v>
      </x:c>
      <x:c r="AS94" s="22" t="n">
        <x:f>IF($A94="","",IF(W94=0,"n.a.",V94/W94))</x:f>
        <x:v>0.004347826086956522</x:v>
      </x:c>
      <x:c r="AT94" s="26" t="str">
        <x:f>IF($A94="",IF(COUNTA(B94:Y94)&gt;0,"Missing ID",""),IF(COUNTIFS($A$9:$A$508,A94)&gt;1,"Duplicate ID",IF(OR(B94="",C94="",D94="",E94="",COUNT(F94:X94)&lt;&gt;19),"Missing / text input",IF(OR(COUNTIFS(Settings!$A$59:$A$64,B94)&lt;&gt;1,COUNTIFS(Settings!$A$29:$A$33,E94)&lt;&gt;1),"Unknown department / grade",IF(OR(F94&lt;=0,F94&gt;1,G94&lt;=0,L94&lt;=0,H94&lt;0,I94&lt;0,J94&lt;0,K94&lt;0,K94&gt;1,MIN(M94:X94)&lt;0,W94=0,V94&gt;W94,M94&gt;W94-V94,P94&gt;8,Q94&gt;4,R94&gt;12,S94&gt;12,T94&gt;1,AB94&lt;0),"Review quantity / rate",IF(OR(N94&gt;Settings!$C$17,AK94&gt;Settings!$C$19),"Review benefit ceiling","OK"))))))</x:f>
        <x:v>OK</x:v>
      </x:c>
    </x:row>
    <x:row r="95" ht="23" customHeight="1">
      <x:c r="A95" s="8" t="str">
        <x:v>BE-0087</x:v>
      </x:c>
      <x:c r="B95" s="8" t="str">
        <x:v>Technology</x:v>
      </x:c>
      <x:c r="C95" s="8" t="str">
        <x:v>Ghent</x:v>
      </x:c>
      <x:c r="D95" s="8" t="str">
        <x:v>Developer</x:v>
      </x:c>
      <x:c r="E95" s="8" t="str">
        <x:v>G2</x:v>
      </x:c>
      <x:c r="F95" s="20" t="n">
        <x:v>1</x:v>
      </x:c>
      <x:c r="G95" s="12" t="n">
        <x:v>3370</x:v>
      </x:c>
      <x:c r="H95" s="21" t="n">
        <x:v>0.05</x:v>
      </x:c>
      <x:c r="I95" s="20" t="n">
        <x:v>1.1</x:v>
      </x:c>
      <x:c r="J95" s="20" t="n">
        <x:v>1</x:v>
      </x:c>
      <x:c r="K95" s="20" t="n">
        <x:v>1</x:v>
      </x:c>
      <x:c r="L95" s="12" t="n">
        <x:v>3370</x:v>
      </x:c>
      <x:c r="M95" s="8" t="n">
        <x:v>212</x:v>
      </x:c>
      <x:c r="N95" s="12" t="n">
        <x:v>250</x:v>
      </x:c>
      <x:c r="O95" s="8" t="n">
        <x:v>0</x:v>
      </x:c>
      <x:c r="P95" s="8" t="n">
        <x:v>8</x:v>
      </x:c>
      <x:c r="Q95" s="8" t="n">
        <x:v>4</x:v>
      </x:c>
      <x:c r="R95" s="8" t="n">
        <x:v>12</x:v>
      </x:c>
      <x:c r="S95" s="8" t="n">
        <x:v>0</x:v>
      </x:c>
      <x:c r="T95" s="8" t="n">
        <x:v>1</x:v>
      </x:c>
      <x:c r="U95" s="12" t="n">
        <x:v>0</x:v>
      </x:c>
      <x:c r="V95" s="8" t="n">
        <x:v>2</x:v>
      </x:c>
      <x:c r="W95" s="8" t="n">
        <x:v>230</x:v>
      </x:c>
      <x:c r="X95" s="12" t="n">
        <x:v>67300</x:v>
      </x:c>
      <x:c r="Y95" s="21"/>
      <x:c r="Z95" s="24" t="n">
        <x:f>IF($A95="","",INDEX(Settings!$C$29:$C$33,MATCH(E95,Settings!$A$29:$A$33,0)))</x:f>
        <x:v>3300</x:v>
      </x:c>
      <x:c r="AA95" s="22" t="n">
        <x:f>IF($A95="","",G95/Z95)</x:f>
        <x:v>1.0212121212121212</x:v>
      </x:c>
      <x:c r="AB95" s="25" t="n">
        <x:f>IF($A95="","",IF(ISNUMBER(Y95),Y95,Settings!$B$10))</x:f>
        <x:v>0.03</x:v>
      </x:c>
      <x:c r="AC95" s="23" t="n">
        <x:f>IF($A95="","",G95*(1+AB95))</x:f>
        <x:v>3471.1</x:v>
      </x:c>
      <x:c r="AD95" s="23" t="n">
        <x:f>IF($A95="","",G95*F95*12)</x:f>
        <x:v>40440</x:v>
      </x:c>
      <x:c r="AE95" s="23" t="n">
        <x:f>IF($A95="","",G95*F95*J95)</x:f>
        <x:v>3370</x:v>
      </x:c>
      <x:c r="AF95" s="24" t="n">
        <x:f>IF($A95="","",L95*F95*K95*Settings!$B$13)</x:f>
        <x:v>3100.4</x:v>
      </x:c>
      <x:c r="AG95" s="23" t="n">
        <x:f>IF($A95="","",AD95*H95*I95)</x:f>
        <x:v>2224.2000000000003</x:v>
      </x:c>
      <x:c r="AH95" s="24" t="n">
        <x:f>IF($A95="","",SUM(AD95:AE95,AG95)*SUM(Settings!$B$11:$B$12))</x:f>
        <x:v>11508.55</x:v>
      </x:c>
      <x:c r="AI95" s="24" t="n">
        <x:f>IF($A95="","",M95*Settings!$B$16)</x:f>
        <x:v>1888.92</x:v>
      </x:c>
      <x:c r="AJ95" s="24" t="n">
        <x:f>IF($A95="","",M95*Settings!$B$15)</x:f>
        <x:v>231.08</x:v>
      </x:c>
      <x:c r="AK95" s="24" t="n">
        <x:f>IF($A95="","",O95*Settings!$B$18)</x:f>
        <x:v>0</x:v>
      </x:c>
      <x:c r="AL95" s="24" t="n">
        <x:f>IF($A95="","",P95*Settings!$B$20+Q95*Settings!$B$21+R95*Settings!$B$22+S95*Settings!$B$23)</x:f>
        <x:v>2184.76</x:v>
      </x:c>
      <x:c r="AM95" s="24" t="n">
        <x:f>IF($A95="","",T95*Settings!$B$24)</x:f>
        <x:v>40</x:v>
      </x:c>
      <x:c r="AN95" s="23" t="n">
        <x:f>IF($A95="","",SUM(AI95,N95,AK95:AM95,U95))</x:f>
        <x:v>4363.68</x:v>
      </x:c>
      <x:c r="AO95" s="23" t="n">
        <x:f>IF($A95="","",SUM(AD95:AI95,N95,AK95:AM95,U95))</x:f>
        <x:v>65006.829999999994</x:v>
      </x:c>
      <x:c r="AP95" s="24" t="n">
        <x:f>IF($A95="","",G95*F95*AB95*((13-Settings!$B$9)*(1+H95*I95)+J95)*(1+SUM(Settings!$B$11:$B$12)))</x:f>
        <x:v>1326.305625</x:v>
      </x:c>
      <x:c r="AQ95" s="23" t="n">
        <x:f>IF($A95="","",SUM(AO95:AP95))</x:f>
        <x:v>66333.135625</x:v>
      </x:c>
      <x:c r="AR95" s="23" t="n">
        <x:f>IF($A95="","",AQ95-X95)</x:f>
        <x:v>-966.8643750000047</x:v>
      </x:c>
      <x:c r="AS95" s="22" t="n">
        <x:f>IF($A95="","",IF(W95=0,"n.a.",V95/W95))</x:f>
        <x:v>0.008695652173913044</x:v>
      </x:c>
      <x:c r="AT95" s="26" t="str">
        <x:f>IF($A95="",IF(COUNTA(B95:Y95)&gt;0,"Missing ID",""),IF(COUNTIFS($A$9:$A$508,A95)&gt;1,"Duplicate ID",IF(OR(B95="",C95="",D95="",E95="",COUNT(F95:X95)&lt;&gt;19),"Missing / text input",IF(OR(COUNTIFS(Settings!$A$59:$A$64,B95)&lt;&gt;1,COUNTIFS(Settings!$A$29:$A$33,E95)&lt;&gt;1),"Unknown department / grade",IF(OR(F95&lt;=0,F95&gt;1,G95&lt;=0,L95&lt;=0,H95&lt;0,I95&lt;0,J95&lt;0,K95&lt;0,K95&gt;1,MIN(M95:X95)&lt;0,W95=0,V95&gt;W95,M95&gt;W95-V95,P95&gt;8,Q95&gt;4,R95&gt;12,S95&gt;12,T95&gt;1,AB95&lt;0),"Review quantity / rate",IF(OR(N95&gt;Settings!$C$17,AK95&gt;Settings!$C$19),"Review benefit ceiling","OK"))))))</x:f>
        <x:v>OK</x:v>
      </x:c>
    </x:row>
    <x:row r="96" ht="23" customHeight="1">
      <x:c r="A96" s="8" t="str">
        <x:v>BE-0088</x:v>
      </x:c>
      <x:c r="B96" s="8" t="str">
        <x:v>Sales</x:v>
      </x:c>
      <x:c r="C96" s="8" t="str">
        <x:v>Brussels</x:v>
      </x:c>
      <x:c r="D96" s="8" t="str">
        <x:v>Account manager</x:v>
      </x:c>
      <x:c r="E96" s="8" t="str">
        <x:v>G2</x:v>
      </x:c>
      <x:c r="F96" s="20" t="n">
        <x:v>1</x:v>
      </x:c>
      <x:c r="G96" s="12" t="n">
        <x:v>3100</x:v>
      </x:c>
      <x:c r="H96" s="21" t="n">
        <x:v>0.05</x:v>
      </x:c>
      <x:c r="I96" s="20" t="n">
        <x:v>0.8</x:v>
      </x:c>
      <x:c r="J96" s="20" t="n">
        <x:v>1</x:v>
      </x:c>
      <x:c r="K96" s="20" t="n">
        <x:v>1</x:v>
      </x:c>
      <x:c r="L96" s="12" t="n">
        <x:v>3100</x:v>
      </x:c>
      <x:c r="M96" s="8" t="n">
        <x:v>211</x:v>
      </x:c>
      <x:c r="N96" s="12" t="n">
        <x:v>250</x:v>
      </x:c>
      <x:c r="O96" s="8" t="n">
        <x:v>1510</x:v>
      </x:c>
      <x:c r="P96" s="8" t="n">
        <x:v>8</x:v>
      </x:c>
      <x:c r="Q96" s="8" t="n">
        <x:v>4</x:v>
      </x:c>
      <x:c r="R96" s="8" t="n">
        <x:v>12</x:v>
      </x:c>
      <x:c r="S96" s="8" t="n">
        <x:v>0</x:v>
      </x:c>
      <x:c r="T96" s="8" t="n">
        <x:v>1</x:v>
      </x:c>
      <x:c r="U96" s="12" t="n">
        <x:v>0</x:v>
      </x:c>
      <x:c r="V96" s="8" t="n">
        <x:v>3</x:v>
      </x:c>
      <x:c r="W96" s="8" t="n">
        <x:v>230</x:v>
      </x:c>
      <x:c r="X96" s="12" t="n">
        <x:v>62100</x:v>
      </x:c>
      <x:c r="Y96" s="21"/>
      <x:c r="Z96" s="24" t="n">
        <x:f>IF($A96="","",INDEX(Settings!$C$29:$C$33,MATCH(E96,Settings!$A$29:$A$33,0)))</x:f>
        <x:v>3300</x:v>
      </x:c>
      <x:c r="AA96" s="22" t="n">
        <x:f>IF($A96="","",G96/Z96)</x:f>
        <x:v>0.9393939393939394</x:v>
      </x:c>
      <x:c r="AB96" s="25" t="n">
        <x:f>IF($A96="","",IF(ISNUMBER(Y96),Y96,Settings!$B$10))</x:f>
        <x:v>0.03</x:v>
      </x:c>
      <x:c r="AC96" s="23" t="n">
        <x:f>IF($A96="","",G96*(1+AB96))</x:f>
        <x:v>3193</x:v>
      </x:c>
      <x:c r="AD96" s="23" t="n">
        <x:f>IF($A96="","",G96*F96*12)</x:f>
        <x:v>37200</x:v>
      </x:c>
      <x:c r="AE96" s="23" t="n">
        <x:f>IF($A96="","",G96*F96*J96)</x:f>
        <x:v>3100</x:v>
      </x:c>
      <x:c r="AF96" s="24" t="n">
        <x:f>IF($A96="","",L96*F96*K96*Settings!$B$13)</x:f>
        <x:v>2852</x:v>
      </x:c>
      <x:c r="AG96" s="23" t="n">
        <x:f>IF($A96="","",AD96*H96*I96)</x:f>
        <x:v>1488</x:v>
      </x:c>
      <x:c r="AH96" s="24" t="n">
        <x:f>IF($A96="","",SUM(AD96:AE96,AG96)*SUM(Settings!$B$11:$B$12))</x:f>
        <x:v>10447</x:v>
      </x:c>
      <x:c r="AI96" s="24" t="n">
        <x:f>IF($A96="","",M96*Settings!$B$16)</x:f>
        <x:v>1880.01</x:v>
      </x:c>
      <x:c r="AJ96" s="24" t="n">
        <x:f>IF($A96="","",M96*Settings!$B$15)</x:f>
        <x:v>229.99</x:v>
      </x:c>
      <x:c r="AK96" s="24" t="n">
        <x:f>IF($A96="","",O96*Settings!$B$18)</x:f>
        <x:v>558.7</x:v>
      </x:c>
      <x:c r="AL96" s="24" t="n">
        <x:f>IF($A96="","",P96*Settings!$B$20+Q96*Settings!$B$21+R96*Settings!$B$22+S96*Settings!$B$23)</x:f>
        <x:v>2184.76</x:v>
      </x:c>
      <x:c r="AM96" s="24" t="n">
        <x:f>IF($A96="","",T96*Settings!$B$24)</x:f>
        <x:v>40</x:v>
      </x:c>
      <x:c r="AN96" s="23" t="n">
        <x:f>IF($A96="","",SUM(AI96,N96,AK96:AM96,U96))</x:f>
        <x:v>4913.47</x:v>
      </x:c>
      <x:c r="AO96" s="23" t="n">
        <x:f>IF($A96="","",SUM(AD96:AI96,N96,AK96:AM96,U96))</x:f>
        <x:v>60000.47</x:v>
      </x:c>
      <x:c r="AP96" s="24" t="n">
        <x:f>IF($A96="","",G96*F96*AB96*((13-Settings!$B$9)*(1+H96*I96)+J96)*(1+SUM(Settings!$B$11:$B$12)))</x:f>
        <x:v>1204.35</x:v>
      </x:c>
      <x:c r="AQ96" s="23" t="n">
        <x:f>IF($A96="","",SUM(AO96:AP96))</x:f>
        <x:v>61204.82</x:v>
      </x:c>
      <x:c r="AR96" s="23" t="n">
        <x:f>IF($A96="","",AQ96-X96)</x:f>
        <x:v>-895.1800000000003</x:v>
      </x:c>
      <x:c r="AS96" s="22" t="n">
        <x:f>IF($A96="","",IF(W96=0,"n.a.",V96/W96))</x:f>
        <x:v>0.013043478260869565</x:v>
      </x:c>
      <x:c r="AT96" s="26" t="str">
        <x:f>IF($A96="",IF(COUNTA(B96:Y96)&gt;0,"Missing ID",""),IF(COUNTIFS($A$9:$A$508,A96)&gt;1,"Duplicate ID",IF(OR(B96="",C96="",D96="",E96="",COUNT(F96:X96)&lt;&gt;19),"Missing / text input",IF(OR(COUNTIFS(Settings!$A$59:$A$64,B96)&lt;&gt;1,COUNTIFS(Settings!$A$29:$A$33,E96)&lt;&gt;1),"Unknown department / grade",IF(OR(F96&lt;=0,F96&gt;1,G96&lt;=0,L96&lt;=0,H96&lt;0,I96&lt;0,J96&lt;0,K96&lt;0,K96&gt;1,MIN(M96:X96)&lt;0,W96=0,V96&gt;W96,M96&gt;W96-V96,P96&gt;8,Q96&gt;4,R96&gt;12,S96&gt;12,T96&gt;1,AB96&lt;0),"Review quantity / rate",IF(OR(N96&gt;Settings!$C$17,AK96&gt;Settings!$C$19),"Review benefit ceiling","OK"))))))</x:f>
        <x:v>OK</x:v>
      </x:c>
    </x:row>
    <x:row r="97" ht="23" customHeight="1">
      <x:c r="A97" s="8" t="str">
        <x:v>BE-0089</x:v>
      </x:c>
      <x:c r="B97" s="8" t="str">
        <x:v>Customer Operations</x:v>
      </x:c>
      <x:c r="C97" s="8" t="str">
        <x:v>Antwerp</x:v>
      </x:c>
      <x:c r="D97" s="8" t="str">
        <x:v>Service specialist</x:v>
      </x:c>
      <x:c r="E97" s="8" t="str">
        <x:v>G2</x:v>
      </x:c>
      <x:c r="F97" s="20" t="n">
        <x:v>1</x:v>
      </x:c>
      <x:c r="G97" s="12" t="n">
        <x:v>3420</x:v>
      </x:c>
      <x:c r="H97" s="21" t="n">
        <x:v>0.05</x:v>
      </x:c>
      <x:c r="I97" s="20" t="n">
        <x:v>1</x:v>
      </x:c>
      <x:c r="J97" s="20" t="n">
        <x:v>1</x:v>
      </x:c>
      <x:c r="K97" s="20" t="n">
        <x:v>1</x:v>
      </x:c>
      <x:c r="L97" s="12" t="n">
        <x:v>3420</x:v>
      </x:c>
      <x:c r="M97" s="8" t="n">
        <x:v>210</x:v>
      </x:c>
      <x:c r="N97" s="12" t="n">
        <x:v>250</x:v>
      </x:c>
      <x:c r="O97" s="8" t="n">
        <x:v>0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1</x:v>
      </x:c>
      <x:c r="U97" s="12" t="n">
        <x:v>0</x:v>
      </x:c>
      <x:c r="V97" s="8" t="n">
        <x:v>4</x:v>
      </x:c>
      <x:c r="W97" s="8" t="n">
        <x:v>230</x:v>
      </x:c>
      <x:c r="X97" s="12" t="n">
        <x:v>64400</x:v>
      </x:c>
      <x:c r="Y97" s="21" t="n">
        <x:v>0</x:v>
      </x:c>
      <x:c r="Z97" s="24" t="n">
        <x:f>IF($A97="","",INDEX(Settings!$C$29:$C$33,MATCH(E97,Settings!$A$29:$A$33,0)))</x:f>
        <x:v>3300</x:v>
      </x:c>
      <x:c r="AA97" s="22" t="n">
        <x:f>IF($A97="","",G97/Z97)</x:f>
        <x:v>1.0363636363636364</x:v>
      </x:c>
      <x:c r="AB97" s="25" t="n">
        <x:f>IF($A97="","",IF(ISNUMBER(Y97),Y97,Settings!$B$10))</x:f>
        <x:v>0</x:v>
      </x:c>
      <x:c r="AC97" s="23" t="n">
        <x:f>IF($A97="","",G97*(1+AB97))</x:f>
        <x:v>3420</x:v>
      </x:c>
      <x:c r="AD97" s="23" t="n">
        <x:f>IF($A97="","",G97*F97*12)</x:f>
        <x:v>41040</x:v>
      </x:c>
      <x:c r="AE97" s="23" t="n">
        <x:f>IF($A97="","",G97*F97*J97)</x:f>
        <x:v>3420</x:v>
      </x:c>
      <x:c r="AF97" s="24" t="n">
        <x:f>IF($A97="","",L97*F97*K97*Settings!$B$13)</x:f>
        <x:v>3146.4</x:v>
      </x:c>
      <x:c r="AG97" s="23" t="n">
        <x:f>IF($A97="","",AD97*H97*I97)</x:f>
        <x:v>2052</x:v>
      </x:c>
      <x:c r="AH97" s="24" t="n">
        <x:f>IF($A97="","",SUM(AD97:AE97,AG97)*SUM(Settings!$B$11:$B$12))</x:f>
        <x:v>11628</x:v>
      </x:c>
      <x:c r="AI97" s="24" t="n">
        <x:f>IF($A97="","",M97*Settings!$B$16)</x:f>
        <x:v>1871.1000000000001</x:v>
      </x:c>
      <x:c r="AJ97" s="24" t="n">
        <x:f>IF($A97="","",M97*Settings!$B$15)</x:f>
        <x:v>228.9</x:v>
      </x:c>
      <x:c r="AK97" s="24" t="n">
        <x:f>IF($A97="","",O97*Settings!$B$18)</x:f>
        <x:v>0</x:v>
      </x:c>
      <x:c r="AL97" s="24" t="n">
        <x:f>IF($A97="","",P97*Settings!$B$20+Q97*Settings!$B$21+R97*Settings!$B$22+S97*Settings!$B$23)</x:f>
        <x:v>0</x:v>
      </x:c>
      <x:c r="AM97" s="24" t="n">
        <x:f>IF($A97="","",T97*Settings!$B$24)</x:f>
        <x:v>40</x:v>
      </x:c>
      <x:c r="AN97" s="23" t="n">
        <x:f>IF($A97="","",SUM(AI97,N97,AK97:AM97,U97))</x:f>
        <x:v>2161.1000000000004</x:v>
      </x:c>
      <x:c r="AO97" s="23" t="n">
        <x:f>IF($A97="","",SUM(AD97:AI97,N97,AK97:AM97,U97))</x:f>
        <x:v>63447.5</x:v>
      </x:c>
      <x:c r="AP97" s="24" t="n">
        <x:f>IF($A97="","",G97*F97*AB97*((13-Settings!$B$9)*(1+H97*I97)+J97)*(1+SUM(Settings!$B$11:$B$12)))</x:f>
        <x:v>0</x:v>
      </x:c>
      <x:c r="AQ97" s="23" t="n">
        <x:f>IF($A97="","",SUM(AO97:AP97))</x:f>
        <x:v>63447.5</x:v>
      </x:c>
      <x:c r="AR97" s="23" t="n">
        <x:f>IF($A97="","",AQ97-X97)</x:f>
        <x:v>-952.5</x:v>
      </x:c>
      <x:c r="AS97" s="22" t="n">
        <x:f>IF($A97="","",IF(W97=0,"n.a.",V97/W97))</x:f>
        <x:v>0.017391304347826087</x:v>
      </x:c>
      <x:c r="AT97" s="26" t="str">
        <x:f>IF($A97="",IF(COUNTA(B97:Y97)&gt;0,"Missing ID",""),IF(COUNTIFS($A$9:$A$508,A97)&gt;1,"Duplicate ID",IF(OR(B97="",C97="",D97="",E97="",COUNT(F97:X97)&lt;&gt;19),"Missing / text input",IF(OR(COUNTIFS(Settings!$A$59:$A$64,B97)&lt;&gt;1,COUNTIFS(Settings!$A$29:$A$33,E97)&lt;&gt;1),"Unknown department / grade",IF(OR(F97&lt;=0,F97&gt;1,G97&lt;=0,L97&lt;=0,H97&lt;0,I97&lt;0,J97&lt;0,K97&lt;0,K97&gt;1,MIN(M97:X97)&lt;0,W97=0,V97&gt;W97,M97&gt;W97-V97,P97&gt;8,Q97&gt;4,R97&gt;12,S97&gt;12,T97&gt;1,AB97&lt;0),"Review quantity / rate",IF(OR(N97&gt;Settings!$C$17,AK97&gt;Settings!$C$19),"Review benefit ceiling","OK"))))))</x:f>
        <x:v>OK</x:v>
      </x:c>
    </x:row>
    <x:row r="98" ht="23" customHeight="1">
      <x:c r="A98" s="8" t="str">
        <x:v>BE-0090</x:v>
      </x:c>
      <x:c r="B98" s="8" t="str">
        <x:v>Business Support</x:v>
      </x:c>
      <x:c r="C98" s="8" t="str">
        <x:v>Ghent</x:v>
      </x:c>
      <x:c r="D98" s="8" t="str">
        <x:v>Business specialist</x:v>
      </x:c>
      <x:c r="E98" s="8" t="str">
        <x:v>G2</x:v>
      </x:c>
      <x:c r="F98" s="20" t="n">
        <x:v>1</x:v>
      </x:c>
      <x:c r="G98" s="12" t="n">
        <x:v>3590</x:v>
      </x:c>
      <x:c r="H98" s="21" t="n">
        <x:v>0.05</x:v>
      </x:c>
      <x:c r="I98" s="20" t="n">
        <x:v>1.1</x:v>
      </x:c>
      <x:c r="J98" s="20" t="n">
        <x:v>1</x:v>
      </x:c>
      <x:c r="K98" s="20" t="n">
        <x:v>1</x:v>
      </x:c>
      <x:c r="L98" s="12" t="n">
        <x:v>3590</x:v>
      </x:c>
      <x:c r="M98" s="8" t="n">
        <x:v>209</x:v>
      </x:c>
      <x:c r="N98" s="12" t="n">
        <x:v>250</x:v>
      </x:c>
      <x:c r="O98" s="8" t="n">
        <x:v>0</x:v>
      </x:c>
      <x:c r="P98" s="8" t="n">
        <x:v>8</x:v>
      </x:c>
      <x:c r="Q98" s="8" t="n">
        <x:v>4</x:v>
      </x:c>
      <x:c r="R98" s="8" t="n">
        <x:v>12</x:v>
      </x:c>
      <x:c r="S98" s="8" t="n">
        <x:v>0</x:v>
      </x:c>
      <x:c r="T98" s="8" t="n">
        <x:v>1</x:v>
      </x:c>
      <x:c r="U98" s="12" t="n">
        <x:v>0</x:v>
      </x:c>
      <x:c r="V98" s="8" t="n">
        <x:v>5</x:v>
      </x:c>
      <x:c r="W98" s="8" t="n">
        <x:v>230</x:v>
      </x:c>
      <x:c r="X98" s="12" t="n">
        <x:v>71400</x:v>
      </x:c>
      <x:c r="Y98" s="21"/>
      <x:c r="Z98" s="24" t="n">
        <x:f>IF($A98="","",INDEX(Settings!$C$29:$C$33,MATCH(E98,Settings!$A$29:$A$33,0)))</x:f>
        <x:v>3300</x:v>
      </x:c>
      <x:c r="AA98" s="22" t="n">
        <x:f>IF($A98="","",G98/Z98)</x:f>
        <x:v>1.087878787878788</x:v>
      </x:c>
      <x:c r="AB98" s="25" t="n">
        <x:f>IF($A98="","",IF(ISNUMBER(Y98),Y98,Settings!$B$10))</x:f>
        <x:v>0.03</x:v>
      </x:c>
      <x:c r="AC98" s="23" t="n">
        <x:f>IF($A98="","",G98*(1+AB98))</x:f>
        <x:v>3697.7000000000003</x:v>
      </x:c>
      <x:c r="AD98" s="23" t="n">
        <x:f>IF($A98="","",G98*F98*12)</x:f>
        <x:v>43080</x:v>
      </x:c>
      <x:c r="AE98" s="23" t="n">
        <x:f>IF($A98="","",G98*F98*J98)</x:f>
        <x:v>3590</x:v>
      </x:c>
      <x:c r="AF98" s="24" t="n">
        <x:f>IF($A98="","",L98*F98*K98*Settings!$B$13)</x:f>
        <x:v>3302.8</x:v>
      </x:c>
      <x:c r="AG98" s="23" t="n">
        <x:f>IF($A98="","",AD98*H98*I98)</x:f>
        <x:v>2369.4</x:v>
      </x:c>
      <x:c r="AH98" s="24" t="n">
        <x:f>IF($A98="","",SUM(AD98:AE98,AG98)*SUM(Settings!$B$11:$B$12))</x:f>
        <x:v>12259.85</x:v>
      </x:c>
      <x:c r="AI98" s="24" t="n">
        <x:f>IF($A98="","",M98*Settings!$B$16)</x:f>
        <x:v>1862.19</x:v>
      </x:c>
      <x:c r="AJ98" s="24" t="n">
        <x:f>IF($A98="","",M98*Settings!$B$15)</x:f>
        <x:v>227.81000000000003</x:v>
      </x:c>
      <x:c r="AK98" s="24" t="n">
        <x:f>IF($A98="","",O98*Settings!$B$18)</x:f>
        <x:v>0</x:v>
      </x:c>
      <x:c r="AL98" s="24" t="n">
        <x:f>IF($A98="","",P98*Settings!$B$20+Q98*Settings!$B$21+R98*Settings!$B$22+S98*Settings!$B$23)</x:f>
        <x:v>2184.76</x:v>
      </x:c>
      <x:c r="AM98" s="24" t="n">
        <x:f>IF($A98="","",T98*Settings!$B$24)</x:f>
        <x:v>40</x:v>
      </x:c>
      <x:c r="AN98" s="23" t="n">
        <x:f>IF($A98="","",SUM(AI98,N98,AK98:AM98,U98))</x:f>
        <x:v>4336.950000000001</x:v>
      </x:c>
      <x:c r="AO98" s="23" t="n">
        <x:f>IF($A98="","",SUM(AD98:AI98,N98,AK98:AM98,U98))</x:f>
        <x:v>68939</x:v>
      </x:c>
      <x:c r="AP98" s="24" t="n">
        <x:f>IF($A98="","",G98*F98*AB98*((13-Settings!$B$9)*(1+H98*I98)+J98)*(1+SUM(Settings!$B$11:$B$12)))</x:f>
        <x:v>1412.889375</x:v>
      </x:c>
      <x:c r="AQ98" s="23" t="n">
        <x:f>IF($A98="","",SUM(AO98:AP98))</x:f>
        <x:v>70351.889375</x:v>
      </x:c>
      <x:c r="AR98" s="23" t="n">
        <x:f>IF($A98="","",AQ98-X98)</x:f>
        <x:v>-1048.1106250000012</x:v>
      </x:c>
      <x:c r="AS98" s="22" t="n">
        <x:f>IF($A98="","",IF(W98=0,"n.a.",V98/W98))</x:f>
        <x:v>0.021739130434782608</x:v>
      </x:c>
      <x:c r="AT98" s="26" t="str">
        <x:f>IF($A98="",IF(COUNTA(B98:Y98)&gt;0,"Missing ID",""),IF(COUNTIFS($A$9:$A$508,A98)&gt;1,"Duplicate ID",IF(OR(B98="",C98="",D98="",E98="",COUNT(F98:X98)&lt;&gt;19),"Missing / text input",IF(OR(COUNTIFS(Settings!$A$59:$A$64,B98)&lt;&gt;1,COUNTIFS(Settings!$A$29:$A$33,E98)&lt;&gt;1),"Unknown department / grade",IF(OR(F98&lt;=0,F98&gt;1,G98&lt;=0,L98&lt;=0,H98&lt;0,I98&lt;0,J98&lt;0,K98&lt;0,K98&gt;1,MIN(M98:X98)&lt;0,W98=0,V98&gt;W98,M98&gt;W98-V98,P98&gt;8,Q98&gt;4,R98&gt;12,S98&gt;12,T98&gt;1,AB98&lt;0),"Review quantity / rate",IF(OR(N98&gt;Settings!$C$17,AK98&gt;Settings!$C$19),"Review benefit ceiling","OK"))))))</x:f>
        <x:v>OK</x:v>
      </x:c>
    </x:row>
    <x:row r="99" ht="23" customHeight="1">
      <x:c r="A99" s="8" t="str">
        <x:v>BE-0091</x:v>
      </x:c>
      <x:c r="B99" s="8" t="str">
        <x:v>Finance</x:v>
      </x:c>
      <x:c r="C99" s="8" t="str">
        <x:v>Brussels</x:v>
      </x:c>
      <x:c r="D99" s="8" t="str">
        <x:v>Accountant</x:v>
      </x:c>
      <x:c r="E99" s="8" t="str">
        <x:v>G2</x:v>
      </x:c>
      <x:c r="F99" s="20" t="n">
        <x:v>0.6</x:v>
      </x:c>
      <x:c r="G99" s="12" t="n">
        <x:v>3530</x:v>
      </x:c>
      <x:c r="H99" s="21" t="n">
        <x:v>0.05</x:v>
      </x:c>
      <x:c r="I99" s="20" t="n">
        <x:v>0.8</x:v>
      </x:c>
      <x:c r="J99" s="20" t="n">
        <x:v>1</x:v>
      </x:c>
      <x:c r="K99" s="20" t="n">
        <x:v>1</x:v>
      </x:c>
      <x:c r="L99" s="12" t="n">
        <x:v>3530</x:v>
      </x:c>
      <x:c r="M99" s="8" t="n">
        <x:v>122</x:v>
      </x:c>
      <x:c r="N99" s="12" t="n">
        <x:v>150</x:v>
      </x:c>
      <x:c r="O99" s="8" t="n">
        <x:v>1840</x:v>
      </x:c>
      <x:c r="P99" s="8" t="n">
        <x:v>8</x:v>
      </x:c>
      <x:c r="Q99" s="8" t="n">
        <x:v>4</x:v>
      </x:c>
      <x:c r="R99" s="8" t="n">
        <x:v>12</x:v>
      </x:c>
      <x:c r="S99" s="8" t="n">
        <x:v>12</x:v>
      </x:c>
      <x:c r="T99" s="8" t="n">
        <x:v>1</x:v>
      </x:c>
      <x:c r="U99" s="12" t="n">
        <x:v>0</x:v>
      </x:c>
      <x:c r="V99" s="8" t="n">
        <x:v>6</x:v>
      </x:c>
      <x:c r="W99" s="8" t="n">
        <x:v>138</x:v>
      </x:c>
      <x:c r="X99" s="12" t="n">
        <x:v>42200</x:v>
      </x:c>
      <x:c r="Y99" s="21"/>
      <x:c r="Z99" s="24" t="n">
        <x:f>IF($A99="","",INDEX(Settings!$C$29:$C$33,MATCH(E99,Settings!$A$29:$A$33,0)))</x:f>
        <x:v>3300</x:v>
      </x:c>
      <x:c r="AA99" s="22" t="n">
        <x:f>IF($A99="","",G99/Z99)</x:f>
        <x:v>1.0696969696969696</x:v>
      </x:c>
      <x:c r="AB99" s="25" t="n">
        <x:f>IF($A99="","",IF(ISNUMBER(Y99),Y99,Settings!$B$10))</x:f>
        <x:v>0.03</x:v>
      </x:c>
      <x:c r="AC99" s="23" t="n">
        <x:f>IF($A99="","",G99*(1+AB99))</x:f>
        <x:v>3635.9</x:v>
      </x:c>
      <x:c r="AD99" s="23" t="n">
        <x:f>IF($A99="","",G99*F99*12)</x:f>
        <x:v>25416</x:v>
      </x:c>
      <x:c r="AE99" s="23" t="n">
        <x:f>IF($A99="","",G99*F99*J99)</x:f>
        <x:v>2118</x:v>
      </x:c>
      <x:c r="AF99" s="24" t="n">
        <x:f>IF($A99="","",L99*F99*K99*Settings!$B$13)</x:f>
        <x:v>1948.5600000000002</x:v>
      </x:c>
      <x:c r="AG99" s="23" t="n">
        <x:f>IF($A99="","",AD99*H99*I99)</x:f>
        <x:v>1016.6400000000002</x:v>
      </x:c>
      <x:c r="AH99" s="24" t="n">
        <x:f>IF($A99="","",SUM(AD99:AE99,AG99)*SUM(Settings!$B$11:$B$12))</x:f>
        <x:v>7137.66</x:v>
      </x:c>
      <x:c r="AI99" s="24" t="n">
        <x:f>IF($A99="","",M99*Settings!$B$16)</x:f>
        <x:v>1087.02</x:v>
      </x:c>
      <x:c r="AJ99" s="24" t="n">
        <x:f>IF($A99="","",M99*Settings!$B$15)</x:f>
        <x:v>132.98000000000002</x:v>
      </x:c>
      <x:c r="AK99" s="24" t="n">
        <x:f>IF($A99="","",O99*Settings!$B$18)</x:f>
        <x:v>680.8</x:v>
      </x:c>
      <x:c r="AL99" s="24" t="n">
        <x:f>IF($A99="","",P99*Settings!$B$20+Q99*Settings!$B$21+R99*Settings!$B$22+S99*Settings!$B$23)</x:f>
        <x:v>2424.76</x:v>
      </x:c>
      <x:c r="AM99" s="24" t="n">
        <x:f>IF($A99="","",T99*Settings!$B$24)</x:f>
        <x:v>40</x:v>
      </x:c>
      <x:c r="AN99" s="23" t="n">
        <x:f>IF($A99="","",SUM(AI99,N99,AK99:AM99,U99))</x:f>
        <x:v>4382.58</x:v>
      </x:c>
      <x:c r="AO99" s="23" t="n">
        <x:f>IF($A99="","",SUM(AD99:AI99,N99,AK99:AM99,U99))</x:f>
        <x:v>42019.439999999995</x:v>
      </x:c>
      <x:c r="AP99" s="24" t="n">
        <x:f>IF($A99="","",G99*F99*AB99*((13-Settings!$B$9)*(1+H99*I99)+J99)*(1+SUM(Settings!$B$11:$B$12)))</x:f>
        <x:v>822.8429999999998</x:v>
      </x:c>
      <x:c r="AQ99" s="23" t="n">
        <x:f>IF($A99="","",SUM(AO99:AP99))</x:f>
        <x:v>42842.282999999996</x:v>
      </x:c>
      <x:c r="AR99" s="23" t="n">
        <x:f>IF($A99="","",AQ99-X99)</x:f>
        <x:v>642.2829999999958</x:v>
      </x:c>
      <x:c r="AS99" s="22" t="n">
        <x:f>IF($A99="","",IF(W99=0,"n.a.",V99/W99))</x:f>
        <x:v>0.043478260869565216</x:v>
      </x:c>
      <x:c r="AT99" s="26" t="str">
        <x:f>IF($A99="",IF(COUNTA(B99:Y99)&gt;0,"Missing ID",""),IF(COUNTIFS($A$9:$A$508,A99)&gt;1,"Duplicate ID",IF(OR(B99="",C99="",D99="",E99="",COUNT(F99:X99)&lt;&gt;19),"Missing / text input",IF(OR(COUNTIFS(Settings!$A$59:$A$64,B99)&lt;&gt;1,COUNTIFS(Settings!$A$29:$A$33,E99)&lt;&gt;1),"Unknown department / grade",IF(OR(F99&lt;=0,F99&gt;1,G99&lt;=0,L99&lt;=0,H99&lt;0,I99&lt;0,J99&lt;0,K99&lt;0,K99&gt;1,MIN(M99:X99)&lt;0,W99=0,V99&gt;W99,M99&gt;W99-V99,P99&gt;8,Q99&gt;4,R99&gt;12,S99&gt;12,T99&gt;1,AB99&lt;0),"Review quantity / rate",IF(OR(N99&gt;Settings!$C$17,AK99&gt;Settings!$C$19),"Review benefit ceiling","OK"))))))</x:f>
        <x:v>OK</x:v>
      </x:c>
    </x:row>
    <x:row r="100" ht="23" customHeight="1">
      <x:c r="A100" s="8" t="str">
        <x:v>BE-0092</x:v>
      </x:c>
      <x:c r="B100" s="8" t="str">
        <x:v>People &amp; Culture</x:v>
      </x:c>
      <x:c r="C100" s="8" t="str">
        <x:v>Antwerp</x:v>
      </x:c>
      <x:c r="D100" s="8" t="str">
        <x:v>HR specialist</x:v>
      </x:c>
      <x:c r="E100" s="8" t="str">
        <x:v>G2</x:v>
      </x:c>
      <x:c r="F100" s="20" t="n">
        <x:v>0.8</x:v>
      </x:c>
      <x:c r="G100" s="12" t="n">
        <x:v>3040</x:v>
      </x:c>
      <x:c r="H100" s="21" t="n">
        <x:v>0.05</x:v>
      </x:c>
      <x:c r="I100" s="20" t="n">
        <x:v>1</x:v>
      </x:c>
      <x:c r="J100" s="20" t="n">
        <x:v>1</x:v>
      </x:c>
      <x:c r="K100" s="20" t="n">
        <x:v>1</x:v>
      </x:c>
      <x:c r="L100" s="12" t="n">
        <x:v>3040</x:v>
      </x:c>
      <x:c r="M100" s="8" t="n">
        <x:v>171</x:v>
      </x:c>
      <x:c r="N100" s="12" t="n">
        <x:v>200</x:v>
      </x:c>
      <x:c r="O100" s="8" t="n">
        <x:v>0</x:v>
      </x:c>
      <x:c r="P100" s="8" t="n">
        <x:v>8</x:v>
      </x:c>
      <x:c r="Q100" s="8" t="n">
        <x:v>4</x:v>
      </x:c>
      <x:c r="R100" s="8" t="n">
        <x:v>12</x:v>
      </x:c>
      <x:c r="S100" s="8" t="n">
        <x:v>0</x:v>
      </x:c>
      <x:c r="T100" s="8" t="n">
        <x:v>1</x:v>
      </x:c>
      <x:c r="U100" s="12" t="n">
        <x:v>0</x:v>
      </x:c>
      <x:c r="V100" s="8" t="n">
        <x:v>7</x:v>
      </x:c>
      <x:c r="W100" s="8" t="n">
        <x:v>184</x:v>
      </x:c>
      <x:c r="X100" s="12" t="n">
        <x:v>49200</x:v>
      </x:c>
      <x:c r="Y100" s="21"/>
      <x:c r="Z100" s="24" t="n">
        <x:f>IF($A100="","",INDEX(Settings!$C$29:$C$33,MATCH(E100,Settings!$A$29:$A$33,0)))</x:f>
        <x:v>3300</x:v>
      </x:c>
      <x:c r="AA100" s="22" t="n">
        <x:f>IF($A100="","",G100/Z100)</x:f>
        <x:v>0.9212121212121213</x:v>
      </x:c>
      <x:c r="AB100" s="25" t="n">
        <x:f>IF($A100="","",IF(ISNUMBER(Y100),Y100,Settings!$B$10))</x:f>
        <x:v>0.03</x:v>
      </x:c>
      <x:c r="AC100" s="23" t="n">
        <x:f>IF($A100="","",G100*(1+AB100))</x:f>
        <x:v>3131.2000000000003</x:v>
      </x:c>
      <x:c r="AD100" s="23" t="n">
        <x:f>IF($A100="","",G100*F100*12)</x:f>
        <x:v>29184</x:v>
      </x:c>
      <x:c r="AE100" s="23" t="n">
        <x:f>IF($A100="","",G100*F100*J100)</x:f>
        <x:v>2432</x:v>
      </x:c>
      <x:c r="AF100" s="24" t="n">
        <x:f>IF($A100="","",L100*F100*K100*Settings!$B$13)</x:f>
        <x:v>2237.44</x:v>
      </x:c>
      <x:c r="AG100" s="23" t="n">
        <x:f>IF($A100="","",AD100*H100*I100)</x:f>
        <x:v>1459.2</x:v>
      </x:c>
      <x:c r="AH100" s="24" t="n">
        <x:f>IF($A100="","",SUM(AD100:AE100,AG100)*SUM(Settings!$B$11:$B$12))</x:f>
        <x:v>8268.8</x:v>
      </x:c>
      <x:c r="AI100" s="24" t="n">
        <x:f>IF($A100="","",M100*Settings!$B$16)</x:f>
        <x:v>1523.6100000000001</x:v>
      </x:c>
      <x:c r="AJ100" s="24" t="n">
        <x:f>IF($A100="","",M100*Settings!$B$15)</x:f>
        <x:v>186.39000000000001</x:v>
      </x:c>
      <x:c r="AK100" s="24" t="n">
        <x:f>IF($A100="","",O100*Settings!$B$18)</x:f>
        <x:v>0</x:v>
      </x:c>
      <x:c r="AL100" s="24" t="n">
        <x:f>IF($A100="","",P100*Settings!$B$20+Q100*Settings!$B$21+R100*Settings!$B$22+S100*Settings!$B$23)</x:f>
        <x:v>2184.76</x:v>
      </x:c>
      <x:c r="AM100" s="24" t="n">
        <x:f>IF($A100="","",T100*Settings!$B$24)</x:f>
        <x:v>40</x:v>
      </x:c>
      <x:c r="AN100" s="23" t="n">
        <x:f>IF($A100="","",SUM(AI100,N100,AK100:AM100,U100))</x:f>
        <x:v>3948.3700000000003</x:v>
      </x:c>
      <x:c r="AO100" s="23" t="n">
        <x:f>IF($A100="","",SUM(AD100:AI100,N100,AK100:AM100,U100))</x:f>
        <x:v>47529.810000000005</x:v>
      </x:c>
      <x:c r="AP100" s="24" t="n">
        <x:f>IF($A100="","",G100*F100*AB100*((13-Settings!$B$9)*(1+H100*I100)+J100)*(1+SUM(Settings!$B$11:$B$12)))</x:f>
        <x:v>953.04</x:v>
      </x:c>
      <x:c r="AQ100" s="23" t="n">
        <x:f>IF($A100="","",SUM(AO100:AP100))</x:f>
        <x:v>48482.850000000006</x:v>
      </x:c>
      <x:c r="AR100" s="23" t="n">
        <x:f>IF($A100="","",AQ100-X100)</x:f>
        <x:v>-717.1499999999942</x:v>
      </x:c>
      <x:c r="AS100" s="22" t="n">
        <x:f>IF($A100="","",IF(W100=0,"n.a.",V100/W100))</x:f>
        <x:v>0.03804347826086957</x:v>
      </x:c>
      <x:c r="AT100" s="26" t="str">
        <x:f>IF($A100="",IF(COUNTA(B100:Y100)&gt;0,"Missing ID",""),IF(COUNTIFS($A$9:$A$508,A100)&gt;1,"Duplicate ID",IF(OR(B100="",C100="",D100="",E100="",COUNT(F100:X100)&lt;&gt;19),"Missing / text input",IF(OR(COUNTIFS(Settings!$A$59:$A$64,B100)&lt;&gt;1,COUNTIFS(Settings!$A$29:$A$33,E100)&lt;&gt;1),"Unknown department / grade",IF(OR(F100&lt;=0,F100&gt;1,G100&lt;=0,L100&lt;=0,H100&lt;0,I100&lt;0,J100&lt;0,K100&lt;0,K100&gt;1,MIN(M100:X100)&lt;0,W100=0,V100&gt;W100,M100&gt;W100-V100,P100&gt;8,Q100&gt;4,R100&gt;12,S100&gt;12,T100&gt;1,AB100&lt;0),"Review quantity / rate",IF(OR(N100&gt;Settings!$C$17,AK100&gt;Settings!$C$19),"Review benefit ceiling","OK"))))))</x:f>
        <x:v>OK</x:v>
      </x:c>
    </x:row>
    <x:row r="101" ht="23" customHeight="1">
      <x:c r="A101" s="8" t="str">
        <x:v>BE-0093</x:v>
      </x:c>
      <x:c r="B101" s="8" t="str">
        <x:v>Technology</x:v>
      </x:c>
      <x:c r="C101" s="8" t="str">
        <x:v>Ghent</x:v>
      </x:c>
      <x:c r="D101" s="8" t="str">
        <x:v>Senior engineer</x:v>
      </x:c>
      <x:c r="E101" s="8" t="str">
        <x:v>G3</x:v>
      </x:c>
      <x:c r="F101" s="20" t="n">
        <x:v>1</x:v>
      </x:c>
      <x:c r="G101" s="12" t="n">
        <x:v>4320</x:v>
      </x:c>
      <x:c r="H101" s="21" t="n">
        <x:v>0.08</x:v>
      </x:c>
      <x:c r="I101" s="20" t="n">
        <x:v>1.1</x:v>
      </x:c>
      <x:c r="J101" s="20" t="n">
        <x:v>1</x:v>
      </x:c>
      <x:c r="K101" s="20" t="n">
        <x:v>1</x:v>
      </x:c>
      <x:c r="L101" s="12" t="n">
        <x:v>4320</x:v>
      </x:c>
      <x:c r="M101" s="8" t="n">
        <x:v>213</x:v>
      </x:c>
      <x:c r="N101" s="12" t="n">
        <x:v>250</x:v>
      </x:c>
      <x:c r="O101" s="8" t="n">
        <x:v>0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1</x:v>
      </x:c>
      <x:c r="U101" s="12" t="n">
        <x:v>0</x:v>
      </x:c>
      <x:c r="V101" s="8" t="n">
        <x:v>8</x:v>
      </x:c>
      <x:c r="W101" s="8" t="n">
        <x:v>230</x:v>
      </x:c>
      <x:c r="X101" s="12" t="n">
        <x:v>85100</x:v>
      </x:c>
      <x:c r="Y101" s="21"/>
      <x:c r="Z101" s="24" t="n">
        <x:f>IF($A101="","",INDEX(Settings!$C$29:$C$33,MATCH(E101,Settings!$A$29:$A$33,0)))</x:f>
        <x:v>4200</x:v>
      </x:c>
      <x:c r="AA101" s="22" t="n">
        <x:f>IF($A101="","",G101/Z101)</x:f>
        <x:v>1.0285714285714285</x:v>
      </x:c>
      <x:c r="AB101" s="25" t="n">
        <x:f>IF($A101="","",IF(ISNUMBER(Y101),Y101,Settings!$B$10))</x:f>
        <x:v>0.03</x:v>
      </x:c>
      <x:c r="AC101" s="23" t="n">
        <x:f>IF($A101="","",G101*(1+AB101))</x:f>
        <x:v>4449.6</x:v>
      </x:c>
      <x:c r="AD101" s="23" t="n">
        <x:f>IF($A101="","",G101*F101*12)</x:f>
        <x:v>51840</x:v>
      </x:c>
      <x:c r="AE101" s="23" t="n">
        <x:f>IF($A101="","",G101*F101*J101)</x:f>
        <x:v>4320</x:v>
      </x:c>
      <x:c r="AF101" s="24" t="n">
        <x:f>IF($A101="","",L101*F101*K101*Settings!$B$13)</x:f>
        <x:v>3974.4</x:v>
      </x:c>
      <x:c r="AG101" s="23" t="n">
        <x:f>IF($A101="","",AD101*H101*I101)</x:f>
        <x:v>4561.92</x:v>
      </x:c>
      <x:c r="AH101" s="24" t="n">
        <x:f>IF($A101="","",SUM(AD101:AE101,AG101)*SUM(Settings!$B$11:$B$12))</x:f>
        <x:v>15180.48</x:v>
      </x:c>
      <x:c r="AI101" s="24" t="n">
        <x:f>IF($A101="","",M101*Settings!$B$16)</x:f>
        <x:v>1897.83</x:v>
      </x:c>
      <x:c r="AJ101" s="24" t="n">
        <x:f>IF($A101="","",M101*Settings!$B$15)</x:f>
        <x:v>232.17000000000002</x:v>
      </x:c>
      <x:c r="AK101" s="24" t="n">
        <x:f>IF($A101="","",O101*Settings!$B$18)</x:f>
        <x:v>0</x:v>
      </x:c>
      <x:c r="AL101" s="24" t="n">
        <x:f>IF($A101="","",P101*Settings!$B$20+Q101*Settings!$B$21+R101*Settings!$B$22+S101*Settings!$B$23)</x:f>
        <x:v>0</x:v>
      </x:c>
      <x:c r="AM101" s="24" t="n">
        <x:f>IF($A101="","",T101*Settings!$B$24)</x:f>
        <x:v>40</x:v>
      </x:c>
      <x:c r="AN101" s="23" t="n">
        <x:f>IF($A101="","",SUM(AI101,N101,AK101:AM101,U101))</x:f>
        <x:v>2187.83</x:v>
      </x:c>
      <x:c r="AO101" s="23" t="n">
        <x:f>IF($A101="","",SUM(AD101:AI101,N101,AK101:AM101,U101))</x:f>
        <x:v>82064.63</x:v>
      </x:c>
      <x:c r="AP101" s="24" t="n">
        <x:f>IF($A101="","",G101*F101*AB101*((13-Settings!$B$9)*(1+H101*I101)+J101)*(1+SUM(Settings!$B$11:$B$12)))</x:f>
        <x:v>1748.3040000000003</x:v>
      </x:c>
      <x:c r="AQ101" s="23" t="n">
        <x:f>IF($A101="","",SUM(AO101:AP101))</x:f>
        <x:v>83812.93400000001</x:v>
      </x:c>
      <x:c r="AR101" s="23" t="n">
        <x:f>IF($A101="","",AQ101-X101)</x:f>
        <x:v>-1287.0659999999916</x:v>
      </x:c>
      <x:c r="AS101" s="22" t="n">
        <x:f>IF($A101="","",IF(W101=0,"n.a.",V101/W101))</x:f>
        <x:v>0.034782608695652174</x:v>
      </x:c>
      <x:c r="AT101" s="26" t="str">
        <x:f>IF($A101="",IF(COUNTA(B101:Y101)&gt;0,"Missing ID",""),IF(COUNTIFS($A$9:$A$508,A101)&gt;1,"Duplicate ID",IF(OR(B101="",C101="",D101="",E101="",COUNT(F101:X101)&lt;&gt;19),"Missing / text input",IF(OR(COUNTIFS(Settings!$A$59:$A$64,B101)&lt;&gt;1,COUNTIFS(Settings!$A$29:$A$33,E101)&lt;&gt;1),"Unknown department / grade",IF(OR(F101&lt;=0,F101&gt;1,G101&lt;=0,L101&lt;=0,H101&lt;0,I101&lt;0,J101&lt;0,K101&lt;0,K101&gt;1,MIN(M101:X101)&lt;0,W101=0,V101&gt;W101,M101&gt;W101-V101,P101&gt;8,Q101&gt;4,R101&gt;12,S101&gt;12,T101&gt;1,AB101&lt;0),"Review quantity / rate",IF(OR(N101&gt;Settings!$C$17,AK101&gt;Settings!$C$19),"Review benefit ceiling","OK"))))))</x:f>
        <x:v>OK</x:v>
      </x:c>
    </x:row>
    <x:row r="102" ht="23" customHeight="1">
      <x:c r="A102" s="8" t="str">
        <x:v>BE-0094</x:v>
      </x:c>
      <x:c r="B102" s="8" t="str">
        <x:v>Sales</x:v>
      </x:c>
      <x:c r="C102" s="8" t="str">
        <x:v>Brussels</x:v>
      </x:c>
      <x:c r="D102" s="8" t="str">
        <x:v>Senior account manager</x:v>
      </x:c>
      <x:c r="E102" s="8" t="str">
        <x:v>G3</x:v>
      </x:c>
      <x:c r="F102" s="20" t="n">
        <x:v>1</x:v>
      </x:c>
      <x:c r="G102" s="12" t="n">
        <x:v>4450</x:v>
      </x:c>
      <x:c r="H102" s="21" t="n">
        <x:v>0.08</x:v>
      </x:c>
      <x:c r="I102" s="20" t="n">
        <x:v>0.8</x:v>
      </x:c>
      <x:c r="J102" s="20" t="n">
        <x:v>1</x:v>
      </x:c>
      <x:c r="K102" s="20" t="n">
        <x:v>1</x:v>
      </x:c>
      <x:c r="L102" s="12" t="n">
        <x:v>4450</x:v>
      </x:c>
      <x:c r="M102" s="8" t="n">
        <x:v>212</x:v>
      </x:c>
      <x:c r="N102" s="12" t="n">
        <x:v>250</x:v>
      </x:c>
      <x:c r="O102" s="8" t="n">
        <x:v>2170</x:v>
      </x:c>
      <x:c r="P102" s="8" t="n">
        <x:v>8</x:v>
      </x:c>
      <x:c r="Q102" s="8" t="n">
        <x:v>4</x:v>
      </x:c>
      <x:c r="R102" s="8" t="n">
        <x:v>12</x:v>
      </x:c>
      <x:c r="S102" s="8" t="n">
        <x:v>0</x:v>
      </x:c>
      <x:c r="T102" s="8" t="n">
        <x:v>1</x:v>
      </x:c>
      <x:c r="U102" s="12" t="n">
        <x:v>0</x:v>
      </x:c>
      <x:c r="V102" s="8" t="n">
        <x:v>9</x:v>
      </x:c>
      <x:c r="W102" s="8" t="n">
        <x:v>230</x:v>
      </x:c>
      <x:c r="X102" s="12" t="n">
        <x:v>88900</x:v>
      </x:c>
      <x:c r="Y102" s="21"/>
      <x:c r="Z102" s="24" t="n">
        <x:f>IF($A102="","",INDEX(Settings!$C$29:$C$33,MATCH(E102,Settings!$A$29:$A$33,0)))</x:f>
        <x:v>4200</x:v>
      </x:c>
      <x:c r="AA102" s="22" t="n">
        <x:f>IF($A102="","",G102/Z102)</x:f>
        <x:v>1.0595238095238095</x:v>
      </x:c>
      <x:c r="AB102" s="25" t="n">
        <x:f>IF($A102="","",IF(ISNUMBER(Y102),Y102,Settings!$B$10))</x:f>
        <x:v>0.03</x:v>
      </x:c>
      <x:c r="AC102" s="23" t="n">
        <x:f>IF($A102="","",G102*(1+AB102))</x:f>
        <x:v>4583.5</x:v>
      </x:c>
      <x:c r="AD102" s="23" t="n">
        <x:f>IF($A102="","",G102*F102*12)</x:f>
        <x:v>53400</x:v>
      </x:c>
      <x:c r="AE102" s="23" t="n">
        <x:f>IF($A102="","",G102*F102*J102)</x:f>
        <x:v>4450</x:v>
      </x:c>
      <x:c r="AF102" s="24" t="n">
        <x:f>IF($A102="","",L102*F102*K102*Settings!$B$13)</x:f>
        <x:v>4094</x:v>
      </x:c>
      <x:c r="AG102" s="23" t="n">
        <x:f>IF($A102="","",AD102*H102*I102)</x:f>
        <x:v>3417.6000000000004</x:v>
      </x:c>
      <x:c r="AH102" s="24" t="n">
        <x:f>IF($A102="","",SUM(AD102:AE102,AG102)*SUM(Settings!$B$11:$B$12))</x:f>
        <x:v>15316.9</x:v>
      </x:c>
      <x:c r="AI102" s="24" t="n">
        <x:f>IF($A102="","",M102*Settings!$B$16)</x:f>
        <x:v>1888.92</x:v>
      </x:c>
      <x:c r="AJ102" s="24" t="n">
        <x:f>IF($A102="","",M102*Settings!$B$15)</x:f>
        <x:v>231.08</x:v>
      </x:c>
      <x:c r="AK102" s="24" t="n">
        <x:f>IF($A102="","",O102*Settings!$B$18)</x:f>
        <x:v>802.9</x:v>
      </x:c>
      <x:c r="AL102" s="24" t="n">
        <x:f>IF($A102="","",P102*Settings!$B$20+Q102*Settings!$B$21+R102*Settings!$B$22+S102*Settings!$B$23)</x:f>
        <x:v>2184.76</x:v>
      </x:c>
      <x:c r="AM102" s="24" t="n">
        <x:f>IF($A102="","",T102*Settings!$B$24)</x:f>
        <x:v>40</x:v>
      </x:c>
      <x:c r="AN102" s="23" t="n">
        <x:f>IF($A102="","",SUM(AI102,N102,AK102:AM102,U102))</x:f>
        <x:v>5166.58</x:v>
      </x:c>
      <x:c r="AO102" s="23" t="n">
        <x:f>IF($A102="","",SUM(AD102:AI102,N102,AK102:AM102,U102))</x:f>
        <x:v>85845.08</x:v>
      </x:c>
      <x:c r="AP102" s="24" t="n">
        <x:f>IF($A102="","",G102*F102*AB102*((13-Settings!$B$9)*(1+H102*I102)+J102)*(1+SUM(Settings!$B$11:$B$12)))</x:f>
        <x:v>1764.87</x:v>
      </x:c>
      <x:c r="AQ102" s="23" t="n">
        <x:f>IF($A102="","",SUM(AO102:AP102))</x:f>
        <x:v>87609.95</x:v>
      </x:c>
      <x:c r="AR102" s="23" t="n">
        <x:f>IF($A102="","",AQ102-X102)</x:f>
        <x:v>-1290.050000000003</x:v>
      </x:c>
      <x:c r="AS102" s="22" t="n">
        <x:f>IF($A102="","",IF(W102=0,"n.a.",V102/W102))</x:f>
        <x:v>0.0391304347826087</x:v>
      </x:c>
      <x:c r="AT102" s="26" t="str">
        <x:f>IF($A102="",IF(COUNTA(B102:Y102)&gt;0,"Missing ID",""),IF(COUNTIFS($A$9:$A$508,A102)&gt;1,"Duplicate ID",IF(OR(B102="",C102="",D102="",E102="",COUNT(F102:X102)&lt;&gt;19),"Missing / text input",IF(OR(COUNTIFS(Settings!$A$59:$A$64,B102)&lt;&gt;1,COUNTIFS(Settings!$A$29:$A$33,E102)&lt;&gt;1),"Unknown department / grade",IF(OR(F102&lt;=0,F102&gt;1,G102&lt;=0,L102&lt;=0,H102&lt;0,I102&lt;0,J102&lt;0,K102&lt;0,K102&gt;1,MIN(M102:X102)&lt;0,W102=0,V102&gt;W102,M102&gt;W102-V102,P102&gt;8,Q102&gt;4,R102&gt;12,S102&gt;12,T102&gt;1,AB102&lt;0),"Review quantity / rate",IF(OR(N102&gt;Settings!$C$17,AK102&gt;Settings!$C$19),"Review benefit ceiling","OK"))))))</x:f>
        <x:v>OK</x:v>
      </x:c>
    </x:row>
    <x:row r="103" ht="23" customHeight="1">
      <x:c r="A103" s="8" t="str">
        <x:v>BE-0095</x:v>
      </x:c>
      <x:c r="B103" s="8" t="str">
        <x:v>Customer Operations</x:v>
      </x:c>
      <x:c r="C103" s="8" t="str">
        <x:v>Antwerp</x:v>
      </x:c>
      <x:c r="D103" s="8" t="str">
        <x:v>Senior service specialist</x:v>
      </x:c>
      <x:c r="E103" s="8" t="str">
        <x:v>G3</x:v>
      </x:c>
      <x:c r="F103" s="20" t="n">
        <x:v>1</x:v>
      </x:c>
      <x:c r="G103" s="12" t="n">
        <x:v>4080</x:v>
      </x:c>
      <x:c r="H103" s="21" t="n">
        <x:v>0.08</x:v>
      </x:c>
      <x:c r="I103" s="20" t="n">
        <x:v>1</x:v>
      </x:c>
      <x:c r="J103" s="20" t="n">
        <x:v>1</x:v>
      </x:c>
      <x:c r="K103" s="20" t="n">
        <x:v>1</x:v>
      </x:c>
      <x:c r="L103" s="12" t="n">
        <x:v>4080</x:v>
      </x:c>
      <x:c r="M103" s="8" t="n">
        <x:v>211</x:v>
      </x:c>
      <x:c r="N103" s="12" t="n">
        <x:v>250</x:v>
      </x:c>
      <x:c r="O103" s="8" t="n">
        <x:v>0</x:v>
      </x:c>
      <x:c r="P103" s="8" t="n">
        <x:v>8</x:v>
      </x:c>
      <x:c r="Q103" s="8" t="n">
        <x:v>4</x:v>
      </x:c>
      <x:c r="R103" s="8" t="n">
        <x:v>12</x:v>
      </x:c>
      <x:c r="S103" s="8" t="n">
        <x:v>0</x:v>
      </x:c>
      <x:c r="T103" s="8" t="n">
        <x:v>1</x:v>
      </x:c>
      <x:c r="U103" s="12" t="n">
        <x:v>0</x:v>
      </x:c>
      <x:c r="V103" s="8" t="n">
        <x:v>10</x:v>
      </x:c>
      <x:c r="W103" s="8" t="n">
        <x:v>230</x:v>
      </x:c>
      <x:c r="X103" s="12" t="n">
        <x:v>82200</x:v>
      </x:c>
      <x:c r="Y103" s="21"/>
      <x:c r="Z103" s="24" t="n">
        <x:f>IF($A103="","",INDEX(Settings!$C$29:$C$33,MATCH(E103,Settings!$A$29:$A$33,0)))</x:f>
        <x:v>4200</x:v>
      </x:c>
      <x:c r="AA103" s="22" t="n">
        <x:f>IF($A103="","",G103/Z103)</x:f>
        <x:v>0.9714285714285714</x:v>
      </x:c>
      <x:c r="AB103" s="25" t="n">
        <x:f>IF($A103="","",IF(ISNUMBER(Y103),Y103,Settings!$B$10))</x:f>
        <x:v>0.03</x:v>
      </x:c>
      <x:c r="AC103" s="23" t="n">
        <x:f>IF($A103="","",G103*(1+AB103))</x:f>
        <x:v>4202.400000000001</x:v>
      </x:c>
      <x:c r="AD103" s="23" t="n">
        <x:f>IF($A103="","",G103*F103*12)</x:f>
        <x:v>48960</x:v>
      </x:c>
      <x:c r="AE103" s="23" t="n">
        <x:f>IF($A103="","",G103*F103*J103)</x:f>
        <x:v>4080</x:v>
      </x:c>
      <x:c r="AF103" s="24" t="n">
        <x:f>IF($A103="","",L103*F103*K103*Settings!$B$13)</x:f>
        <x:v>3753.6000000000004</x:v>
      </x:c>
      <x:c r="AG103" s="23" t="n">
        <x:f>IF($A103="","",AD103*H103*I103)</x:f>
        <x:v>3916.8</x:v>
      </x:c>
      <x:c r="AH103" s="24" t="n">
        <x:f>IF($A103="","",SUM(AD103:AE103,AG103)*SUM(Settings!$B$11:$B$12))</x:f>
        <x:v>14239.2</x:v>
      </x:c>
      <x:c r="AI103" s="24" t="n">
        <x:f>IF($A103="","",M103*Settings!$B$16)</x:f>
        <x:v>1880.01</x:v>
      </x:c>
      <x:c r="AJ103" s="24" t="n">
        <x:f>IF($A103="","",M103*Settings!$B$15)</x:f>
        <x:v>229.99</x:v>
      </x:c>
      <x:c r="AK103" s="24" t="n">
        <x:f>IF($A103="","",O103*Settings!$B$18)</x:f>
        <x:v>0</x:v>
      </x:c>
      <x:c r="AL103" s="24" t="n">
        <x:f>IF($A103="","",P103*Settings!$B$20+Q103*Settings!$B$21+R103*Settings!$B$22+S103*Settings!$B$23)</x:f>
        <x:v>2184.76</x:v>
      </x:c>
      <x:c r="AM103" s="24" t="n">
        <x:f>IF($A103="","",T103*Settings!$B$24)</x:f>
        <x:v>40</x:v>
      </x:c>
      <x:c r="AN103" s="23" t="n">
        <x:f>IF($A103="","",SUM(AI103,N103,AK103:AM103,U103))</x:f>
        <x:v>4354.77</x:v>
      </x:c>
      <x:c r="AO103" s="23" t="n">
        <x:f>IF($A103="","",SUM(AD103:AI103,N103,AK103:AM103,U103))</x:f>
        <x:v>79304.37</x:v>
      </x:c>
      <x:c r="AP103" s="24" t="n">
        <x:f>IF($A103="","",G103*F103*AB103*((13-Settings!$B$9)*(1+H103*I103)+J103)*(1+SUM(Settings!$B$11:$B$12)))</x:f>
        <x:v>1640.1599999999999</x:v>
      </x:c>
      <x:c r="AQ103" s="23" t="n">
        <x:f>IF($A103="","",SUM(AO103:AP103))</x:f>
        <x:v>80944.53</x:v>
      </x:c>
      <x:c r="AR103" s="23" t="n">
        <x:f>IF($A103="","",AQ103-X103)</x:f>
        <x:v>-1255.4700000000012</x:v>
      </x:c>
      <x:c r="AS103" s="22" t="n">
        <x:f>IF($A103="","",IF(W103=0,"n.a.",V103/W103))</x:f>
        <x:v>0.043478260869565216</x:v>
      </x:c>
      <x:c r="AT103" s="26" t="str">
        <x:f>IF($A103="",IF(COUNTA(B103:Y103)&gt;0,"Missing ID",""),IF(COUNTIFS($A$9:$A$508,A103)&gt;1,"Duplicate ID",IF(OR(B103="",C103="",D103="",E103="",COUNT(F103:X103)&lt;&gt;19),"Missing / text input",IF(OR(COUNTIFS(Settings!$A$59:$A$64,B103)&lt;&gt;1,COUNTIFS(Settings!$A$29:$A$33,E103)&lt;&gt;1),"Unknown department / grade",IF(OR(F103&lt;=0,F103&gt;1,G103&lt;=0,L103&lt;=0,H103&lt;0,I103&lt;0,J103&lt;0,K103&lt;0,K103&gt;1,MIN(M103:X103)&lt;0,W103=0,V103&gt;W103,M103&gt;W103-V103,P103&gt;8,Q103&gt;4,R103&gt;12,S103&gt;12,T103&gt;1,AB103&lt;0),"Review quantity / rate",IF(OR(N103&gt;Settings!$C$17,AK103&gt;Settings!$C$19),"Review benefit ceiling","OK"))))))</x:f>
        <x:v>OK</x:v>
      </x:c>
    </x:row>
    <x:row r="104" ht="23" customHeight="1">
      <x:c r="A104" s="8" t="str">
        <x:v>BE-0096</x:v>
      </x:c>
      <x:c r="B104" s="8" t="str">
        <x:v>Business Support</x:v>
      </x:c>
      <x:c r="C104" s="8" t="str">
        <x:v>Ghent</x:v>
      </x:c>
      <x:c r="D104" s="8" t="str">
        <x:v>Senior business analyst</x:v>
      </x:c>
      <x:c r="E104" s="8" t="str">
        <x:v>G3</x:v>
      </x:c>
      <x:c r="F104" s="20" t="n">
        <x:v>1</x:v>
      </x:c>
      <x:c r="G104" s="12" t="n">
        <x:v>4480</x:v>
      </x:c>
      <x:c r="H104" s="21" t="n">
        <x:v>0.08</x:v>
      </x:c>
      <x:c r="I104" s="20" t="n">
        <x:v>1.1</x:v>
      </x:c>
      <x:c r="J104" s="20" t="n">
        <x:v>1</x:v>
      </x:c>
      <x:c r="K104" s="20" t="n">
        <x:v>1</x:v>
      </x:c>
      <x:c r="L104" s="12" t="n">
        <x:v>4480</x:v>
      </x:c>
      <x:c r="M104" s="8" t="n">
        <x:v>210</x:v>
      </x:c>
      <x:c r="N104" s="12" t="n">
        <x:v>250</x:v>
      </x:c>
      <x:c r="O104" s="8" t="n">
        <x:v>0</x:v>
      </x:c>
      <x:c r="P104" s="8" t="n">
        <x:v>8</x:v>
      </x:c>
      <x:c r="Q104" s="8" t="n">
        <x:v>4</x:v>
      </x:c>
      <x:c r="R104" s="8" t="n">
        <x:v>12</x:v>
      </x:c>
      <x:c r="S104" s="8" t="n">
        <x:v>12</x:v>
      </x:c>
      <x:c r="T104" s="8" t="n">
        <x:v>1</x:v>
      </x:c>
      <x:c r="U104" s="12" t="n">
        <x:v>0</x:v>
      </x:c>
      <x:c r="V104" s="8" t="n">
        <x:v>11</x:v>
      </x:c>
      <x:c r="W104" s="8" t="n">
        <x:v>230</x:v>
      </x:c>
      <x:c r="X104" s="12" t="n">
        <x:v>87900</x:v>
      </x:c>
      <x:c r="Y104" s="21"/>
      <x:c r="Z104" s="24" t="n">
        <x:f>IF($A104="","",INDEX(Settings!$C$29:$C$33,MATCH(E104,Settings!$A$29:$A$33,0)))</x:f>
        <x:v>4200</x:v>
      </x:c>
      <x:c r="AA104" s="22" t="n">
        <x:f>IF($A104="","",G104/Z104)</x:f>
        <x:v>1.0666666666666667</x:v>
      </x:c>
      <x:c r="AB104" s="25" t="n">
        <x:f>IF($A104="","",IF(ISNUMBER(Y104),Y104,Settings!$B$10))</x:f>
        <x:v>0.03</x:v>
      </x:c>
      <x:c r="AC104" s="23" t="n">
        <x:f>IF($A104="","",G104*(1+AB104))</x:f>
        <x:v>4614.400000000001</x:v>
      </x:c>
      <x:c r="AD104" s="23" t="n">
        <x:f>IF($A104="","",G104*F104*12)</x:f>
        <x:v>53760</x:v>
      </x:c>
      <x:c r="AE104" s="23" t="n">
        <x:f>IF($A104="","",G104*F104*J104)</x:f>
        <x:v>4480</x:v>
      </x:c>
      <x:c r="AF104" s="24" t="n">
        <x:f>IF($A104="","",L104*F104*K104*Settings!$B$13)</x:f>
        <x:v>4121.6</x:v>
      </x:c>
      <x:c r="AG104" s="23" t="n">
        <x:f>IF($A104="","",AD104*H104*I104)</x:f>
        <x:v>4730.880000000001</x:v>
      </x:c>
      <x:c r="AH104" s="24" t="n">
        <x:f>IF($A104="","",SUM(AD104:AE104,AG104)*SUM(Settings!$B$11:$B$12))</x:f>
        <x:v>15742.720000000001</x:v>
      </x:c>
      <x:c r="AI104" s="24" t="n">
        <x:f>IF($A104="","",M104*Settings!$B$16)</x:f>
        <x:v>1871.1000000000001</x:v>
      </x:c>
      <x:c r="AJ104" s="24" t="n">
        <x:f>IF($A104="","",M104*Settings!$B$15)</x:f>
        <x:v>228.9</x:v>
      </x:c>
      <x:c r="AK104" s="24" t="n">
        <x:f>IF($A104="","",O104*Settings!$B$18)</x:f>
        <x:v>0</x:v>
      </x:c>
      <x:c r="AL104" s="24" t="n">
        <x:f>IF($A104="","",P104*Settings!$B$20+Q104*Settings!$B$21+R104*Settings!$B$22+S104*Settings!$B$23)</x:f>
        <x:v>2424.76</x:v>
      </x:c>
      <x:c r="AM104" s="24" t="n">
        <x:f>IF($A104="","",T104*Settings!$B$24)</x:f>
        <x:v>40</x:v>
      </x:c>
      <x:c r="AN104" s="23" t="n">
        <x:f>IF($A104="","",SUM(AI104,N104,AK104:AM104,U104))</x:f>
        <x:v>4585.860000000001</x:v>
      </x:c>
      <x:c r="AO104" s="23" t="n">
        <x:f>IF($A104="","",SUM(AD104:AI104,N104,AK104:AM104,U104))</x:f>
        <x:v>87421.06</x:v>
      </x:c>
      <x:c r="AP104" s="24" t="n">
        <x:f>IF($A104="","",G104*F104*AB104*((13-Settings!$B$9)*(1+H104*I104)+J104)*(1+SUM(Settings!$B$11:$B$12)))</x:f>
        <x:v>1813.0560000000003</x:v>
      </x:c>
      <x:c r="AQ104" s="23" t="n">
        <x:f>IF($A104="","",SUM(AO104:AP104))</x:f>
        <x:v>89234.116</x:v>
      </x:c>
      <x:c r="AR104" s="23" t="n">
        <x:f>IF($A104="","",AQ104-X104)</x:f>
        <x:v>1334.1159999999945</x:v>
      </x:c>
      <x:c r="AS104" s="22" t="n">
        <x:f>IF($A104="","",IF(W104=0,"n.a.",V104/W104))</x:f>
        <x:v>0.04782608695652174</x:v>
      </x:c>
      <x:c r="AT104" s="26" t="str">
        <x:f>IF($A104="",IF(COUNTA(B104:Y104)&gt;0,"Missing ID",""),IF(COUNTIFS($A$9:$A$508,A104)&gt;1,"Duplicate ID",IF(OR(B104="",C104="",D104="",E104="",COUNT(F104:X104)&lt;&gt;19),"Missing / text input",IF(OR(COUNTIFS(Settings!$A$59:$A$64,B104)&lt;&gt;1,COUNTIFS(Settings!$A$29:$A$33,E104)&lt;&gt;1),"Unknown department / grade",IF(OR(F104&lt;=0,F104&gt;1,G104&lt;=0,L104&lt;=0,H104&lt;0,I104&lt;0,J104&lt;0,K104&lt;0,K104&gt;1,MIN(M104:X104)&lt;0,W104=0,V104&gt;W104,M104&gt;W104-V104,P104&gt;8,Q104&gt;4,R104&gt;12,S104&gt;12,T104&gt;1,AB104&lt;0),"Review quantity / rate",IF(OR(N104&gt;Settings!$C$17,AK104&gt;Settings!$C$19),"Review benefit ceiling","OK"))))))</x:f>
        <x:v>OK</x:v>
      </x:c>
    </x:row>
    <x:row r="105" ht="23" customHeight="1">
      <x:c r="A105" s="8" t="str">
        <x:v>BE-0097</x:v>
      </x:c>
      <x:c r="B105" s="8" t="str">
        <x:v>Finance</x:v>
      </x:c>
      <x:c r="C105" s="8" t="str">
        <x:v>Brussels</x:v>
      </x:c>
      <x:c r="D105" s="8" t="str">
        <x:v>Senior analyst</x:v>
      </x:c>
      <x:c r="E105" s="8" t="str">
        <x:v>G3</x:v>
      </x:c>
      <x:c r="F105" s="20" t="n">
        <x:v>1</x:v>
      </x:c>
      <x:c r="G105" s="12" t="n">
        <x:v>4280</x:v>
      </x:c>
      <x:c r="H105" s="21" t="n">
        <x:v>0.08</x:v>
      </x:c>
      <x:c r="I105" s="20" t="n">
        <x:v>0.8</x:v>
      </x:c>
      <x:c r="J105" s="20" t="n">
        <x:v>1</x:v>
      </x:c>
      <x:c r="K105" s="20" t="n">
        <x:v>1</x:v>
      </x:c>
      <x:c r="L105" s="12" t="n">
        <x:v>4280</x:v>
      </x:c>
      <x:c r="M105" s="8" t="n">
        <x:v>209</x:v>
      </x:c>
      <x:c r="N105" s="12" t="n">
        <x:v>250</x:v>
      </x:c>
      <x:c r="O105" s="8" t="n">
        <x:v>410</x:v>
      </x:c>
      <x:c r="P105" s="8" t="n">
        <x:v>0</x:v>
      </x:c>
      <x:c r="Q105" s="8" t="n">
        <x:v>0</x:v>
      </x:c>
      <x:c r="R105" s="8" t="n">
        <x:v>0</x:v>
      </x:c>
      <x:c r="S105" s="8" t="n">
        <x:v>0</x:v>
      </x:c>
      <x:c r="T105" s="8" t="n">
        <x:v>1</x:v>
      </x:c>
      <x:c r="U105" s="12" t="n">
        <x:v>0</x:v>
      </x:c>
      <x:c r="V105" s="8" t="n">
        <x:v>0</x:v>
      </x:c>
      <x:c r="W105" s="8" t="n">
        <x:v>230</x:v>
      </x:c>
      <x:c r="X105" s="12" t="n">
        <x:v>82800</x:v>
      </x:c>
      <x:c r="Y105" s="21"/>
      <x:c r="Z105" s="24" t="n">
        <x:f>IF($A105="","",INDEX(Settings!$C$29:$C$33,MATCH(E105,Settings!$A$29:$A$33,0)))</x:f>
        <x:v>4200</x:v>
      </x:c>
      <x:c r="AA105" s="22" t="n">
        <x:f>IF($A105="","",G105/Z105)</x:f>
        <x:v>1.019047619047619</x:v>
      </x:c>
      <x:c r="AB105" s="25" t="n">
        <x:f>IF($A105="","",IF(ISNUMBER(Y105),Y105,Settings!$B$10))</x:f>
        <x:v>0.03</x:v>
      </x:c>
      <x:c r="AC105" s="23" t="n">
        <x:f>IF($A105="","",G105*(1+AB105))</x:f>
        <x:v>4408.400000000001</x:v>
      </x:c>
      <x:c r="AD105" s="23" t="n">
        <x:f>IF($A105="","",G105*F105*12)</x:f>
        <x:v>51360</x:v>
      </x:c>
      <x:c r="AE105" s="23" t="n">
        <x:f>IF($A105="","",G105*F105*J105)</x:f>
        <x:v>4280</x:v>
      </x:c>
      <x:c r="AF105" s="24" t="n">
        <x:f>IF($A105="","",L105*F105*K105*Settings!$B$13)</x:f>
        <x:v>3937.6000000000004</x:v>
      </x:c>
      <x:c r="AG105" s="23" t="n">
        <x:f>IF($A105="","",AD105*H105*I105)</x:f>
        <x:v>3287.0400000000004</x:v>
      </x:c>
      <x:c r="AH105" s="24" t="n">
        <x:f>IF($A105="","",SUM(AD105:AE105,AG105)*SUM(Settings!$B$11:$B$12))</x:f>
        <x:v>14731.76</x:v>
      </x:c>
      <x:c r="AI105" s="24" t="n">
        <x:f>IF($A105="","",M105*Settings!$B$16)</x:f>
        <x:v>1862.19</x:v>
      </x:c>
      <x:c r="AJ105" s="24" t="n">
        <x:f>IF($A105="","",M105*Settings!$B$15)</x:f>
        <x:v>227.81000000000003</x:v>
      </x:c>
      <x:c r="AK105" s="24" t="n">
        <x:f>IF($A105="","",O105*Settings!$B$18)</x:f>
        <x:v>151.7</x:v>
      </x:c>
      <x:c r="AL105" s="24" t="n">
        <x:f>IF($A105="","",P105*Settings!$B$20+Q105*Settings!$B$21+R105*Settings!$B$22+S105*Settings!$B$23)</x:f>
        <x:v>0</x:v>
      </x:c>
      <x:c r="AM105" s="24" t="n">
        <x:f>IF($A105="","",T105*Settings!$B$24)</x:f>
        <x:v>40</x:v>
      </x:c>
      <x:c r="AN105" s="23" t="n">
        <x:f>IF($A105="","",SUM(AI105,N105,AK105:AM105,U105))</x:f>
        <x:v>2303.89</x:v>
      </x:c>
      <x:c r="AO105" s="23" t="n">
        <x:f>IF($A105="","",SUM(AD105:AI105,N105,AK105:AM105,U105))</x:f>
        <x:v>79900.29</x:v>
      </x:c>
      <x:c r="AP105" s="24" t="n">
        <x:f>IF($A105="","",G105*F105*AB105*((13-Settings!$B$9)*(1+H105*I105)+J105)*(1+SUM(Settings!$B$11:$B$12)))</x:f>
        <x:v>1697.4480000000003</x:v>
      </x:c>
      <x:c r="AQ105" s="23" t="n">
        <x:f>IF($A105="","",SUM(AO105:AP105))</x:f>
        <x:v>81597.738</x:v>
      </x:c>
      <x:c r="AR105" s="23" t="n">
        <x:f>IF($A105="","",AQ105-X105)</x:f>
        <x:v>-1202.2620000000024</x:v>
      </x:c>
      <x:c r="AS105" s="22" t="n">
        <x:f>IF($A105="","",IF(W105=0,"n.a.",V105/W105))</x:f>
        <x:v>0</x:v>
      </x:c>
      <x:c r="AT105" s="26" t="str">
        <x:f>IF($A105="",IF(COUNTA(B105:Y105)&gt;0,"Missing ID",""),IF(COUNTIFS($A$9:$A$508,A105)&gt;1,"Duplicate ID",IF(OR(B105="",C105="",D105="",E105="",COUNT(F105:X105)&lt;&gt;19),"Missing / text input",IF(OR(COUNTIFS(Settings!$A$59:$A$64,B105)&lt;&gt;1,COUNTIFS(Settings!$A$29:$A$33,E105)&lt;&gt;1),"Unknown department / grade",IF(OR(F105&lt;=0,F105&gt;1,G105&lt;=0,L105&lt;=0,H105&lt;0,I105&lt;0,J105&lt;0,K105&lt;0,K105&gt;1,MIN(M105:X105)&lt;0,W105=0,V105&gt;W105,M105&gt;W105-V105,P105&gt;8,Q105&gt;4,R105&gt;12,S105&gt;12,T105&gt;1,AB105&lt;0),"Review quantity / rate",IF(OR(N105&gt;Settings!$C$17,AK105&gt;Settings!$C$19),"Review benefit ceiling","OK"))))))</x:f>
        <x:v>OK</x:v>
      </x:c>
    </x:row>
    <x:row r="106" ht="23" customHeight="1">
      <x:c r="A106" s="8" t="str">
        <x:v>BE-0098</x:v>
      </x:c>
      <x:c r="B106" s="8" t="str">
        <x:v>People &amp; Culture</x:v>
      </x:c>
      <x:c r="C106" s="8" t="str">
        <x:v>Antwerp</x:v>
      </x:c>
      <x:c r="D106" s="8" t="str">
        <x:v>People manager</x:v>
      </x:c>
      <x:c r="E106" s="8" t="str">
        <x:v>G4</x:v>
      </x:c>
      <x:c r="F106" s="20" t="n">
        <x:v>1</x:v>
      </x:c>
      <x:c r="G106" s="12" t="n">
        <x:v>5130</x:v>
      </x:c>
      <x:c r="H106" s="21" t="n">
        <x:v>0.12</x:v>
      </x:c>
      <x:c r="I106" s="20" t="n">
        <x:v>1</x:v>
      </x:c>
      <x:c r="J106" s="20" t="n">
        <x:v>1</x:v>
      </x:c>
      <x:c r="K106" s="20" t="n">
        <x:v>1</x:v>
      </x:c>
      <x:c r="L106" s="12" t="n">
        <x:v>5130</x:v>
      </x:c>
      <x:c r="M106" s="8" t="n">
        <x:v>208</x:v>
      </x:c>
      <x:c r="N106" s="12" t="n">
        <x:v>250</x:v>
      </x:c>
      <x:c r="O106" s="8" t="n">
        <x:v>0</x:v>
      </x:c>
      <x:c r="P106" s="8" t="n">
        <x:v>8</x:v>
      </x:c>
      <x:c r="Q106" s="8" t="n">
        <x:v>4</x:v>
      </x:c>
      <x:c r="R106" s="8" t="n">
        <x:v>12</x:v>
      </x:c>
      <x:c r="S106" s="8" t="n">
        <x:v>0</x:v>
      </x:c>
      <x:c r="T106" s="8" t="n">
        <x:v>1</x:v>
      </x:c>
      <x:c r="U106" s="12" t="n">
        <x:v>0</x:v>
      </x:c>
      <x:c r="V106" s="8" t="n">
        <x:v>1</x:v>
      </x:c>
      <x:c r="W106" s="8" t="n">
        <x:v>230</x:v>
      </x:c>
      <x:c r="X106" s="12" t="n">
        <x:v>105300</x:v>
      </x:c>
      <x:c r="Y106" s="21"/>
      <x:c r="Z106" s="24" t="n">
        <x:f>IF($A106="","",INDEX(Settings!$C$29:$C$33,MATCH(E106,Settings!$A$29:$A$33,0)))</x:f>
        <x:v>5400</x:v>
      </x:c>
      <x:c r="AA106" s="22" t="n">
        <x:f>IF($A106="","",G106/Z106)</x:f>
        <x:v>0.95</x:v>
      </x:c>
      <x:c r="AB106" s="25" t="n">
        <x:f>IF($A106="","",IF(ISNUMBER(Y106),Y106,Settings!$B$10))</x:f>
        <x:v>0.03</x:v>
      </x:c>
      <x:c r="AC106" s="23" t="n">
        <x:f>IF($A106="","",G106*(1+AB106))</x:f>
        <x:v>5283.900000000001</x:v>
      </x:c>
      <x:c r="AD106" s="23" t="n">
        <x:f>IF($A106="","",G106*F106*12)</x:f>
        <x:v>61560</x:v>
      </x:c>
      <x:c r="AE106" s="23" t="n">
        <x:f>IF($A106="","",G106*F106*J106)</x:f>
        <x:v>5130</x:v>
      </x:c>
      <x:c r="AF106" s="24" t="n">
        <x:f>IF($A106="","",L106*F106*K106*Settings!$B$13)</x:f>
        <x:v>4719.6</x:v>
      </x:c>
      <x:c r="AG106" s="23" t="n">
        <x:f>IF($A106="","",AD106*H106*I106)</x:f>
        <x:v>7387.2</x:v>
      </x:c>
      <x:c r="AH106" s="24" t="n">
        <x:f>IF($A106="","",SUM(AD106:AE106,AG106)*SUM(Settings!$B$11:$B$12))</x:f>
        <x:v>18519.3</x:v>
      </x:c>
      <x:c r="AI106" s="24" t="n">
        <x:f>IF($A106="","",M106*Settings!$B$16)</x:f>
        <x:v>1853.28</x:v>
      </x:c>
      <x:c r="AJ106" s="24" t="n">
        <x:f>IF($A106="","",M106*Settings!$B$15)</x:f>
        <x:v>226.72000000000003</x:v>
      </x:c>
      <x:c r="AK106" s="24" t="n">
        <x:f>IF($A106="","",O106*Settings!$B$18)</x:f>
        <x:v>0</x:v>
      </x:c>
      <x:c r="AL106" s="24" t="n">
        <x:f>IF($A106="","",P106*Settings!$B$20+Q106*Settings!$B$21+R106*Settings!$B$22+S106*Settings!$B$23)</x:f>
        <x:v>2184.76</x:v>
      </x:c>
      <x:c r="AM106" s="24" t="n">
        <x:f>IF($A106="","",T106*Settings!$B$24)</x:f>
        <x:v>40</x:v>
      </x:c>
      <x:c r="AN106" s="23" t="n">
        <x:f>IF($A106="","",SUM(AI106,N106,AK106:AM106,U106))</x:f>
        <x:v>4328.04</x:v>
      </x:c>
      <x:c r="AO106" s="23" t="n">
        <x:f>IF($A106="","",SUM(AD106:AI106,N106,AK106:AM106,U106))</x:f>
        <x:v>101644.14</x:v>
      </x:c>
      <x:c r="AP106" s="24" t="n">
        <x:f>IF($A106="","",G106*F106*AB106*((13-Settings!$B$9)*(1+H106*I106)+J106)*(1+SUM(Settings!$B$11:$B$12)))</x:f>
        <x:v>2131.5150000000003</x:v>
      </x:c>
      <x:c r="AQ106" s="23" t="n">
        <x:f>IF($A106="","",SUM(AO106:AP106))</x:f>
        <x:v>103775.655</x:v>
      </x:c>
      <x:c r="AR106" s="23" t="n">
        <x:f>IF($A106="","",AQ106-X106)</x:f>
        <x:v>-1524.3450000000012</x:v>
      </x:c>
      <x:c r="AS106" s="22" t="n">
        <x:f>IF($A106="","",IF(W106=0,"n.a.",V106/W106))</x:f>
        <x:v>0.004347826086956522</x:v>
      </x:c>
      <x:c r="AT106" s="26" t="str">
        <x:f>IF($A106="",IF(COUNTA(B106:Y106)&gt;0,"Missing ID",""),IF(COUNTIFS($A$9:$A$508,A106)&gt;1,"Duplicate ID",IF(OR(B106="",C106="",D106="",E106="",COUNT(F106:X106)&lt;&gt;19),"Missing / text input",IF(OR(COUNTIFS(Settings!$A$59:$A$64,B106)&lt;&gt;1,COUNTIFS(Settings!$A$29:$A$33,E106)&lt;&gt;1),"Unknown department / grade",IF(OR(F106&lt;=0,F106&gt;1,G106&lt;=0,L106&lt;=0,H106&lt;0,I106&lt;0,J106&lt;0,K106&lt;0,K106&gt;1,MIN(M106:X106)&lt;0,W106=0,V106&gt;W106,M106&gt;W106-V106,P106&gt;8,Q106&gt;4,R106&gt;12,S106&gt;12,T106&gt;1,AB106&lt;0),"Review quantity / rate",IF(OR(N106&gt;Settings!$C$17,AK106&gt;Settings!$C$19),"Review benefit ceiling","OK"))))))</x:f>
        <x:v>OK</x:v>
      </x:c>
    </x:row>
    <x:row r="107" ht="23" customHeight="1">
      <x:c r="A107" s="8" t="str">
        <x:v>BE-0099</x:v>
      </x:c>
      <x:c r="B107" s="8" t="str">
        <x:v>Technology</x:v>
      </x:c>
      <x:c r="C107" s="8" t="str">
        <x:v>Ghent</x:v>
      </x:c>
      <x:c r="D107" s="8" t="str">
        <x:v>IT manager</x:v>
      </x:c>
      <x:c r="E107" s="8" t="str">
        <x:v>G4</x:v>
      </x:c>
      <x:c r="F107" s="20" t="n">
        <x:v>0.8</x:v>
      </x:c>
      <x:c r="G107" s="12" t="n">
        <x:v>5800</x:v>
      </x:c>
      <x:c r="H107" s="21" t="n">
        <x:v>0.12</x:v>
      </x:c>
      <x:c r="I107" s="20" t="n">
        <x:v>1.1</x:v>
      </x:c>
      <x:c r="J107" s="20" t="n">
        <x:v>1</x:v>
      </x:c>
      <x:c r="K107" s="20" t="n">
        <x:v>1</x:v>
      </x:c>
      <x:c r="L107" s="12" t="n">
        <x:v>5800</x:v>
      </x:c>
      <x:c r="M107" s="8" t="n">
        <x:v>171</x:v>
      </x:c>
      <x:c r="N107" s="12" t="n">
        <x:v>200</x:v>
      </x:c>
      <x:c r="O107" s="8" t="n">
        <x:v>0</x:v>
      </x:c>
      <x:c r="P107" s="8" t="n">
        <x:v>8</x:v>
      </x:c>
      <x:c r="Q107" s="8" t="n">
        <x:v>4</x:v>
      </x:c>
      <x:c r="R107" s="8" t="n">
        <x:v>12</x:v>
      </x:c>
      <x:c r="S107" s="8" t="n">
        <x:v>0</x:v>
      </x:c>
      <x:c r="T107" s="8" t="n">
        <x:v>1</x:v>
      </x:c>
      <x:c r="U107" s="12" t="n">
        <x:v>0</x:v>
      </x:c>
      <x:c r="V107" s="8" t="n">
        <x:v>2</x:v>
      </x:c>
      <x:c r="W107" s="8" t="n">
        <x:v>184</x:v>
      </x:c>
      <x:c r="X107" s="12" t="n">
        <x:v>96200</x:v>
      </x:c>
      <x:c r="Y107" s="21"/>
      <x:c r="Z107" s="24" t="n">
        <x:f>IF($A107="","",INDEX(Settings!$C$29:$C$33,MATCH(E107,Settings!$A$29:$A$33,0)))</x:f>
        <x:v>5400</x:v>
      </x:c>
      <x:c r="AA107" s="22" t="n">
        <x:f>IF($A107="","",G107/Z107)</x:f>
        <x:v>1.0740740740740742</x:v>
      </x:c>
      <x:c r="AB107" s="25" t="n">
        <x:f>IF($A107="","",IF(ISNUMBER(Y107),Y107,Settings!$B$10))</x:f>
        <x:v>0.03</x:v>
      </x:c>
      <x:c r="AC107" s="23" t="n">
        <x:f>IF($A107="","",G107*(1+AB107))</x:f>
        <x:v>5974</x:v>
      </x:c>
      <x:c r="AD107" s="23" t="n">
        <x:f>IF($A107="","",G107*F107*12)</x:f>
        <x:v>55680</x:v>
      </x:c>
      <x:c r="AE107" s="23" t="n">
        <x:f>IF($A107="","",G107*F107*J107)</x:f>
        <x:v>4640</x:v>
      </x:c>
      <x:c r="AF107" s="24" t="n">
        <x:f>IF($A107="","",L107*F107*K107*Settings!$B$13)</x:f>
        <x:v>4268.8</x:v>
      </x:c>
      <x:c r="AG107" s="23" t="n">
        <x:f>IF($A107="","",AD107*H107*I107)</x:f>
        <x:v>7349.76</x:v>
      </x:c>
      <x:c r="AH107" s="24" t="n">
        <x:f>IF($A107="","",SUM(AD107:AE107,AG107)*SUM(Settings!$B$11:$B$12))</x:f>
        <x:v>16917.44</x:v>
      </x:c>
      <x:c r="AI107" s="24" t="n">
        <x:f>IF($A107="","",M107*Settings!$B$16)</x:f>
        <x:v>1523.6100000000001</x:v>
      </x:c>
      <x:c r="AJ107" s="24" t="n">
        <x:f>IF($A107="","",M107*Settings!$B$15)</x:f>
        <x:v>186.39000000000001</x:v>
      </x:c>
      <x:c r="AK107" s="24" t="n">
        <x:f>IF($A107="","",O107*Settings!$B$18)</x:f>
        <x:v>0</x:v>
      </x:c>
      <x:c r="AL107" s="24" t="n">
        <x:f>IF($A107="","",P107*Settings!$B$20+Q107*Settings!$B$21+R107*Settings!$B$22+S107*Settings!$B$23)</x:f>
        <x:v>2184.76</x:v>
      </x:c>
      <x:c r="AM107" s="24" t="n">
        <x:f>IF($A107="","",T107*Settings!$B$24)</x:f>
        <x:v>40</x:v>
      </x:c>
      <x:c r="AN107" s="23" t="n">
        <x:f>IF($A107="","",SUM(AI107,N107,AK107:AM107,U107))</x:f>
        <x:v>3948.3700000000003</x:v>
      </x:c>
      <x:c r="AO107" s="23" t="n">
        <x:f>IF($A107="","",SUM(AD107:AI107,N107,AK107:AM107,U107))</x:f>
        <x:v>92804.37</x:v>
      </x:c>
      <x:c r="AP107" s="24" t="n">
        <x:f>IF($A107="","",G107*F107*AB107*((13-Settings!$B$9)*(1+H107*I107)+J107)*(1+SUM(Settings!$B$11:$B$12)))</x:f>
        <x:v>1946.712</x:v>
      </x:c>
      <x:c r="AQ107" s="23" t="n">
        <x:f>IF($A107="","",SUM(AO107:AP107))</x:f>
        <x:v>94751.082</x:v>
      </x:c>
      <x:c r="AR107" s="23" t="n">
        <x:f>IF($A107="","",AQ107-X107)</x:f>
        <x:v>-1448.9180000000051</x:v>
      </x:c>
      <x:c r="AS107" s="22" t="n">
        <x:f>IF($A107="","",IF(W107=0,"n.a.",V107/W107))</x:f>
        <x:v>0.010869565217391304</x:v>
      </x:c>
      <x:c r="AT107" s="26" t="str">
        <x:f>IF($A107="",IF(COUNTA(B107:Y107)&gt;0,"Missing ID",""),IF(COUNTIFS($A$9:$A$508,A107)&gt;1,"Duplicate ID",IF(OR(B107="",C107="",D107="",E107="",COUNT(F107:X107)&lt;&gt;19),"Missing / text input",IF(OR(COUNTIFS(Settings!$A$59:$A$64,B107)&lt;&gt;1,COUNTIFS(Settings!$A$29:$A$33,E107)&lt;&gt;1),"Unknown department / grade",IF(OR(F107&lt;=0,F107&gt;1,G107&lt;=0,L107&lt;=0,H107&lt;0,I107&lt;0,J107&lt;0,K107&lt;0,K107&gt;1,MIN(M107:X107)&lt;0,W107=0,V107&gt;W107,M107&gt;W107-V107,P107&gt;8,Q107&gt;4,R107&gt;12,S107&gt;12,T107&gt;1,AB107&lt;0),"Review quantity / rate",IF(OR(N107&gt;Settings!$C$17,AK107&gt;Settings!$C$19),"Review benefit ceiling","OK"))))))</x:f>
        <x:v>OK</x:v>
      </x:c>
    </x:row>
    <x:row r="108" ht="23" customHeight="1">
      <x:c r="A108" s="8" t="str">
        <x:v>BE-0100</x:v>
      </x:c>
      <x:c r="B108" s="8" t="str">
        <x:v>Sales</x:v>
      </x:c>
      <x:c r="C108" s="8" t="str">
        <x:v>Brussels</x:v>
      </x:c>
      <x:c r="D108" s="8" t="str">
        <x:v>Head of Sales</x:v>
      </x:c>
      <x:c r="E108" s="8" t="str">
        <x:v>G5</x:v>
      </x:c>
      <x:c r="F108" s="20" t="n">
        <x:v>0.6</x:v>
      </x:c>
      <x:c r="G108" s="12" t="n">
        <x:v>7420</x:v>
      </x:c>
      <x:c r="H108" s="21" t="n">
        <x:v>0.18</x:v>
      </x:c>
      <x:c r="I108" s="20" t="n">
        <x:v>0.8</x:v>
      </x:c>
      <x:c r="J108" s="20" t="n">
        <x:v>1</x:v>
      </x:c>
      <x:c r="K108" s="20" t="n">
        <x:v>1</x:v>
      </x:c>
      <x:c r="L108" s="12" t="n">
        <x:v>7420</x:v>
      </x:c>
      <x:c r="M108" s="8" t="n">
        <x:v>127</x:v>
      </x:c>
      <x:c r="N108" s="12" t="n">
        <x:v>150</x:v>
      </x:c>
      <x:c r="O108" s="8" t="n">
        <x:v>740</x:v>
      </x:c>
      <x:c r="P108" s="8" t="n">
        <x:v>8</x:v>
      </x:c>
      <x:c r="Q108" s="8" t="n">
        <x:v>4</x:v>
      </x:c>
      <x:c r="R108" s="8" t="n">
        <x:v>12</x:v>
      </x:c>
      <x:c r="S108" s="8" t="n">
        <x:v>0</x:v>
      </x:c>
      <x:c r="T108" s="8" t="n">
        <x:v>1</x:v>
      </x:c>
      <x:c r="U108" s="12" t="n">
        <x:v>0</x:v>
      </x:c>
      <x:c r="V108" s="8" t="n">
        <x:v>3</x:v>
      </x:c>
      <x:c r="W108" s="8" t="n">
        <x:v>138</x:v>
      </x:c>
      <x:c r="X108" s="12" t="n">
        <x:v>91200</x:v>
      </x:c>
      <x:c r="Y108" s="21" t="n">
        <x:v>0</x:v>
      </x:c>
      <x:c r="Z108" s="24" t="n">
        <x:f>IF($A108="","",INDEX(Settings!$C$29:$C$33,MATCH(E108,Settings!$A$29:$A$33,0)))</x:f>
        <x:v>7500</x:v>
      </x:c>
      <x:c r="AA108" s="22" t="n">
        <x:f>IF($A108="","",G108/Z108)</x:f>
        <x:v>0.9893333333333333</x:v>
      </x:c>
      <x:c r="AB108" s="25" t="n">
        <x:f>IF($A108="","",IF(ISNUMBER(Y108),Y108,Settings!$B$10))</x:f>
        <x:v>0</x:v>
      </x:c>
      <x:c r="AC108" s="23" t="n">
        <x:f>IF($A108="","",G108*(1+AB108))</x:f>
        <x:v>7420</x:v>
      </x:c>
      <x:c r="AD108" s="23" t="n">
        <x:f>IF($A108="","",G108*F108*12)</x:f>
        <x:v>53424</x:v>
      </x:c>
      <x:c r="AE108" s="23" t="n">
        <x:f>IF($A108="","",G108*F108*J108)</x:f>
        <x:v>4452</x:v>
      </x:c>
      <x:c r="AF108" s="24" t="n">
        <x:f>IF($A108="","",L108*F108*K108*Settings!$B$13)</x:f>
        <x:v>4095.84</x:v>
      </x:c>
      <x:c r="AG108" s="23" t="n">
        <x:f>IF($A108="","",AD108*H108*I108)</x:f>
        <x:v>7693.0560000000005</x:v>
      </x:c>
      <x:c r="AH108" s="24" t="n">
        <x:f>IF($A108="","",SUM(AD108:AE108,AG108)*SUM(Settings!$B$11:$B$12))</x:f>
        <x:v>16392.264</x:v>
      </x:c>
      <x:c r="AI108" s="24" t="n">
        <x:f>IF($A108="","",M108*Settings!$B$16)</x:f>
        <x:v>1131.57</x:v>
      </x:c>
      <x:c r="AJ108" s="24" t="n">
        <x:f>IF($A108="","",M108*Settings!$B$15)</x:f>
        <x:v>138.43</x:v>
      </x:c>
      <x:c r="AK108" s="24" t="n">
        <x:f>IF($A108="","",O108*Settings!$B$18)</x:f>
        <x:v>273.8</x:v>
      </x:c>
      <x:c r="AL108" s="24" t="n">
        <x:f>IF($A108="","",P108*Settings!$B$20+Q108*Settings!$B$21+R108*Settings!$B$22+S108*Settings!$B$23)</x:f>
        <x:v>2184.76</x:v>
      </x:c>
      <x:c r="AM108" s="24" t="n">
        <x:f>IF($A108="","",T108*Settings!$B$24)</x:f>
        <x:v>40</x:v>
      </x:c>
      <x:c r="AN108" s="23" t="n">
        <x:f>IF($A108="","",SUM(AI108,N108,AK108:AM108,U108))</x:f>
        <x:v>3780.13</x:v>
      </x:c>
      <x:c r="AO108" s="23" t="n">
        <x:f>IF($A108="","",SUM(AD108:AI108,N108,AK108:AM108,U108))</x:f>
        <x:v>89837.29</x:v>
      </x:c>
      <x:c r="AP108" s="24" t="n">
        <x:f>IF($A108="","",G108*F108*AB108*((13-Settings!$B$9)*(1+H108*I108)+J108)*(1+SUM(Settings!$B$11:$B$12)))</x:f>
        <x:v>0</x:v>
      </x:c>
      <x:c r="AQ108" s="23" t="n">
        <x:f>IF($A108="","",SUM(AO108:AP108))</x:f>
        <x:v>89837.29</x:v>
      </x:c>
      <x:c r="AR108" s="23" t="n">
        <x:f>IF($A108="","",AQ108-X108)</x:f>
        <x:v>-1362.7100000000064</x:v>
      </x:c>
      <x:c r="AS108" s="22" t="n">
        <x:f>IF($A108="","",IF(W108=0,"n.a.",V108/W108))</x:f>
        <x:v>0.021739130434782608</x:v>
      </x:c>
      <x:c r="AT108" s="26" t="str">
        <x:f>IF($A108="",IF(COUNTA(B108:Y108)&gt;0,"Missing ID",""),IF(COUNTIFS($A$9:$A$508,A108)&gt;1,"Duplicate ID",IF(OR(B108="",C108="",D108="",E108="",COUNT(F108:X108)&lt;&gt;19),"Missing / text input",IF(OR(COUNTIFS(Settings!$A$59:$A$64,B108)&lt;&gt;1,COUNTIFS(Settings!$A$29:$A$33,E108)&lt;&gt;1),"Unknown department / grade",IF(OR(F108&lt;=0,F108&gt;1,G108&lt;=0,L108&lt;=0,H108&lt;0,I108&lt;0,J108&lt;0,K108&lt;0,K108&gt;1,MIN(M108:X108)&lt;0,W108=0,V108&gt;W108,M108&gt;W108-V108,P108&gt;8,Q108&gt;4,R108&gt;12,S108&gt;12,T108&gt;1,AB108&lt;0),"Review quantity / rate",IF(OR(N108&gt;Settings!$C$17,AK108&gt;Settings!$C$19),"Review benefit ceiling","OK"))))))</x:f>
        <x:v>OK</x:v>
      </x:c>
    </x:row>
    <x:row r="109" ht="23" customHeight="1">
      <x:c r="A109" s="8" t="str">
        <x:v>BE-0101</x:v>
      </x:c>
      <x:c r="B109" s="8" t="str">
        <x:v>Customer Operations</x:v>
      </x:c>
      <x:c r="C109" s="8" t="str">
        <x:v>Antwerp</x:v>
      </x:c>
      <x:c r="D109" s="8" t="str">
        <x:v>Service administrator</x:v>
      </x:c>
      <x:c r="E109" s="8" t="str">
        <x:v>G1</x:v>
      </x:c>
      <x:c r="F109" s="20" t="n">
        <x:v>1</x:v>
      </x:c>
      <x:c r="G109" s="12" t="n">
        <x:v>2810</x:v>
      </x:c>
      <x:c r="H109" s="21" t="n">
        <x:v>0.03</x:v>
      </x:c>
      <x:c r="I109" s="20" t="n">
        <x:v>1</x:v>
      </x:c>
      <x:c r="J109" s="20" t="n">
        <x:v>1</x:v>
      </x:c>
      <x:c r="K109" s="20" t="n">
        <x:v>1</x:v>
      </x:c>
      <x:c r="L109" s="12" t="n">
        <x:v>2810</x:v>
      </x:c>
      <x:c r="M109" s="8" t="n">
        <x:v>212</x:v>
      </x:c>
      <x:c r="N109" s="12" t="n">
        <x:v>250</x:v>
      </x:c>
      <x:c r="O109" s="8" t="n">
        <x:v>0</x:v>
      </x:c>
      <x:c r="P109" s="8" t="n">
        <x:v>0</x:v>
      </x:c>
      <x:c r="Q109" s="8" t="n">
        <x:v>0</x:v>
      </x:c>
      <x:c r="R109" s="8" t="n">
        <x:v>0</x:v>
      </x:c>
      <x:c r="S109" s="8" t="n">
        <x:v>0</x:v>
      </x:c>
      <x:c r="T109" s="8" t="n">
        <x:v>1</x:v>
      </x:c>
      <x:c r="U109" s="12" t="n">
        <x:v>0</x:v>
      </x:c>
      <x:c r="V109" s="8" t="n">
        <x:v>4</x:v>
      </x:c>
      <x:c r="W109" s="8" t="n">
        <x:v>230</x:v>
      </x:c>
      <x:c r="X109" s="12" t="n">
        <x:v>52000</x:v>
      </x:c>
      <x:c r="Y109" s="21"/>
      <x:c r="Z109" s="24" t="n">
        <x:f>IF($A109="","",INDEX(Settings!$C$29:$C$33,MATCH(E109,Settings!$A$29:$A$33,0)))</x:f>
        <x:v>2700</x:v>
      </x:c>
      <x:c r="AA109" s="22" t="n">
        <x:f>IF($A109="","",G109/Z109)</x:f>
        <x:v>1.0407407407407407</x:v>
      </x:c>
      <x:c r="AB109" s="25" t="n">
        <x:f>IF($A109="","",IF(ISNUMBER(Y109),Y109,Settings!$B$10))</x:f>
        <x:v>0.03</x:v>
      </x:c>
      <x:c r="AC109" s="23" t="n">
        <x:f>IF($A109="","",G109*(1+AB109))</x:f>
        <x:v>2894.3</x:v>
      </x:c>
      <x:c r="AD109" s="23" t="n">
        <x:f>IF($A109="","",G109*F109*12)</x:f>
        <x:v>33720</x:v>
      </x:c>
      <x:c r="AE109" s="23" t="n">
        <x:f>IF($A109="","",G109*F109*J109)</x:f>
        <x:v>2810</x:v>
      </x:c>
      <x:c r="AF109" s="24" t="n">
        <x:f>IF($A109="","",L109*F109*K109*Settings!$B$13)</x:f>
        <x:v>2585.2000000000003</x:v>
      </x:c>
      <x:c r="AG109" s="23" t="n">
        <x:f>IF($A109="","",AD109*H109*I109)</x:f>
        <x:v>1011.5999999999999</x:v>
      </x:c>
      <x:c r="AH109" s="24" t="n">
        <x:f>IF($A109="","",SUM(AD109:AE109,AG109)*SUM(Settings!$B$11:$B$12))</x:f>
        <x:v>9385.4</x:v>
      </x:c>
      <x:c r="AI109" s="24" t="n">
        <x:f>IF($A109="","",M109*Settings!$B$16)</x:f>
        <x:v>1888.92</x:v>
      </x:c>
      <x:c r="AJ109" s="24" t="n">
        <x:f>IF($A109="","",M109*Settings!$B$15)</x:f>
        <x:v>231.08</x:v>
      </x:c>
      <x:c r="AK109" s="24" t="n">
        <x:f>IF($A109="","",O109*Settings!$B$18)</x:f>
        <x:v>0</x:v>
      </x:c>
      <x:c r="AL109" s="24" t="n">
        <x:f>IF($A109="","",P109*Settings!$B$20+Q109*Settings!$B$21+R109*Settings!$B$22+S109*Settings!$B$23)</x:f>
        <x:v>0</x:v>
      </x:c>
      <x:c r="AM109" s="24" t="n">
        <x:f>IF($A109="","",T109*Settings!$B$24)</x:f>
        <x:v>40</x:v>
      </x:c>
      <x:c r="AN109" s="23" t="n">
        <x:f>IF($A109="","",SUM(AI109,N109,AK109:AM109,U109))</x:f>
        <x:v>2178.92</x:v>
      </x:c>
      <x:c r="AO109" s="23" t="n">
        <x:f>IF($A109="","",SUM(AD109:AI109,N109,AK109:AM109,U109))</x:f>
        <x:v>51691.119999999995</x:v>
      </x:c>
      <x:c r="AP109" s="24" t="n">
        <x:f>IF($A109="","",G109*F109*AB109*((13-Settings!$B$9)*(1+H109*I109)+J109)*(1+SUM(Settings!$B$11:$B$12)))</x:f>
        <x:v>1082.20125</x:v>
      </x:c>
      <x:c r="AQ109" s="23" t="n">
        <x:f>IF($A109="","",SUM(AO109:AP109))</x:f>
        <x:v>52773.32124999999</x:v>
      </x:c>
      <x:c r="AR109" s="23" t="n">
        <x:f>IF($A109="","",AQ109-X109)</x:f>
        <x:v>773.3212499999936</x:v>
      </x:c>
      <x:c r="AS109" s="22" t="n">
        <x:f>IF($A109="","",IF(W109=0,"n.a.",V109/W109))</x:f>
        <x:v>0.017391304347826087</x:v>
      </x:c>
      <x:c r="AT109" s="26" t="str">
        <x:f>IF($A109="",IF(COUNTA(B109:Y109)&gt;0,"Missing ID",""),IF(COUNTIFS($A$9:$A$508,A109)&gt;1,"Duplicate ID",IF(OR(B109="",C109="",D109="",E109="",COUNT(F109:X109)&lt;&gt;19),"Missing / text input",IF(OR(COUNTIFS(Settings!$A$59:$A$64,B109)&lt;&gt;1,COUNTIFS(Settings!$A$29:$A$33,E109)&lt;&gt;1),"Unknown department / grade",IF(OR(F109&lt;=0,F109&gt;1,G109&lt;=0,L109&lt;=0,H109&lt;0,I109&lt;0,J109&lt;0,K109&lt;0,K109&gt;1,MIN(M109:X109)&lt;0,W109=0,V109&gt;W109,M109&gt;W109-V109,P109&gt;8,Q109&gt;4,R109&gt;12,S109&gt;12,T109&gt;1,AB109&lt;0),"Review quantity / rate",IF(OR(N109&gt;Settings!$C$17,AK109&gt;Settings!$C$19),"Review benefit ceiling","OK"))))))</x:f>
        <x:v>OK</x:v>
      </x:c>
    </x:row>
    <x:row r="110" ht="23" customHeight="1">
      <x:c r="A110" s="8" t="str">
        <x:v>BE-0102</x:v>
      </x:c>
      <x:c r="B110" s="8" t="str">
        <x:v>Business Support</x:v>
      </x:c>
      <x:c r="C110" s="8" t="str">
        <x:v>Ghent</x:v>
      </x:c>
      <x:c r="D110" s="8" t="str">
        <x:v>Office administrator</x:v>
      </x:c>
      <x:c r="E110" s="8" t="str">
        <x:v>G1</x:v>
      </x:c>
      <x:c r="F110" s="20" t="n">
        <x:v>1</x:v>
      </x:c>
      <x:c r="G110" s="12" t="n">
        <x:v>2620</x:v>
      </x:c>
      <x:c r="H110" s="21" t="n">
        <x:v>0.03</x:v>
      </x:c>
      <x:c r="I110" s="20" t="n">
        <x:v>1.1</x:v>
      </x:c>
      <x:c r="J110" s="20" t="n">
        <x:v>1</x:v>
      </x:c>
      <x:c r="K110" s="20" t="n">
        <x:v>1</x:v>
      </x:c>
      <x:c r="L110" s="12" t="n">
        <x:v>2620</x:v>
      </x:c>
      <x:c r="M110" s="8" t="n">
        <x:v>211</x:v>
      </x:c>
      <x:c r="N110" s="12" t="n">
        <x:v>250</x:v>
      </x:c>
      <x:c r="O110" s="8" t="n">
        <x:v>0</x:v>
      </x:c>
      <x:c r="P110" s="8" t="n">
        <x:v>8</x:v>
      </x:c>
      <x:c r="Q110" s="8" t="n">
        <x:v>4</x:v>
      </x:c>
      <x:c r="R110" s="8" t="n">
        <x:v>12</x:v>
      </x:c>
      <x:c r="S110" s="8" t="n">
        <x:v>0</x:v>
      </x:c>
      <x:c r="T110" s="8" t="n">
        <x:v>1</x:v>
      </x:c>
      <x:c r="U110" s="12" t="n">
        <x:v>0</x:v>
      </x:c>
      <x:c r="V110" s="8" t="n">
        <x:v>5</x:v>
      </x:c>
      <x:c r="W110" s="8" t="n">
        <x:v>230</x:v>
      </x:c>
      <x:c r="X110" s="12" t="n">
        <x:v>52400</x:v>
      </x:c>
      <x:c r="Y110" s="21"/>
      <x:c r="Z110" s="24" t="n">
        <x:f>IF($A110="","",INDEX(Settings!$C$29:$C$33,MATCH(E110,Settings!$A$29:$A$33,0)))</x:f>
        <x:v>2700</x:v>
      </x:c>
      <x:c r="AA110" s="22" t="n">
        <x:f>IF($A110="","",G110/Z110)</x:f>
        <x:v>0.9703703703703703</x:v>
      </x:c>
      <x:c r="AB110" s="25" t="n">
        <x:f>IF($A110="","",IF(ISNUMBER(Y110),Y110,Settings!$B$10))</x:f>
        <x:v>0.03</x:v>
      </x:c>
      <x:c r="AC110" s="23" t="n">
        <x:f>IF($A110="","",G110*(1+AB110))</x:f>
        <x:v>2698.6</x:v>
      </x:c>
      <x:c r="AD110" s="23" t="n">
        <x:f>IF($A110="","",G110*F110*12)</x:f>
        <x:v>31440</x:v>
      </x:c>
      <x:c r="AE110" s="23" t="n">
        <x:f>IF($A110="","",G110*F110*J110)</x:f>
        <x:v>2620</x:v>
      </x:c>
      <x:c r="AF110" s="24" t="n">
        <x:f>IF($A110="","",L110*F110*K110*Settings!$B$13)</x:f>
        <x:v>2410.4</x:v>
      </x:c>
      <x:c r="AG110" s="23" t="n">
        <x:f>IF($A110="","",AD110*H110*I110)</x:f>
        <x:v>1037.52</x:v>
      </x:c>
      <x:c r="AH110" s="24" t="n">
        <x:f>IF($A110="","",SUM(AD110:AE110,AG110)*SUM(Settings!$B$11:$B$12))</x:f>
        <x:v>8774.38</x:v>
      </x:c>
      <x:c r="AI110" s="24" t="n">
        <x:f>IF($A110="","",M110*Settings!$B$16)</x:f>
        <x:v>1880.01</x:v>
      </x:c>
      <x:c r="AJ110" s="24" t="n">
        <x:f>IF($A110="","",M110*Settings!$B$15)</x:f>
        <x:v>229.99</x:v>
      </x:c>
      <x:c r="AK110" s="24" t="n">
        <x:f>IF($A110="","",O110*Settings!$B$18)</x:f>
        <x:v>0</x:v>
      </x:c>
      <x:c r="AL110" s="24" t="n">
        <x:f>IF($A110="","",P110*Settings!$B$20+Q110*Settings!$B$21+R110*Settings!$B$22+S110*Settings!$B$23)</x:f>
        <x:v>2184.76</x:v>
      </x:c>
      <x:c r="AM110" s="24" t="n">
        <x:f>IF($A110="","",T110*Settings!$B$24)</x:f>
        <x:v>40</x:v>
      </x:c>
      <x:c r="AN110" s="23" t="n">
        <x:f>IF($A110="","",SUM(AI110,N110,AK110:AM110,U110))</x:f>
        <x:v>4354.77</x:v>
      </x:c>
      <x:c r="AO110" s="23" t="n">
        <x:f>IF($A110="","",SUM(AD110:AI110,N110,AK110:AM110,U110))</x:f>
        <x:v>50637.07</x:v>
      </x:c>
      <x:c r="AP110" s="24" t="n">
        <x:f>IF($A110="","",G110*F110*AB110*((13-Settings!$B$9)*(1+H110*I110)+J110)*(1+SUM(Settings!$B$11:$B$12)))</x:f>
        <x:v>1011.6802499999999</x:v>
      </x:c>
      <x:c r="AQ110" s="23" t="n">
        <x:f>IF($A110="","",SUM(AO110:AP110))</x:f>
        <x:v>51648.75025</x:v>
      </x:c>
      <x:c r="AR110" s="23" t="n">
        <x:f>IF($A110="","",AQ110-X110)</x:f>
        <x:v>-751.2497500000027</x:v>
      </x:c>
      <x:c r="AS110" s="22" t="n">
        <x:f>IF($A110="","",IF(W110=0,"n.a.",V110/W110))</x:f>
        <x:v>0.021739130434782608</x:v>
      </x:c>
      <x:c r="AT110" s="26" t="str">
        <x:f>IF($A110="",IF(COUNTA(B110:Y110)&gt;0,"Missing ID",""),IF(COUNTIFS($A$9:$A$508,A110)&gt;1,"Duplicate ID",IF(OR(B110="",C110="",D110="",E110="",COUNT(F110:X110)&lt;&gt;19),"Missing / text input",IF(OR(COUNTIFS(Settings!$A$59:$A$64,B110)&lt;&gt;1,COUNTIFS(Settings!$A$29:$A$33,E110)&lt;&gt;1),"Unknown department / grade",IF(OR(F110&lt;=0,F110&gt;1,G110&lt;=0,L110&lt;=0,H110&lt;0,I110&lt;0,J110&lt;0,K110&lt;0,K110&gt;1,MIN(M110:X110)&lt;0,W110=0,V110&gt;W110,M110&gt;W110-V110,P110&gt;8,Q110&gt;4,R110&gt;12,S110&gt;12,T110&gt;1,AB110&lt;0),"Review quantity / rate",IF(OR(N110&gt;Settings!$C$17,AK110&gt;Settings!$C$19),"Review benefit ceiling","OK"))))))</x:f>
        <x:v>OK</x:v>
      </x:c>
    </x:row>
    <x:row r="111" ht="23" customHeight="1">
      <x:c r="A111" s="8" t="str">
        <x:v>BE-0103</x:v>
      </x:c>
      <x:c r="B111" s="8" t="str">
        <x:v>Finance</x:v>
      </x:c>
      <x:c r="C111" s="8" t="str">
        <x:v>Brussels</x:v>
      </x:c>
      <x:c r="D111" s="8" t="str">
        <x:v>Finance administrator</x:v>
      </x:c>
      <x:c r="E111" s="8" t="str">
        <x:v>G1</x:v>
      </x:c>
      <x:c r="F111" s="20" t="n">
        <x:v>1</x:v>
      </x:c>
      <x:c r="G111" s="12" t="n">
        <x:v>2930</x:v>
      </x:c>
      <x:c r="H111" s="21" t="n">
        <x:v>0.03</x:v>
      </x:c>
      <x:c r="I111" s="20" t="n">
        <x:v>0.8</x:v>
      </x:c>
      <x:c r="J111" s="20" t="n">
        <x:v>1</x:v>
      </x:c>
      <x:c r="K111" s="20" t="n">
        <x:v>1</x:v>
      </x:c>
      <x:c r="L111" s="12" t="n">
        <x:v>2930</x:v>
      </x:c>
      <x:c r="M111" s="8" t="n">
        <x:v>210</x:v>
      </x:c>
      <x:c r="N111" s="12" t="n">
        <x:v>250</x:v>
      </x:c>
      <x:c r="O111" s="8" t="n">
        <x:v>1070</x:v>
      </x:c>
      <x:c r="P111" s="8" t="n">
        <x:v>8</x:v>
      </x:c>
      <x:c r="Q111" s="8" t="n">
        <x:v>4</x:v>
      </x:c>
      <x:c r="R111" s="8" t="n">
        <x:v>12</x:v>
      </x:c>
      <x:c r="S111" s="8" t="n">
        <x:v>0</x:v>
      </x:c>
      <x:c r="T111" s="8" t="n">
        <x:v>1</x:v>
      </x:c>
      <x:c r="U111" s="12" t="n">
        <x:v>0</x:v>
      </x:c>
      <x:c r="V111" s="8" t="n">
        <x:v>6</x:v>
      </x:c>
      <x:c r="W111" s="8" t="n">
        <x:v>230</x:v>
      </x:c>
      <x:c r="X111" s="12" t="n">
        <x:v>58100</x:v>
      </x:c>
      <x:c r="Y111" s="21"/>
      <x:c r="Z111" s="24" t="n">
        <x:f>IF($A111="","",INDEX(Settings!$C$29:$C$33,MATCH(E111,Settings!$A$29:$A$33,0)))</x:f>
        <x:v>2700</x:v>
      </x:c>
      <x:c r="AA111" s="22" t="n">
        <x:f>IF($A111="","",G111/Z111)</x:f>
        <x:v>1.0851851851851853</x:v>
      </x:c>
      <x:c r="AB111" s="25" t="n">
        <x:f>IF($A111="","",IF(ISNUMBER(Y111),Y111,Settings!$B$10))</x:f>
        <x:v>0.03</x:v>
      </x:c>
      <x:c r="AC111" s="23" t="n">
        <x:f>IF($A111="","",G111*(1+AB111))</x:f>
        <x:v>3017.9</x:v>
      </x:c>
      <x:c r="AD111" s="23" t="n">
        <x:f>IF($A111="","",G111*F111*12)</x:f>
        <x:v>35160</x:v>
      </x:c>
      <x:c r="AE111" s="23" t="n">
        <x:f>IF($A111="","",G111*F111*J111)</x:f>
        <x:v>2930</x:v>
      </x:c>
      <x:c r="AF111" s="24" t="n">
        <x:f>IF($A111="","",L111*F111*K111*Settings!$B$13)</x:f>
        <x:v>2695.6</x:v>
      </x:c>
      <x:c r="AG111" s="23" t="n">
        <x:f>IF($A111="","",AD111*H111*I111)</x:f>
        <x:v>843.84</x:v>
      </x:c>
      <x:c r="AH111" s="24" t="n">
        <x:f>IF($A111="","",SUM(AD111:AE111,AG111)*SUM(Settings!$B$11:$B$12))</x:f>
        <x:v>9733.46</x:v>
      </x:c>
      <x:c r="AI111" s="24" t="n">
        <x:f>IF($A111="","",M111*Settings!$B$16)</x:f>
        <x:v>1871.1000000000001</x:v>
      </x:c>
      <x:c r="AJ111" s="24" t="n">
        <x:f>IF($A111="","",M111*Settings!$B$15)</x:f>
        <x:v>228.9</x:v>
      </x:c>
      <x:c r="AK111" s="24" t="n">
        <x:f>IF($A111="","",O111*Settings!$B$18)</x:f>
        <x:v>395.9</x:v>
      </x:c>
      <x:c r="AL111" s="24" t="n">
        <x:f>IF($A111="","",P111*Settings!$B$20+Q111*Settings!$B$21+R111*Settings!$B$22+S111*Settings!$B$23)</x:f>
        <x:v>2184.76</x:v>
      </x:c>
      <x:c r="AM111" s="24" t="n">
        <x:f>IF($A111="","",T111*Settings!$B$24)</x:f>
        <x:v>40</x:v>
      </x:c>
      <x:c r="AN111" s="23" t="n">
        <x:f>IF($A111="","",SUM(AI111,N111,AK111:AM111,U111))</x:f>
        <x:v>4741.76</x:v>
      </x:c>
      <x:c r="AO111" s="23" t="n">
        <x:f>IF($A111="","",SUM(AD111:AI111,N111,AK111:AM111,U111))</x:f>
        <x:v>56104.659999999996</x:v>
      </x:c>
      <x:c r="AP111" s="24" t="n">
        <x:f>IF($A111="","",G111*F111*AB111*((13-Settings!$B$9)*(1+H111*I111)+J111)*(1+SUM(Settings!$B$11:$B$12)))</x:f>
        <x:v>1122.483</x:v>
      </x:c>
      <x:c r="AQ111" s="23" t="n">
        <x:f>IF($A111="","",SUM(AO111:AP111))</x:f>
        <x:v>57227.143</x:v>
      </x:c>
      <x:c r="AR111" s="23" t="n">
        <x:f>IF($A111="","",AQ111-X111)</x:f>
        <x:v>-872.8570000000036</x:v>
      </x:c>
      <x:c r="AS111" s="22" t="n">
        <x:f>IF($A111="","",IF(W111=0,"n.a.",V111/W111))</x:f>
        <x:v>0.02608695652173913</x:v>
      </x:c>
      <x:c r="AT111" s="26" t="str">
        <x:f>IF($A111="",IF(COUNTA(B111:Y111)&gt;0,"Missing ID",""),IF(COUNTIFS($A$9:$A$508,A111)&gt;1,"Duplicate ID",IF(OR(B111="",C111="",D111="",E111="",COUNT(F111:X111)&lt;&gt;19),"Missing / text input",IF(OR(COUNTIFS(Settings!$A$59:$A$64,B111)&lt;&gt;1,COUNTIFS(Settings!$A$29:$A$33,E111)&lt;&gt;1),"Unknown department / grade",IF(OR(F111&lt;=0,F111&gt;1,G111&lt;=0,L111&lt;=0,H111&lt;0,I111&lt;0,J111&lt;0,K111&lt;0,K111&gt;1,MIN(M111:X111)&lt;0,W111=0,V111&gt;W111,M111&gt;W111-V111,P111&gt;8,Q111&gt;4,R111&gt;12,S111&gt;12,T111&gt;1,AB111&lt;0),"Review quantity / rate",IF(OR(N111&gt;Settings!$C$17,AK111&gt;Settings!$C$19),"Review benefit ceiling","OK"))))))</x:f>
        <x:v>OK</x:v>
      </x:c>
    </x:row>
    <x:row r="112" ht="23" customHeight="1">
      <x:c r="A112" s="8" t="str">
        <x:v>BE-0104</x:v>
      </x:c>
      <x:c r="B112" s="8" t="str">
        <x:v>People &amp; Culture</x:v>
      </x:c>
      <x:c r="C112" s="8" t="str">
        <x:v>Antwerp</x:v>
      </x:c>
      <x:c r="D112" s="8" t="str">
        <x:v>HR administrator</x:v>
      </x:c>
      <x:c r="E112" s="8" t="str">
        <x:v>G1</x:v>
      </x:c>
      <x:c r="F112" s="20" t="n">
        <x:v>1</x:v>
      </x:c>
      <x:c r="G112" s="12" t="n">
        <x:v>2650</x:v>
      </x:c>
      <x:c r="H112" s="21" t="n">
        <x:v>0.03</x:v>
      </x:c>
      <x:c r="I112" s="20" t="n">
        <x:v>1</x:v>
      </x:c>
      <x:c r="J112" s="20" t="n">
        <x:v>1</x:v>
      </x:c>
      <x:c r="K112" s="20" t="n">
        <x:v>1</x:v>
      </x:c>
      <x:c r="L112" s="12" t="n">
        <x:v>2650</x:v>
      </x:c>
      <x:c r="M112" s="8" t="n">
        <x:v>209</x:v>
      </x:c>
      <x:c r="N112" s="12" t="n">
        <x:v>250</x:v>
      </x:c>
      <x:c r="O112" s="8" t="n">
        <x:v>0</x:v>
      </x:c>
      <x:c r="P112" s="8" t="n">
        <x:v>8</x:v>
      </x:c>
      <x:c r="Q112" s="8" t="n">
        <x:v>4</x:v>
      </x:c>
      <x:c r="R112" s="8" t="n">
        <x:v>12</x:v>
      </x:c>
      <x:c r="S112" s="8" t="n">
        <x:v>0</x:v>
      </x:c>
      <x:c r="T112" s="8" t="n">
        <x:v>1</x:v>
      </x:c>
      <x:c r="U112" s="12" t="n">
        <x:v>0</x:v>
      </x:c>
      <x:c r="V112" s="8" t="n">
        <x:v>7</x:v>
      </x:c>
      <x:c r="W112" s="8" t="n">
        <x:v>230</x:v>
      </x:c>
      <x:c r="X112" s="12" t="n">
        <x:v>52800</x:v>
      </x:c>
      <x:c r="Y112" s="21"/>
      <x:c r="Z112" s="24" t="n">
        <x:f>IF($A112="","",INDEX(Settings!$C$29:$C$33,MATCH(E112,Settings!$A$29:$A$33,0)))</x:f>
        <x:v>2700</x:v>
      </x:c>
      <x:c r="AA112" s="22" t="n">
        <x:f>IF($A112="","",G112/Z112)</x:f>
        <x:v>0.9814814814814815</x:v>
      </x:c>
      <x:c r="AB112" s="25" t="n">
        <x:f>IF($A112="","",IF(ISNUMBER(Y112),Y112,Settings!$B$10))</x:f>
        <x:v>0.03</x:v>
      </x:c>
      <x:c r="AC112" s="23" t="n">
        <x:f>IF($A112="","",G112*(1+AB112))</x:f>
        <x:v>2729.5</x:v>
      </x:c>
      <x:c r="AD112" s="23" t="n">
        <x:f>IF($A112="","",G112*F112*12)</x:f>
        <x:v>31800</x:v>
      </x:c>
      <x:c r="AE112" s="23" t="n">
        <x:f>IF($A112="","",G112*F112*J112)</x:f>
        <x:v>2650</x:v>
      </x:c>
      <x:c r="AF112" s="24" t="n">
        <x:f>IF($A112="","",L112*F112*K112*Settings!$B$13)</x:f>
        <x:v>2438</x:v>
      </x:c>
      <x:c r="AG112" s="23" t="n">
        <x:f>IF($A112="","",AD112*H112*I112)</x:f>
        <x:v>954</x:v>
      </x:c>
      <x:c r="AH112" s="24" t="n">
        <x:f>IF($A112="","",SUM(AD112:AE112,AG112)*SUM(Settings!$B$11:$B$12))</x:f>
        <x:v>8851</x:v>
      </x:c>
      <x:c r="AI112" s="24" t="n">
        <x:f>IF($A112="","",M112*Settings!$B$16)</x:f>
        <x:v>1862.19</x:v>
      </x:c>
      <x:c r="AJ112" s="24" t="n">
        <x:f>IF($A112="","",M112*Settings!$B$15)</x:f>
        <x:v>227.81000000000003</x:v>
      </x:c>
      <x:c r="AK112" s="24" t="n">
        <x:f>IF($A112="","",O112*Settings!$B$18)</x:f>
        <x:v>0</x:v>
      </x:c>
      <x:c r="AL112" s="24" t="n">
        <x:f>IF($A112="","",P112*Settings!$B$20+Q112*Settings!$B$21+R112*Settings!$B$22+S112*Settings!$B$23)</x:f>
        <x:v>2184.76</x:v>
      </x:c>
      <x:c r="AM112" s="24" t="n">
        <x:f>IF($A112="","",T112*Settings!$B$24)</x:f>
        <x:v>40</x:v>
      </x:c>
      <x:c r="AN112" s="23" t="n">
        <x:f>IF($A112="","",SUM(AI112,N112,AK112:AM112,U112))</x:f>
        <x:v>4336.950000000001</x:v>
      </x:c>
      <x:c r="AO112" s="23" t="n">
        <x:f>IF($A112="","",SUM(AD112:AI112,N112,AK112:AM112,U112))</x:f>
        <x:v>51029.950000000004</x:v>
      </x:c>
      <x:c r="AP112" s="24" t="n">
        <x:f>IF($A112="","",G112*F112*AB112*((13-Settings!$B$9)*(1+H112*I112)+J112)*(1+SUM(Settings!$B$11:$B$12)))</x:f>
        <x:v>1020.58125</x:v>
      </x:c>
      <x:c r="AQ112" s="23" t="n">
        <x:f>IF($A112="","",SUM(AO112:AP112))</x:f>
        <x:v>52050.53125000001</x:v>
      </x:c>
      <x:c r="AR112" s="23" t="n">
        <x:f>IF($A112="","",AQ112-X112)</x:f>
        <x:v>-749.4687499999927</x:v>
      </x:c>
      <x:c r="AS112" s="22" t="n">
        <x:f>IF($A112="","",IF(W112=0,"n.a.",V112/W112))</x:f>
        <x:v>0.030434782608695653</x:v>
      </x:c>
      <x:c r="AT112" s="26" t="str">
        <x:f>IF($A112="",IF(COUNTA(B112:Y112)&gt;0,"Missing ID",""),IF(COUNTIFS($A$9:$A$508,A112)&gt;1,"Duplicate ID",IF(OR(B112="",C112="",D112="",E112="",COUNT(F112:X112)&lt;&gt;19),"Missing / text input",IF(OR(COUNTIFS(Settings!$A$59:$A$64,B112)&lt;&gt;1,COUNTIFS(Settings!$A$29:$A$33,E112)&lt;&gt;1),"Unknown department / grade",IF(OR(F112&lt;=0,F112&gt;1,G112&lt;=0,L112&lt;=0,H112&lt;0,I112&lt;0,J112&lt;0,K112&lt;0,K112&gt;1,MIN(M112:X112)&lt;0,W112=0,V112&gt;W112,M112&gt;W112-V112,P112&gt;8,Q112&gt;4,R112&gt;12,S112&gt;12,T112&gt;1,AB112&lt;0),"Review quantity / rate",IF(OR(N112&gt;Settings!$C$17,AK112&gt;Settings!$C$19),"Review benefit ceiling","OK"))))))</x:f>
        <x:v>OK</x:v>
      </x:c>
    </x:row>
    <x:row r="113" ht="23" customHeight="1">
      <x:c r="A113" s="8" t="str">
        <x:v>BE-0105</x:v>
      </x:c>
      <x:c r="B113" s="8" t="str">
        <x:v>Technology</x:v>
      </x:c>
      <x:c r="C113" s="8" t="str">
        <x:v>Ghent</x:v>
      </x:c>
      <x:c r="D113" s="8" t="str">
        <x:v>IT coordinator</x:v>
      </x:c>
      <x:c r="E113" s="8" t="str">
        <x:v>G1</x:v>
      </x:c>
      <x:c r="F113" s="20" t="n">
        <x:v>1</x:v>
      </x:c>
      <x:c r="G113" s="12" t="n">
        <x:v>2920</x:v>
      </x:c>
      <x:c r="H113" s="21" t="n">
        <x:v>0.03</x:v>
      </x:c>
      <x:c r="I113" s="20" t="n">
        <x:v>1.1</x:v>
      </x:c>
      <x:c r="J113" s="20" t="n">
        <x:v>1</x:v>
      </x:c>
      <x:c r="K113" s="20" t="n">
        <x:v>1</x:v>
      </x:c>
      <x:c r="L113" s="12" t="n">
        <x:v>2920</x:v>
      </x:c>
      <x:c r="M113" s="8" t="n">
        <x:v>208</x:v>
      </x:c>
      <x:c r="N113" s="12" t="n">
        <x:v>250</x:v>
      </x:c>
      <x:c r="O113" s="8" t="n">
        <x:v>0</x:v>
      </x:c>
      <x:c r="P113" s="8" t="n">
        <x:v>0</x:v>
      </x:c>
      <x:c r="Q113" s="8" t="n">
        <x:v>0</x:v>
      </x:c>
      <x:c r="R113" s="8" t="n">
        <x:v>0</x:v>
      </x:c>
      <x:c r="S113" s="8" t="n">
        <x:v>0</x:v>
      </x:c>
      <x:c r="T113" s="8" t="n">
        <x:v>1</x:v>
      </x:c>
      <x:c r="U113" s="12" t="n">
        <x:v>0</x:v>
      </x:c>
      <x:c r="V113" s="8" t="n">
        <x:v>8</x:v>
      </x:c>
      <x:c r="W113" s="8" t="n">
        <x:v>230</x:v>
      </x:c>
      <x:c r="X113" s="12" t="n">
        <x:v>55700</x:v>
      </x:c>
      <x:c r="Y113" s="21"/>
      <x:c r="Z113" s="24" t="n">
        <x:f>IF($A113="","",INDEX(Settings!$C$29:$C$33,MATCH(E113,Settings!$A$29:$A$33,0)))</x:f>
        <x:v>2700</x:v>
      </x:c>
      <x:c r="AA113" s="22" t="n">
        <x:f>IF($A113="","",G113/Z113)</x:f>
        <x:v>1.0814814814814815</x:v>
      </x:c>
      <x:c r="AB113" s="25" t="n">
        <x:f>IF($A113="","",IF(ISNUMBER(Y113),Y113,Settings!$B$10))</x:f>
        <x:v>0.03</x:v>
      </x:c>
      <x:c r="AC113" s="23" t="n">
        <x:f>IF($A113="","",G113*(1+AB113))</x:f>
        <x:v>3007.6</x:v>
      </x:c>
      <x:c r="AD113" s="23" t="n">
        <x:f>IF($A113="","",G113*F113*12)</x:f>
        <x:v>35040</x:v>
      </x:c>
      <x:c r="AE113" s="23" t="n">
        <x:f>IF($A113="","",G113*F113*J113)</x:f>
        <x:v>2920</x:v>
      </x:c>
      <x:c r="AF113" s="24" t="n">
        <x:f>IF($A113="","",L113*F113*K113*Settings!$B$13)</x:f>
        <x:v>2686.4</x:v>
      </x:c>
      <x:c r="AG113" s="23" t="n">
        <x:f>IF($A113="","",AD113*H113*I113)</x:f>
        <x:v>1156.3200000000002</x:v>
      </x:c>
      <x:c r="AH113" s="24" t="n">
        <x:f>IF($A113="","",SUM(AD113:AE113,AG113)*SUM(Settings!$B$11:$B$12))</x:f>
        <x:v>9779.08</x:v>
      </x:c>
      <x:c r="AI113" s="24" t="n">
        <x:f>IF($A113="","",M113*Settings!$B$16)</x:f>
        <x:v>1853.28</x:v>
      </x:c>
      <x:c r="AJ113" s="24" t="n">
        <x:f>IF($A113="","",M113*Settings!$B$15)</x:f>
        <x:v>226.72000000000003</x:v>
      </x:c>
      <x:c r="AK113" s="24" t="n">
        <x:f>IF($A113="","",O113*Settings!$B$18)</x:f>
        <x:v>0</x:v>
      </x:c>
      <x:c r="AL113" s="24" t="n">
        <x:f>IF($A113="","",P113*Settings!$B$20+Q113*Settings!$B$21+R113*Settings!$B$22+S113*Settings!$B$23)</x:f>
        <x:v>0</x:v>
      </x:c>
      <x:c r="AM113" s="24" t="n">
        <x:f>IF($A113="","",T113*Settings!$B$24)</x:f>
        <x:v>40</x:v>
      </x:c>
      <x:c r="AN113" s="23" t="n">
        <x:f>IF($A113="","",SUM(AI113,N113,AK113:AM113,U113))</x:f>
        <x:v>2143.2799999999997</x:v>
      </x:c>
      <x:c r="AO113" s="23" t="n">
        <x:f>IF($A113="","",SUM(AD113:AI113,N113,AK113:AM113,U113))</x:f>
        <x:v>53725.08</x:v>
      </x:c>
      <x:c r="AP113" s="24" t="n">
        <x:f>IF($A113="","",G113*F113*AB113*((13-Settings!$B$9)*(1+H113*I113)+J113)*(1+SUM(Settings!$B$11:$B$12)))</x:f>
        <x:v>1127.5214999999998</x:v>
      </x:c>
      <x:c r="AQ113" s="23" t="n">
        <x:f>IF($A113="","",SUM(AO113:AP113))</x:f>
        <x:v>54852.601500000004</x:v>
      </x:c>
      <x:c r="AR113" s="23" t="n">
        <x:f>IF($A113="","",AQ113-X113)</x:f>
        <x:v>-847.3984999999957</x:v>
      </x:c>
      <x:c r="AS113" s="22" t="n">
        <x:f>IF($A113="","",IF(W113=0,"n.a.",V113/W113))</x:f>
        <x:v>0.034782608695652174</x:v>
      </x:c>
      <x:c r="AT113" s="26" t="str">
        <x:f>IF($A113="",IF(COUNTA(B113:Y113)&gt;0,"Missing ID",""),IF(COUNTIFS($A$9:$A$508,A113)&gt;1,"Duplicate ID",IF(OR(B113="",C113="",D113="",E113="",COUNT(F113:X113)&lt;&gt;19),"Missing / text input",IF(OR(COUNTIFS(Settings!$A$59:$A$64,B113)&lt;&gt;1,COUNTIFS(Settings!$A$29:$A$33,E113)&lt;&gt;1),"Unknown department / grade",IF(OR(F113&lt;=0,F113&gt;1,G113&lt;=0,L113&lt;=0,H113&lt;0,I113&lt;0,J113&lt;0,K113&lt;0,K113&gt;1,MIN(M113:X113)&lt;0,W113=0,V113&gt;W113,M113&gt;W113-V113,P113&gt;8,Q113&gt;4,R113&gt;12,S113&gt;12,T113&gt;1,AB113&lt;0),"Review quantity / rate",IF(OR(N113&gt;Settings!$C$17,AK113&gt;Settings!$C$19),"Review benefit ceiling","OK"))))))</x:f>
        <x:v>OK</x:v>
      </x:c>
    </x:row>
    <x:row r="114" ht="23" customHeight="1">
      <x:c r="A114" s="8" t="str">
        <x:v>BE-0106</x:v>
      </x:c>
      <x:c r="B114" s="8" t="str">
        <x:v>Sales</x:v>
      </x:c>
      <x:c r="C114" s="8" t="str">
        <x:v>Brussels</x:v>
      </x:c>
      <x:c r="D114" s="8" t="str">
        <x:v>Account manager</x:v>
      </x:c>
      <x:c r="E114" s="8" t="str">
        <x:v>G2</x:v>
      </x:c>
      <x:c r="F114" s="20" t="n">
        <x:v>0.8</x:v>
      </x:c>
      <x:c r="G114" s="12" t="n">
        <x:v>3520</x:v>
      </x:c>
      <x:c r="H114" s="21" t="n">
        <x:v>0.05</x:v>
      </x:c>
      <x:c r="I114" s="20" t="n">
        <x:v>0.8</x:v>
      </x:c>
      <x:c r="J114" s="20" t="n">
        <x:v>1</x:v>
      </x:c>
      <x:c r="K114" s="20" t="n">
        <x:v>1</x:v>
      </x:c>
      <x:c r="L114" s="12" t="n">
        <x:v>3520</x:v>
      </x:c>
      <x:c r="M114" s="8" t="n">
        <x:v>171</x:v>
      </x:c>
      <x:c r="N114" s="12" t="n">
        <x:v>200</x:v>
      </x:c>
      <x:c r="O114" s="8" t="n">
        <x:v>1400</x:v>
      </x:c>
      <x:c r="P114" s="8" t="n">
        <x:v>8</x:v>
      </x:c>
      <x:c r="Q114" s="8" t="n">
        <x:v>4</x:v>
      </x:c>
      <x:c r="R114" s="8" t="n">
        <x:v>12</x:v>
      </x:c>
      <x:c r="S114" s="8" t="n">
        <x:v>12</x:v>
      </x:c>
      <x:c r="T114" s="8" t="n">
        <x:v>1</x:v>
      </x:c>
      <x:c r="U114" s="12" t="n">
        <x:v>0</x:v>
      </x:c>
      <x:c r="V114" s="8" t="n">
        <x:v>9</x:v>
      </x:c>
      <x:c r="W114" s="8" t="n">
        <x:v>184</x:v>
      </x:c>
      <x:c r="X114" s="12" t="n">
        <x:v>55000</x:v>
      </x:c>
      <x:c r="Y114" s="21"/>
      <x:c r="Z114" s="24" t="n">
        <x:f>IF($A114="","",INDEX(Settings!$C$29:$C$33,MATCH(E114,Settings!$A$29:$A$33,0)))</x:f>
        <x:v>3300</x:v>
      </x:c>
      <x:c r="AA114" s="22" t="n">
        <x:f>IF($A114="","",G114/Z114)</x:f>
        <x:v>1.0666666666666667</x:v>
      </x:c>
      <x:c r="AB114" s="25" t="n">
        <x:f>IF($A114="","",IF(ISNUMBER(Y114),Y114,Settings!$B$10))</x:f>
        <x:v>0.03</x:v>
      </x:c>
      <x:c r="AC114" s="23" t="n">
        <x:f>IF($A114="","",G114*(1+AB114))</x:f>
        <x:v>3625.6</x:v>
      </x:c>
      <x:c r="AD114" s="23" t="n">
        <x:f>IF($A114="","",G114*F114*12)</x:f>
        <x:v>33792</x:v>
      </x:c>
      <x:c r="AE114" s="23" t="n">
        <x:f>IF($A114="","",G114*F114*J114)</x:f>
        <x:v>2816</x:v>
      </x:c>
      <x:c r="AF114" s="24" t="n">
        <x:f>IF($A114="","",L114*F114*K114*Settings!$B$13)</x:f>
        <x:v>2590.7200000000003</x:v>
      </x:c>
      <x:c r="AG114" s="23" t="n">
        <x:f>IF($A114="","",AD114*H114*I114)</x:f>
        <x:v>1351.6800000000003</x:v>
      </x:c>
      <x:c r="AH114" s="24" t="n">
        <x:f>IF($A114="","",SUM(AD114:AE114,AG114)*SUM(Settings!$B$11:$B$12))</x:f>
        <x:v>9489.92</x:v>
      </x:c>
      <x:c r="AI114" s="24" t="n">
        <x:f>IF($A114="","",M114*Settings!$B$16)</x:f>
        <x:v>1523.6100000000001</x:v>
      </x:c>
      <x:c r="AJ114" s="24" t="n">
        <x:f>IF($A114="","",M114*Settings!$B$15)</x:f>
        <x:v>186.39000000000001</x:v>
      </x:c>
      <x:c r="AK114" s="24" t="n">
        <x:f>IF($A114="","",O114*Settings!$B$18)</x:f>
        <x:v>518</x:v>
      </x:c>
      <x:c r="AL114" s="24" t="n">
        <x:f>IF($A114="","",P114*Settings!$B$20+Q114*Settings!$B$21+R114*Settings!$B$22+S114*Settings!$B$23)</x:f>
        <x:v>2424.76</x:v>
      </x:c>
      <x:c r="AM114" s="24" t="n">
        <x:f>IF($A114="","",T114*Settings!$B$24)</x:f>
        <x:v>40</x:v>
      </x:c>
      <x:c r="AN114" s="23" t="n">
        <x:f>IF($A114="","",SUM(AI114,N114,AK114:AM114,U114))</x:f>
        <x:v>4706.370000000001</x:v>
      </x:c>
      <x:c r="AO114" s="23" t="n">
        <x:f>IF($A114="","",SUM(AD114:AI114,N114,AK114:AM114,U114))</x:f>
        <x:v>54746.69</x:v>
      </x:c>
      <x:c r="AP114" s="24" t="n">
        <x:f>IF($A114="","",G114*F114*AB114*((13-Settings!$B$9)*(1+H114*I114)+J114)*(1+SUM(Settings!$B$11:$B$12)))</x:f>
        <x:v>1094.0159999999998</x:v>
      </x:c>
      <x:c r="AQ114" s="23" t="n">
        <x:f>IF($A114="","",SUM(AO114:AP114))</x:f>
        <x:v>55840.706000000006</x:v>
      </x:c>
      <x:c r="AR114" s="23" t="n">
        <x:f>IF($A114="","",AQ114-X114)</x:f>
        <x:v>840.7060000000056</x:v>
      </x:c>
      <x:c r="AS114" s="22" t="n">
        <x:f>IF($A114="","",IF(W114=0,"n.a.",V114/W114))</x:f>
        <x:v>0.04891304347826087</x:v>
      </x:c>
      <x:c r="AT114" s="26" t="str">
        <x:f>IF($A114="",IF(COUNTA(B114:Y114)&gt;0,"Missing ID",""),IF(COUNTIFS($A$9:$A$508,A114)&gt;1,"Duplicate ID",IF(OR(B114="",C114="",D114="",E114="",COUNT(F114:X114)&lt;&gt;19),"Missing / text input",IF(OR(COUNTIFS(Settings!$A$59:$A$64,B114)&lt;&gt;1,COUNTIFS(Settings!$A$29:$A$33,E114)&lt;&gt;1),"Unknown department / grade",IF(OR(F114&lt;=0,F114&gt;1,G114&lt;=0,L114&lt;=0,H114&lt;0,I114&lt;0,J114&lt;0,K114&lt;0,K114&gt;1,MIN(M114:X114)&lt;0,W114=0,V114&gt;W114,M114&gt;W114-V114,P114&gt;8,Q114&gt;4,R114&gt;12,S114&gt;12,T114&gt;1,AB114&lt;0),"Review quantity / rate",IF(OR(N114&gt;Settings!$C$17,AK114&gt;Settings!$C$19),"Review benefit ceiling","OK"))))))</x:f>
        <x:v>OK</x:v>
      </x:c>
    </x:row>
    <x:row r="115" ht="23" customHeight="1">
      <x:c r="A115" s="8" t="str">
        <x:v>BE-0107</x:v>
      </x:c>
      <x:c r="B115" s="8" t="str">
        <x:v>Customer Operations</x:v>
      </x:c>
      <x:c r="C115" s="8" t="str">
        <x:v>Antwerp</x:v>
      </x:c>
      <x:c r="D115" s="8" t="str">
        <x:v>Service specialist</x:v>
      </x:c>
      <x:c r="E115" s="8" t="str">
        <x:v>G2</x:v>
      </x:c>
      <x:c r="F115" s="20" t="n">
        <x:v>1</x:v>
      </x:c>
      <x:c r="G115" s="12" t="n">
        <x:v>3090</x:v>
      </x:c>
      <x:c r="H115" s="21" t="n">
        <x:v>0.05</x:v>
      </x:c>
      <x:c r="I115" s="20" t="n">
        <x:v>1</x:v>
      </x:c>
      <x:c r="J115" s="20" t="n">
        <x:v>1</x:v>
      </x:c>
      <x:c r="K115" s="20" t="n">
        <x:v>1</x:v>
      </x:c>
      <x:c r="L115" s="12" t="n">
        <x:v>3090</x:v>
      </x:c>
      <x:c r="M115" s="8" t="n">
        <x:v>213</x:v>
      </x:c>
      <x:c r="N115" s="12" t="n">
        <x:v>250</x:v>
      </x:c>
      <x:c r="O115" s="8" t="n">
        <x:v>0</x:v>
      </x:c>
      <x:c r="P115" s="8" t="n">
        <x:v>8</x:v>
      </x:c>
      <x:c r="Q115" s="8" t="n">
        <x:v>4</x:v>
      </x:c>
      <x:c r="R115" s="8" t="n">
        <x:v>12</x:v>
      </x:c>
      <x:c r="S115" s="8" t="n">
        <x:v>0</x:v>
      </x:c>
      <x:c r="T115" s="8" t="n">
        <x:v>1</x:v>
      </x:c>
      <x:c r="U115" s="12" t="n">
        <x:v>0</x:v>
      </x:c>
      <x:c r="V115" s="8" t="n">
        <x:v>10</x:v>
      </x:c>
      <x:c r="W115" s="8" t="n">
        <x:v>230</x:v>
      </x:c>
      <x:c r="X115" s="12" t="n">
        <x:v>61900</x:v>
      </x:c>
      <x:c r="Y115" s="21"/>
      <x:c r="Z115" s="24" t="n">
        <x:f>IF($A115="","",INDEX(Settings!$C$29:$C$33,MATCH(E115,Settings!$A$29:$A$33,0)))</x:f>
        <x:v>3300</x:v>
      </x:c>
      <x:c r="AA115" s="22" t="n">
        <x:f>IF($A115="","",G115/Z115)</x:f>
        <x:v>0.9363636363636364</x:v>
      </x:c>
      <x:c r="AB115" s="25" t="n">
        <x:f>IF($A115="","",IF(ISNUMBER(Y115),Y115,Settings!$B$10))</x:f>
        <x:v>0.03</x:v>
      </x:c>
      <x:c r="AC115" s="23" t="n">
        <x:f>IF($A115="","",G115*(1+AB115))</x:f>
        <x:v>3182.7000000000003</x:v>
      </x:c>
      <x:c r="AD115" s="23" t="n">
        <x:f>IF($A115="","",G115*F115*12)</x:f>
        <x:v>37080</x:v>
      </x:c>
      <x:c r="AE115" s="23" t="n">
        <x:f>IF($A115="","",G115*F115*J115)</x:f>
        <x:v>3090</x:v>
      </x:c>
      <x:c r="AF115" s="24" t="n">
        <x:f>IF($A115="","",L115*F115*K115*Settings!$B$13)</x:f>
        <x:v>2842.8</x:v>
      </x:c>
      <x:c r="AG115" s="23" t="n">
        <x:f>IF($A115="","",AD115*H115*I115)</x:f>
        <x:v>1854</x:v>
      </x:c>
      <x:c r="AH115" s="24" t="n">
        <x:f>IF($A115="","",SUM(AD115:AE115,AG115)*SUM(Settings!$B$11:$B$12))</x:f>
        <x:v>10506</x:v>
      </x:c>
      <x:c r="AI115" s="24" t="n">
        <x:f>IF($A115="","",M115*Settings!$B$16)</x:f>
        <x:v>1897.83</x:v>
      </x:c>
      <x:c r="AJ115" s="24" t="n">
        <x:f>IF($A115="","",M115*Settings!$B$15)</x:f>
        <x:v>232.17000000000002</x:v>
      </x:c>
      <x:c r="AK115" s="24" t="n">
        <x:f>IF($A115="","",O115*Settings!$B$18)</x:f>
        <x:v>0</x:v>
      </x:c>
      <x:c r="AL115" s="24" t="n">
        <x:f>IF($A115="","",P115*Settings!$B$20+Q115*Settings!$B$21+R115*Settings!$B$22+S115*Settings!$B$23)</x:f>
        <x:v>2184.76</x:v>
      </x:c>
      <x:c r="AM115" s="24" t="n">
        <x:f>IF($A115="","",T115*Settings!$B$24)</x:f>
        <x:v>40</x:v>
      </x:c>
      <x:c r="AN115" s="23" t="n">
        <x:f>IF($A115="","",SUM(AI115,N115,AK115:AM115,U115))</x:f>
        <x:v>4372.59</x:v>
      </x:c>
      <x:c r="AO115" s="23" t="n">
        <x:f>IF($A115="","",SUM(AD115:AI115,N115,AK115:AM115,U115))</x:f>
        <x:v>59745.39000000001</x:v>
      </x:c>
      <x:c r="AP115" s="24" t="n">
        <x:f>IF($A115="","",G115*F115*AB115*((13-Settings!$B$9)*(1+H115*I115)+J115)*(1+SUM(Settings!$B$11:$B$12)))</x:f>
        <x:v>1210.8937500000002</x:v>
      </x:c>
      <x:c r="AQ115" s="23" t="n">
        <x:f>IF($A115="","",SUM(AO115:AP115))</x:f>
        <x:v>60956.28375000001</x:v>
      </x:c>
      <x:c r="AR115" s="23" t="n">
        <x:f>IF($A115="","",AQ115-X115)</x:f>
        <x:v>-943.7162499999904</x:v>
      </x:c>
      <x:c r="AS115" s="22" t="n">
        <x:f>IF($A115="","",IF(W115=0,"n.a.",V115/W115))</x:f>
        <x:v>0.043478260869565216</x:v>
      </x:c>
      <x:c r="AT115" s="26" t="str">
        <x:f>IF($A115="",IF(COUNTA(B115:Y115)&gt;0,"Missing ID",""),IF(COUNTIFS($A$9:$A$508,A115)&gt;1,"Duplicate ID",IF(OR(B115="",C115="",D115="",E115="",COUNT(F115:X115)&lt;&gt;19),"Missing / text input",IF(OR(COUNTIFS(Settings!$A$59:$A$64,B115)&lt;&gt;1,COUNTIFS(Settings!$A$29:$A$33,E115)&lt;&gt;1),"Unknown department / grade",IF(OR(F115&lt;=0,F115&gt;1,G115&lt;=0,L115&lt;=0,H115&lt;0,I115&lt;0,J115&lt;0,K115&lt;0,K115&gt;1,MIN(M115:X115)&lt;0,W115=0,V115&gt;W115,M115&gt;W115-V115,P115&gt;8,Q115&gt;4,R115&gt;12,S115&gt;12,T115&gt;1,AB115&lt;0),"Review quantity / rate",IF(OR(N115&gt;Settings!$C$17,AK115&gt;Settings!$C$19),"Review benefit ceiling","OK"))))))</x:f>
        <x:v>OK</x:v>
      </x:c>
    </x:row>
    <x:row r="116" ht="23" customHeight="1">
      <x:c r="A116" s="8" t="str">
        <x:v>BE-0108</x:v>
      </x:c>
      <x:c r="B116" s="8" t="str">
        <x:v>Business Support</x:v>
      </x:c>
      <x:c r="C116" s="8" t="str">
        <x:v>Ghent</x:v>
      </x:c>
      <x:c r="D116" s="8" t="str">
        <x:v>Business specialist</x:v>
      </x:c>
      <x:c r="E116" s="8" t="str">
        <x:v>G2</x:v>
      </x:c>
      <x:c r="F116" s="20" t="n">
        <x:v>1</x:v>
      </x:c>
      <x:c r="G116" s="12" t="n">
        <x:v>3470</x:v>
      </x:c>
      <x:c r="H116" s="21" t="n">
        <x:v>0.05</x:v>
      </x:c>
      <x:c r="I116" s="20" t="n">
        <x:v>1.1</x:v>
      </x:c>
      <x:c r="J116" s="20" t="n">
        <x:v>1</x:v>
      </x:c>
      <x:c r="K116" s="20" t="n">
        <x:v>1</x:v>
      </x:c>
      <x:c r="L116" s="12" t="n">
        <x:v>3470</x:v>
      </x:c>
      <x:c r="M116" s="8" t="n">
        <x:v>212</x:v>
      </x:c>
      <x:c r="N116" s="12" t="n">
        <x:v>250</x:v>
      </x:c>
      <x:c r="O116" s="8" t="n">
        <x:v>0</x:v>
      </x:c>
      <x:c r="P116" s="8" t="n">
        <x:v>8</x:v>
      </x:c>
      <x:c r="Q116" s="8" t="n">
        <x:v>4</x:v>
      </x:c>
      <x:c r="R116" s="8" t="n">
        <x:v>12</x:v>
      </x:c>
      <x:c r="S116" s="8" t="n">
        <x:v>0</x:v>
      </x:c>
      <x:c r="T116" s="8" t="n">
        <x:v>1</x:v>
      </x:c>
      <x:c r="U116" s="12" t="n">
        <x:v>0</x:v>
      </x:c>
      <x:c r="V116" s="8" t="n">
        <x:v>11</x:v>
      </x:c>
      <x:c r="W116" s="8" t="n">
        <x:v>230</x:v>
      </x:c>
      <x:c r="X116" s="12" t="n">
        <x:v>69200</x:v>
      </x:c>
      <x:c r="Y116" s="21"/>
      <x:c r="Z116" s="24" t="n">
        <x:f>IF($A116="","",INDEX(Settings!$C$29:$C$33,MATCH(E116,Settings!$A$29:$A$33,0)))</x:f>
        <x:v>3300</x:v>
      </x:c>
      <x:c r="AA116" s="22" t="n">
        <x:f>IF($A116="","",G116/Z116)</x:f>
        <x:v>1.0515151515151515</x:v>
      </x:c>
      <x:c r="AB116" s="25" t="n">
        <x:f>IF($A116="","",IF(ISNUMBER(Y116),Y116,Settings!$B$10))</x:f>
        <x:v>0.03</x:v>
      </x:c>
      <x:c r="AC116" s="23" t="n">
        <x:f>IF($A116="","",G116*(1+AB116))</x:f>
        <x:v>3574.1</x:v>
      </x:c>
      <x:c r="AD116" s="23" t="n">
        <x:f>IF($A116="","",G116*F116*12)</x:f>
        <x:v>41640</x:v>
      </x:c>
      <x:c r="AE116" s="23" t="n">
        <x:f>IF($A116="","",G116*F116*J116)</x:f>
        <x:v>3470</x:v>
      </x:c>
      <x:c r="AF116" s="24" t="n">
        <x:f>IF($A116="","",L116*F116*K116*Settings!$B$13)</x:f>
        <x:v>3192.4</x:v>
      </x:c>
      <x:c r="AG116" s="23" t="n">
        <x:f>IF($A116="","",AD116*H116*I116)</x:f>
        <x:v>2290.2000000000003</x:v>
      </x:c>
      <x:c r="AH116" s="24" t="n">
        <x:f>IF($A116="","",SUM(AD116:AE116,AG116)*SUM(Settings!$B$11:$B$12))</x:f>
        <x:v>11850.05</x:v>
      </x:c>
      <x:c r="AI116" s="24" t="n">
        <x:f>IF($A116="","",M116*Settings!$B$16)</x:f>
        <x:v>1888.92</x:v>
      </x:c>
      <x:c r="AJ116" s="24" t="n">
        <x:f>IF($A116="","",M116*Settings!$B$15)</x:f>
        <x:v>231.08</x:v>
      </x:c>
      <x:c r="AK116" s="24" t="n">
        <x:f>IF($A116="","",O116*Settings!$B$18)</x:f>
        <x:v>0</x:v>
      </x:c>
      <x:c r="AL116" s="24" t="n">
        <x:f>IF($A116="","",P116*Settings!$B$20+Q116*Settings!$B$21+R116*Settings!$B$22+S116*Settings!$B$23)</x:f>
        <x:v>2184.76</x:v>
      </x:c>
      <x:c r="AM116" s="24" t="n">
        <x:f>IF($A116="","",T116*Settings!$B$24)</x:f>
        <x:v>40</x:v>
      </x:c>
      <x:c r="AN116" s="23" t="n">
        <x:f>IF($A116="","",SUM(AI116,N116,AK116:AM116,U116))</x:f>
        <x:v>4363.68</x:v>
      </x:c>
      <x:c r="AO116" s="23" t="n">
        <x:f>IF($A116="","",SUM(AD116:AI116,N116,AK116:AM116,U116))</x:f>
        <x:v>66806.32999999999</x:v>
      </x:c>
      <x:c r="AP116" s="24" t="n">
        <x:f>IF($A116="","",G116*F116*AB116*((13-Settings!$B$9)*(1+H116*I116)+J116)*(1+SUM(Settings!$B$11:$B$12)))</x:f>
        <x:v>1365.6618749999998</x:v>
      </x:c>
      <x:c r="AQ116" s="23" t="n">
        <x:f>IF($A116="","",SUM(AO116:AP116))</x:f>
        <x:v>68171.99187499999</x:v>
      </x:c>
      <x:c r="AR116" s="23" t="n">
        <x:f>IF($A116="","",AQ116-X116)</x:f>
        <x:v>-1028.0081250000076</x:v>
      </x:c>
      <x:c r="AS116" s="22" t="n">
        <x:f>IF($A116="","",IF(W116=0,"n.a.",V116/W116))</x:f>
        <x:v>0.04782608695652174</x:v>
      </x:c>
      <x:c r="AT116" s="26" t="str">
        <x:f>IF($A116="",IF(COUNTA(B116:Y116)&gt;0,"Missing ID",""),IF(COUNTIFS($A$9:$A$508,A116)&gt;1,"Duplicate ID",IF(OR(B116="",C116="",D116="",E116="",COUNT(F116:X116)&lt;&gt;19),"Missing / text input",IF(OR(COUNTIFS(Settings!$A$59:$A$64,B116)&lt;&gt;1,COUNTIFS(Settings!$A$29:$A$33,E116)&lt;&gt;1),"Unknown department / grade",IF(OR(F116&lt;=0,F116&gt;1,G116&lt;=0,L116&lt;=0,H116&lt;0,I116&lt;0,J116&lt;0,K116&lt;0,K116&gt;1,MIN(M116:X116)&lt;0,W116=0,V116&gt;W116,M116&gt;W116-V116,P116&gt;8,Q116&gt;4,R116&gt;12,S116&gt;12,T116&gt;1,AB116&lt;0),"Review quantity / rate",IF(OR(N116&gt;Settings!$C$17,AK116&gt;Settings!$C$19),"Review benefit ceiling","OK"))))))</x:f>
        <x:v>OK</x:v>
      </x:c>
    </x:row>
    <x:row r="117" ht="23" customHeight="1">
      <x:c r="A117" s="8" t="str">
        <x:v>BE-0109</x:v>
      </x:c>
      <x:c r="B117" s="8" t="str">
        <x:v>Finance</x:v>
      </x:c>
      <x:c r="C117" s="8" t="str">
        <x:v>Brussels</x:v>
      </x:c>
      <x:c r="D117" s="8" t="str">
        <x:v>Accountant</x:v>
      </x:c>
      <x:c r="E117" s="8" t="str">
        <x:v>G2</x:v>
      </x:c>
      <x:c r="F117" s="20" t="n">
        <x:v>0.6</x:v>
      </x:c>
      <x:c r="G117" s="12" t="n">
        <x:v>3550</x:v>
      </x:c>
      <x:c r="H117" s="21" t="n">
        <x:v>0.05</x:v>
      </x:c>
      <x:c r="I117" s="20" t="n">
        <x:v>0.8</x:v>
      </x:c>
      <x:c r="J117" s="20" t="n">
        <x:v>1</x:v>
      </x:c>
      <x:c r="K117" s="20" t="n">
        <x:v>1</x:v>
      </x:c>
      <x:c r="L117" s="12" t="n">
        <x:v>3550</x:v>
      </x:c>
      <x:c r="M117" s="8" t="n">
        <x:v>125</x:v>
      </x:c>
      <x:c r="N117" s="12" t="n">
        <x:v>150</x:v>
      </x:c>
      <x:c r="O117" s="8" t="n">
        <x:v>1730</x:v>
      </x:c>
      <x:c r="P117" s="8" t="n">
        <x:v>0</x:v>
      </x:c>
      <x:c r="Q117" s="8" t="n">
        <x:v>0</x:v>
      </x:c>
      <x:c r="R117" s="8" t="n">
        <x:v>0</x:v>
      </x:c>
      <x:c r="S117" s="8" t="n">
        <x:v>0</x:v>
      </x:c>
      <x:c r="T117" s="8" t="n">
        <x:v>1</x:v>
      </x:c>
      <x:c r="U117" s="12" t="n">
        <x:v>0</x:v>
      </x:c>
      <x:c r="V117" s="8" t="n">
        <x:v>0</x:v>
      </x:c>
      <x:c r="W117" s="8" t="n">
        <x:v>138</x:v>
      </x:c>
      <x:c r="X117" s="12" t="n">
        <x:v>41200</x:v>
      </x:c>
      <x:c r="Y117" s="21"/>
      <x:c r="Z117" s="24" t="n">
        <x:f>IF($A117="","",INDEX(Settings!$C$29:$C$33,MATCH(E117,Settings!$A$29:$A$33,0)))</x:f>
        <x:v>3300</x:v>
      </x:c>
      <x:c r="AA117" s="22" t="n">
        <x:f>IF($A117="","",G117/Z117)</x:f>
        <x:v>1.0757575757575757</x:v>
      </x:c>
      <x:c r="AB117" s="25" t="n">
        <x:f>IF($A117="","",IF(ISNUMBER(Y117),Y117,Settings!$B$10))</x:f>
        <x:v>0.03</x:v>
      </x:c>
      <x:c r="AC117" s="23" t="n">
        <x:f>IF($A117="","",G117*(1+AB117))</x:f>
        <x:v>3656.5</x:v>
      </x:c>
      <x:c r="AD117" s="23" t="n">
        <x:f>IF($A117="","",G117*F117*12)</x:f>
        <x:v>25560</x:v>
      </x:c>
      <x:c r="AE117" s="23" t="n">
        <x:f>IF($A117="","",G117*F117*J117)</x:f>
        <x:v>2130</x:v>
      </x:c>
      <x:c r="AF117" s="24" t="n">
        <x:f>IF($A117="","",L117*F117*K117*Settings!$B$13)</x:f>
        <x:v>1959.6000000000001</x:v>
      </x:c>
      <x:c r="AG117" s="23" t="n">
        <x:f>IF($A117="","",AD117*H117*I117)</x:f>
        <x:v>1022.4000000000001</x:v>
      </x:c>
      <x:c r="AH117" s="24" t="n">
        <x:f>IF($A117="","",SUM(AD117:AE117,AG117)*SUM(Settings!$B$11:$B$12))</x:f>
        <x:v>7178.1</x:v>
      </x:c>
      <x:c r="AI117" s="24" t="n">
        <x:f>IF($A117="","",M117*Settings!$B$16)</x:f>
        <x:v>1113.75</x:v>
      </x:c>
      <x:c r="AJ117" s="24" t="n">
        <x:f>IF($A117="","",M117*Settings!$B$15)</x:f>
        <x:v>136.25</x:v>
      </x:c>
      <x:c r="AK117" s="24" t="n">
        <x:f>IF($A117="","",O117*Settings!$B$18)</x:f>
        <x:v>640.1</x:v>
      </x:c>
      <x:c r="AL117" s="24" t="n">
        <x:f>IF($A117="","",P117*Settings!$B$20+Q117*Settings!$B$21+R117*Settings!$B$22+S117*Settings!$B$23)</x:f>
        <x:v>0</x:v>
      </x:c>
      <x:c r="AM117" s="24" t="n">
        <x:f>IF($A117="","",T117*Settings!$B$24)</x:f>
        <x:v>40</x:v>
      </x:c>
      <x:c r="AN117" s="23" t="n">
        <x:f>IF($A117="","",SUM(AI117,N117,AK117:AM117,U117))</x:f>
        <x:v>1943.85</x:v>
      </x:c>
      <x:c r="AO117" s="23" t="n">
        <x:f>IF($A117="","",SUM(AD117:AI117,N117,AK117:AM117,U117))</x:f>
        <x:v>39793.95</x:v>
      </x:c>
      <x:c r="AP117" s="24" t="n">
        <x:f>IF($A117="","",G117*F117*AB117*((13-Settings!$B$9)*(1+H117*I117)+J117)*(1+SUM(Settings!$B$11:$B$12)))</x:f>
        <x:v>827.5049999999999</x:v>
      </x:c>
      <x:c r="AQ117" s="23" t="n">
        <x:f>IF($A117="","",SUM(AO117:AP117))</x:f>
        <x:v>40621.454999999994</x:v>
      </x:c>
      <x:c r="AR117" s="23" t="n">
        <x:f>IF($A117="","",AQ117-X117)</x:f>
        <x:v>-578.5450000000055</x:v>
      </x:c>
      <x:c r="AS117" s="22" t="n">
        <x:f>IF($A117="","",IF(W117=0,"n.a.",V117/W117))</x:f>
        <x:v>0</x:v>
      </x:c>
      <x:c r="AT117" s="26" t="str">
        <x:f>IF($A117="",IF(COUNTA(B117:Y117)&gt;0,"Missing ID",""),IF(COUNTIFS($A$9:$A$508,A117)&gt;1,"Duplicate ID",IF(OR(B117="",C117="",D117="",E117="",COUNT(F117:X117)&lt;&gt;19),"Missing / text input",IF(OR(COUNTIFS(Settings!$A$59:$A$64,B117)&lt;&gt;1,COUNTIFS(Settings!$A$29:$A$33,E117)&lt;&gt;1),"Unknown department / grade",IF(OR(F117&lt;=0,F117&gt;1,G117&lt;=0,L117&lt;=0,H117&lt;0,I117&lt;0,J117&lt;0,K117&lt;0,K117&gt;1,MIN(M117:X117)&lt;0,W117=0,V117&gt;W117,M117&gt;W117-V117,P117&gt;8,Q117&gt;4,R117&gt;12,S117&gt;12,T117&gt;1,AB117&lt;0),"Review quantity / rate",IF(OR(N117&gt;Settings!$C$17,AK117&gt;Settings!$C$19),"Review benefit ceiling","OK"))))))</x:f>
        <x:v>OK</x:v>
      </x:c>
    </x:row>
    <x:row r="118" ht="23" customHeight="1">
      <x:c r="A118" s="8" t="str">
        <x:v>BE-0110</x:v>
      </x:c>
      <x:c r="B118" s="8" t="str">
        <x:v>People &amp; Culture</x:v>
      </x:c>
      <x:c r="C118" s="8" t="str">
        <x:v>Antwerp</x:v>
      </x:c>
      <x:c r="D118" s="8" t="str">
        <x:v>HR specialist</x:v>
      </x:c>
      <x:c r="E118" s="8" t="str">
        <x:v>G2</x:v>
      </x:c>
      <x:c r="F118" s="20" t="n">
        <x:v>1</x:v>
      </x:c>
      <x:c r="G118" s="12" t="n">
        <x:v>3240</x:v>
      </x:c>
      <x:c r="H118" s="21" t="n">
        <x:v>0.05</x:v>
      </x:c>
      <x:c r="I118" s="20" t="n">
        <x:v>1</x:v>
      </x:c>
      <x:c r="J118" s="20" t="n">
        <x:v>1</x:v>
      </x:c>
      <x:c r="K118" s="20" t="n">
        <x:v>1</x:v>
      </x:c>
      <x:c r="L118" s="12" t="n">
        <x:v>3240</x:v>
      </x:c>
      <x:c r="M118" s="8" t="n">
        <x:v>210</x:v>
      </x:c>
      <x:c r="N118" s="12" t="n">
        <x:v>250</x:v>
      </x:c>
      <x:c r="O118" s="8" t="n">
        <x:v>0</x:v>
      </x:c>
      <x:c r="P118" s="8" t="n">
        <x:v>8</x:v>
      </x:c>
      <x:c r="Q118" s="8" t="n">
        <x:v>4</x:v>
      </x:c>
      <x:c r="R118" s="8" t="n">
        <x:v>12</x:v>
      </x:c>
      <x:c r="S118" s="8" t="n">
        <x:v>0</x:v>
      </x:c>
      <x:c r="T118" s="8" t="n">
        <x:v>1</x:v>
      </x:c>
      <x:c r="U118" s="12" t="n">
        <x:v>0</x:v>
      </x:c>
      <x:c r="V118" s="8" t="n">
        <x:v>1</x:v>
      </x:c>
      <x:c r="W118" s="8" t="n">
        <x:v>230</x:v>
      </x:c>
      <x:c r="X118" s="12" t="n">
        <x:v>64600</x:v>
      </x:c>
      <x:c r="Y118" s="21"/>
      <x:c r="Z118" s="24" t="n">
        <x:f>IF($A118="","",INDEX(Settings!$C$29:$C$33,MATCH(E118,Settings!$A$29:$A$33,0)))</x:f>
        <x:v>3300</x:v>
      </x:c>
      <x:c r="AA118" s="22" t="n">
        <x:f>IF($A118="","",G118/Z118)</x:f>
        <x:v>0.9818181818181818</x:v>
      </x:c>
      <x:c r="AB118" s="25" t="n">
        <x:f>IF($A118="","",IF(ISNUMBER(Y118),Y118,Settings!$B$10))</x:f>
        <x:v>0.03</x:v>
      </x:c>
      <x:c r="AC118" s="23" t="n">
        <x:f>IF($A118="","",G118*(1+AB118))</x:f>
        <x:v>3337.2000000000003</x:v>
      </x:c>
      <x:c r="AD118" s="23" t="n">
        <x:f>IF($A118="","",G118*F118*12)</x:f>
        <x:v>38880</x:v>
      </x:c>
      <x:c r="AE118" s="23" t="n">
        <x:f>IF($A118="","",G118*F118*J118)</x:f>
        <x:v>3240</x:v>
      </x:c>
      <x:c r="AF118" s="24" t="n">
        <x:f>IF($A118="","",L118*F118*K118*Settings!$B$13)</x:f>
        <x:v>2980.8</x:v>
      </x:c>
      <x:c r="AG118" s="23" t="n">
        <x:f>IF($A118="","",AD118*H118*I118)</x:f>
        <x:v>1944</x:v>
      </x:c>
      <x:c r="AH118" s="24" t="n">
        <x:f>IF($A118="","",SUM(AD118:AE118,AG118)*SUM(Settings!$B$11:$B$12))</x:f>
        <x:v>11016</x:v>
      </x:c>
      <x:c r="AI118" s="24" t="n">
        <x:f>IF($A118="","",M118*Settings!$B$16)</x:f>
        <x:v>1871.1000000000001</x:v>
      </x:c>
      <x:c r="AJ118" s="24" t="n">
        <x:f>IF($A118="","",M118*Settings!$B$15)</x:f>
        <x:v>228.9</x:v>
      </x:c>
      <x:c r="AK118" s="24" t="n">
        <x:f>IF($A118="","",O118*Settings!$B$18)</x:f>
        <x:v>0</x:v>
      </x:c>
      <x:c r="AL118" s="24" t="n">
        <x:f>IF($A118="","",P118*Settings!$B$20+Q118*Settings!$B$21+R118*Settings!$B$22+S118*Settings!$B$23)</x:f>
        <x:v>2184.76</x:v>
      </x:c>
      <x:c r="AM118" s="24" t="n">
        <x:f>IF($A118="","",T118*Settings!$B$24)</x:f>
        <x:v>40</x:v>
      </x:c>
      <x:c r="AN118" s="23" t="n">
        <x:f>IF($A118="","",SUM(AI118,N118,AK118:AM118,U118))</x:f>
        <x:v>4345.860000000001</x:v>
      </x:c>
      <x:c r="AO118" s="23" t="n">
        <x:f>IF($A118="","",SUM(AD118:AI118,N118,AK118:AM118,U118))</x:f>
        <x:v>62406.66</x:v>
      </x:c>
      <x:c r="AP118" s="24" t="n">
        <x:f>IF($A118="","",G118*F118*AB118*((13-Settings!$B$9)*(1+H118*I118)+J118)*(1+SUM(Settings!$B$11:$B$12)))</x:f>
        <x:v>1269.6750000000002</x:v>
      </x:c>
      <x:c r="AQ118" s="23" t="n">
        <x:f>IF($A118="","",SUM(AO118:AP118))</x:f>
        <x:v>63676.33500000001</x:v>
      </x:c>
      <x:c r="AR118" s="23" t="n">
        <x:f>IF($A118="","",AQ118-X118)</x:f>
        <x:v>-923.6649999999936</x:v>
      </x:c>
      <x:c r="AS118" s="22" t="n">
        <x:f>IF($A118="","",IF(W118=0,"n.a.",V118/W118))</x:f>
        <x:v>0.004347826086956522</x:v>
      </x:c>
      <x:c r="AT118" s="26" t="str">
        <x:f>IF($A118="",IF(COUNTA(B118:Y118)&gt;0,"Missing ID",""),IF(COUNTIFS($A$9:$A$508,A118)&gt;1,"Duplicate ID",IF(OR(B118="",C118="",D118="",E118="",COUNT(F118:X118)&lt;&gt;19),"Missing / text input",IF(OR(COUNTIFS(Settings!$A$59:$A$64,B118)&lt;&gt;1,COUNTIFS(Settings!$A$29:$A$33,E118)&lt;&gt;1),"Unknown department / grade",IF(OR(F118&lt;=0,F118&gt;1,G118&lt;=0,L118&lt;=0,H118&lt;0,I118&lt;0,J118&lt;0,K118&lt;0,K118&gt;1,MIN(M118:X118)&lt;0,W118=0,V118&gt;W118,M118&gt;W118-V118,P118&gt;8,Q118&gt;4,R118&gt;12,S118&gt;12,T118&gt;1,AB118&lt;0),"Review quantity / rate",IF(OR(N118&gt;Settings!$C$17,AK118&gt;Settings!$C$19),"Review benefit ceiling","OK"))))))</x:f>
        <x:v>OK</x:v>
      </x:c>
    </x:row>
    <x:row r="119" ht="23" customHeight="1">
      <x:c r="A119" s="8" t="str">
        <x:v>BE-0111</x:v>
      </x:c>
      <x:c r="B119" s="8" t="str">
        <x:v>Technology</x:v>
      </x:c>
      <x:c r="C119" s="8" t="str">
        <x:v>Ghent</x:v>
      </x:c>
      <x:c r="D119" s="8" t="str">
        <x:v>Developer</x:v>
      </x:c>
      <x:c r="E119" s="8" t="str">
        <x:v>G2</x:v>
      </x:c>
      <x:c r="F119" s="20" t="n">
        <x:v>1</x:v>
      </x:c>
      <x:c r="G119" s="12" t="n">
        <x:v>3190</x:v>
      </x:c>
      <x:c r="H119" s="21" t="n">
        <x:v>0.05</x:v>
      </x:c>
      <x:c r="I119" s="20" t="n">
        <x:v>1.1</x:v>
      </x:c>
      <x:c r="J119" s="20" t="n">
        <x:v>1</x:v>
      </x:c>
      <x:c r="K119" s="20" t="n">
        <x:v>1</x:v>
      </x:c>
      <x:c r="L119" s="12" t="n">
        <x:v>3190</x:v>
      </x:c>
      <x:c r="M119" s="8" t="n">
        <x:v>209</x:v>
      </x:c>
      <x:c r="N119" s="12" t="n">
        <x:v>250</x:v>
      </x:c>
      <x:c r="O119" s="8" t="n">
        <x:v>0</x:v>
      </x:c>
      <x:c r="P119" s="8" t="n">
        <x:v>8</x:v>
      </x:c>
      <x:c r="Q119" s="8" t="n">
        <x:v>4</x:v>
      </x:c>
      <x:c r="R119" s="8" t="n">
        <x:v>12</x:v>
      </x:c>
      <x:c r="S119" s="8" t="n">
        <x:v>12</x:v>
      </x:c>
      <x:c r="T119" s="8" t="n">
        <x:v>1</x:v>
      </x:c>
      <x:c r="U119" s="12" t="n">
        <x:v>0</x:v>
      </x:c>
      <x:c r="V119" s="8" t="n">
        <x:v>2</x:v>
      </x:c>
      <x:c r="W119" s="8" t="n">
        <x:v>230</x:v>
      </x:c>
      <x:c r="X119" s="12" t="n">
        <x:v>61100</x:v>
      </x:c>
      <x:c r="Y119" s="21" t="n">
        <x:v>0</x:v>
      </x:c>
      <x:c r="Z119" s="24" t="n">
        <x:f>IF($A119="","",INDEX(Settings!$C$29:$C$33,MATCH(E119,Settings!$A$29:$A$33,0)))</x:f>
        <x:v>3300</x:v>
      </x:c>
      <x:c r="AA119" s="22" t="n">
        <x:f>IF($A119="","",G119/Z119)</x:f>
        <x:v>0.9666666666666667</x:v>
      </x:c>
      <x:c r="AB119" s="25" t="n">
        <x:f>IF($A119="","",IF(ISNUMBER(Y119),Y119,Settings!$B$10))</x:f>
        <x:v>0</x:v>
      </x:c>
      <x:c r="AC119" s="23" t="n">
        <x:f>IF($A119="","",G119*(1+AB119))</x:f>
        <x:v>3190</x:v>
      </x:c>
      <x:c r="AD119" s="23" t="n">
        <x:f>IF($A119="","",G119*F119*12)</x:f>
        <x:v>38280</x:v>
      </x:c>
      <x:c r="AE119" s="23" t="n">
        <x:f>IF($A119="","",G119*F119*J119)</x:f>
        <x:v>3190</x:v>
      </x:c>
      <x:c r="AF119" s="24" t="n">
        <x:f>IF($A119="","",L119*F119*K119*Settings!$B$13)</x:f>
        <x:v>2934.8</x:v>
      </x:c>
      <x:c r="AG119" s="23" t="n">
        <x:f>IF($A119="","",AD119*H119*I119)</x:f>
        <x:v>2105.4</x:v>
      </x:c>
      <x:c r="AH119" s="24" t="n">
        <x:f>IF($A119="","",SUM(AD119:AE119,AG119)*SUM(Settings!$B$11:$B$12))</x:f>
        <x:v>10893.85</x:v>
      </x:c>
      <x:c r="AI119" s="24" t="n">
        <x:f>IF($A119="","",M119*Settings!$B$16)</x:f>
        <x:v>1862.19</x:v>
      </x:c>
      <x:c r="AJ119" s="24" t="n">
        <x:f>IF($A119="","",M119*Settings!$B$15)</x:f>
        <x:v>227.81000000000003</x:v>
      </x:c>
      <x:c r="AK119" s="24" t="n">
        <x:f>IF($A119="","",O119*Settings!$B$18)</x:f>
        <x:v>0</x:v>
      </x:c>
      <x:c r="AL119" s="24" t="n">
        <x:f>IF($A119="","",P119*Settings!$B$20+Q119*Settings!$B$21+R119*Settings!$B$22+S119*Settings!$B$23)</x:f>
        <x:v>2424.76</x:v>
      </x:c>
      <x:c r="AM119" s="24" t="n">
        <x:f>IF($A119="","",T119*Settings!$B$24)</x:f>
        <x:v>40</x:v>
      </x:c>
      <x:c r="AN119" s="23" t="n">
        <x:f>IF($A119="","",SUM(AI119,N119,AK119:AM119,U119))</x:f>
        <x:v>4576.950000000001</x:v>
      </x:c>
      <x:c r="AO119" s="23" t="n">
        <x:f>IF($A119="","",SUM(AD119:AI119,N119,AK119:AM119,U119))</x:f>
        <x:v>61981.00000000001</x:v>
      </x:c>
      <x:c r="AP119" s="24" t="n">
        <x:f>IF($A119="","",G119*F119*AB119*((13-Settings!$B$9)*(1+H119*I119)+J119)*(1+SUM(Settings!$B$11:$B$12)))</x:f>
        <x:v>0</x:v>
      </x:c>
      <x:c r="AQ119" s="23" t="n">
        <x:f>IF($A119="","",SUM(AO119:AP119))</x:f>
        <x:v>61981.00000000001</x:v>
      </x:c>
      <x:c r="AR119" s="23" t="n">
        <x:f>IF($A119="","",AQ119-X119)</x:f>
        <x:v>881.0000000000073</x:v>
      </x:c>
      <x:c r="AS119" s="22" t="n">
        <x:f>IF($A119="","",IF(W119=0,"n.a.",V119/W119))</x:f>
        <x:v>0.008695652173913044</x:v>
      </x:c>
      <x:c r="AT119" s="26" t="str">
        <x:f>IF($A119="",IF(COUNTA(B119:Y119)&gt;0,"Missing ID",""),IF(COUNTIFS($A$9:$A$508,A119)&gt;1,"Duplicate ID",IF(OR(B119="",C119="",D119="",E119="",COUNT(F119:X119)&lt;&gt;19),"Missing / text input",IF(OR(COUNTIFS(Settings!$A$59:$A$64,B119)&lt;&gt;1,COUNTIFS(Settings!$A$29:$A$33,E119)&lt;&gt;1),"Unknown department / grade",IF(OR(F119&lt;=0,F119&gt;1,G119&lt;=0,L119&lt;=0,H119&lt;0,I119&lt;0,J119&lt;0,K119&lt;0,K119&gt;1,MIN(M119:X119)&lt;0,W119=0,V119&gt;W119,M119&gt;W119-V119,P119&gt;8,Q119&gt;4,R119&gt;12,S119&gt;12,T119&gt;1,AB119&lt;0),"Review quantity / rate",IF(OR(N119&gt;Settings!$C$17,AK119&gt;Settings!$C$19),"Review benefit ceiling","OK"))))))</x:f>
        <x:v>OK</x:v>
      </x:c>
    </x:row>
    <x:row r="120" ht="23" customHeight="1">
      <x:c r="A120" s="8" t="str">
        <x:v>BE-0112</x:v>
      </x:c>
      <x:c r="B120" s="8" t="str">
        <x:v>Sales</x:v>
      </x:c>
      <x:c r="C120" s="8" t="str">
        <x:v>Brussels</x:v>
      </x:c>
      <x:c r="D120" s="8" t="str">
        <x:v>Account manager</x:v>
      </x:c>
      <x:c r="E120" s="8" t="str">
        <x:v>G2</x:v>
      </x:c>
      <x:c r="F120" s="20" t="n">
        <x:v>1</x:v>
      </x:c>
      <x:c r="G120" s="12" t="n">
        <x:v>3440</x:v>
      </x:c>
      <x:c r="H120" s="21" t="n">
        <x:v>0.05</x:v>
      </x:c>
      <x:c r="I120" s="20" t="n">
        <x:v>0.8</x:v>
      </x:c>
      <x:c r="J120" s="20" t="n">
        <x:v>1</x:v>
      </x:c>
      <x:c r="K120" s="20" t="n">
        <x:v>1</x:v>
      </x:c>
      <x:c r="L120" s="12" t="n">
        <x:v>3440</x:v>
      </x:c>
      <x:c r="M120" s="8" t="n">
        <x:v>208</x:v>
      </x:c>
      <x:c r="N120" s="12" t="n">
        <x:v>250</x:v>
      </x:c>
      <x:c r="O120" s="8" t="n">
        <x:v>2060</x:v>
      </x:c>
      <x:c r="P120" s="8" t="n">
        <x:v>8</x:v>
      </x:c>
      <x:c r="Q120" s="8" t="n">
        <x:v>4</x:v>
      </x:c>
      <x:c r="R120" s="8" t="n">
        <x:v>12</x:v>
      </x:c>
      <x:c r="S120" s="8" t="n">
        <x:v>0</x:v>
      </x:c>
      <x:c r="T120" s="8" t="n">
        <x:v>1</x:v>
      </x:c>
      <x:c r="U120" s="12" t="n">
        <x:v>0</x:v>
      </x:c>
      <x:c r="V120" s="8" t="n">
        <x:v>3</x:v>
      </x:c>
      <x:c r="W120" s="8" t="n">
        <x:v>230</x:v>
      </x:c>
      <x:c r="X120" s="12" t="n">
        <x:v>68600</x:v>
      </x:c>
      <x:c r="Y120" s="21"/>
      <x:c r="Z120" s="24" t="n">
        <x:f>IF($A120="","",INDEX(Settings!$C$29:$C$33,MATCH(E120,Settings!$A$29:$A$33,0)))</x:f>
        <x:v>3300</x:v>
      </x:c>
      <x:c r="AA120" s="22" t="n">
        <x:f>IF($A120="","",G120/Z120)</x:f>
        <x:v>1.0424242424242425</x:v>
      </x:c>
      <x:c r="AB120" s="25" t="n">
        <x:f>IF($A120="","",IF(ISNUMBER(Y120),Y120,Settings!$B$10))</x:f>
        <x:v>0.03</x:v>
      </x:c>
      <x:c r="AC120" s="23" t="n">
        <x:f>IF($A120="","",G120*(1+AB120))</x:f>
        <x:v>3543.2000000000003</x:v>
      </x:c>
      <x:c r="AD120" s="23" t="n">
        <x:f>IF($A120="","",G120*F120*12)</x:f>
        <x:v>41280</x:v>
      </x:c>
      <x:c r="AE120" s="23" t="n">
        <x:f>IF($A120="","",G120*F120*J120)</x:f>
        <x:v>3440</x:v>
      </x:c>
      <x:c r="AF120" s="24" t="n">
        <x:f>IF($A120="","",L120*F120*K120*Settings!$B$13)</x:f>
        <x:v>3164.8</x:v>
      </x:c>
      <x:c r="AG120" s="23" t="n">
        <x:f>IF($A120="","",AD120*H120*I120)</x:f>
        <x:v>1651.2</x:v>
      </x:c>
      <x:c r="AH120" s="24" t="n">
        <x:f>IF($A120="","",SUM(AD120:AE120,AG120)*SUM(Settings!$B$11:$B$12))</x:f>
        <x:v>11592.8</x:v>
      </x:c>
      <x:c r="AI120" s="24" t="n">
        <x:f>IF($A120="","",M120*Settings!$B$16)</x:f>
        <x:v>1853.28</x:v>
      </x:c>
      <x:c r="AJ120" s="24" t="n">
        <x:f>IF($A120="","",M120*Settings!$B$15)</x:f>
        <x:v>226.72000000000003</x:v>
      </x:c>
      <x:c r="AK120" s="24" t="n">
        <x:f>IF($A120="","",O120*Settings!$B$18)</x:f>
        <x:v>762.2</x:v>
      </x:c>
      <x:c r="AL120" s="24" t="n">
        <x:f>IF($A120="","",P120*Settings!$B$20+Q120*Settings!$B$21+R120*Settings!$B$22+S120*Settings!$B$23)</x:f>
        <x:v>2184.76</x:v>
      </x:c>
      <x:c r="AM120" s="24" t="n">
        <x:f>IF($A120="","",T120*Settings!$B$24)</x:f>
        <x:v>40</x:v>
      </x:c>
      <x:c r="AN120" s="23" t="n">
        <x:f>IF($A120="","",SUM(AI120,N120,AK120:AM120,U120))</x:f>
        <x:v>5090.24</x:v>
      </x:c>
      <x:c r="AO120" s="23" t="n">
        <x:f>IF($A120="","",SUM(AD120:AI120,N120,AK120:AM120,U120))</x:f>
        <x:v>66219.04000000001</x:v>
      </x:c>
      <x:c r="AP120" s="24" t="n">
        <x:f>IF($A120="","",G120*F120*AB120*((13-Settings!$B$9)*(1+H120*I120)+J120)*(1+SUM(Settings!$B$11:$B$12)))</x:f>
        <x:v>1336.44</x:v>
      </x:c>
      <x:c r="AQ120" s="23" t="n">
        <x:f>IF($A120="","",SUM(AO120:AP120))</x:f>
        <x:v>67555.48000000001</x:v>
      </x:c>
      <x:c r="AR120" s="23" t="n">
        <x:f>IF($A120="","",AQ120-X120)</x:f>
        <x:v>-1044.5199999999895</x:v>
      </x:c>
      <x:c r="AS120" s="22" t="n">
        <x:f>IF($A120="","",IF(W120=0,"n.a.",V120/W120))</x:f>
        <x:v>0.013043478260869565</x:v>
      </x:c>
      <x:c r="AT120" s="26" t="str">
        <x:f>IF($A120="",IF(COUNTA(B120:Y120)&gt;0,"Missing ID",""),IF(COUNTIFS($A$9:$A$508,A120)&gt;1,"Duplicate ID",IF(OR(B120="",C120="",D120="",E120="",COUNT(F120:X120)&lt;&gt;19),"Missing / text input",IF(OR(COUNTIFS(Settings!$A$59:$A$64,B120)&lt;&gt;1,COUNTIFS(Settings!$A$29:$A$33,E120)&lt;&gt;1),"Unknown department / grade",IF(OR(F120&lt;=0,F120&gt;1,G120&lt;=0,L120&lt;=0,H120&lt;0,I120&lt;0,J120&lt;0,K120&lt;0,K120&gt;1,MIN(M120:X120)&lt;0,W120=0,V120&gt;W120,M120&gt;W120-V120,P120&gt;8,Q120&gt;4,R120&gt;12,S120&gt;12,T120&gt;1,AB120&lt;0),"Review quantity / rate",IF(OR(N120&gt;Settings!$C$17,AK120&gt;Settings!$C$19),"Review benefit ceiling","OK"))))))</x:f>
        <x:v>OK</x:v>
      </x:c>
    </x:row>
    <x:row r="121" ht="23" customHeight="1">
      <x:c r="A121" s="8" t="str">
        <x:v>BE-0113</x:v>
      </x:c>
      <x:c r="B121" s="8" t="str">
        <x:v>Customer Operations</x:v>
      </x:c>
      <x:c r="C121" s="8" t="str">
        <x:v>Antwerp</x:v>
      </x:c>
      <x:c r="D121" s="8" t="str">
        <x:v>Senior service specialist</x:v>
      </x:c>
      <x:c r="E121" s="8" t="str">
        <x:v>G3</x:v>
      </x:c>
      <x:c r="F121" s="20" t="n">
        <x:v>0.8</x:v>
      </x:c>
      <x:c r="G121" s="12" t="n">
        <x:v>3930</x:v>
      </x:c>
      <x:c r="H121" s="21" t="n">
        <x:v>0.08</x:v>
      </x:c>
      <x:c r="I121" s="20" t="n">
        <x:v>1</x:v>
      </x:c>
      <x:c r="J121" s="20" t="n">
        <x:v>1</x:v>
      </x:c>
      <x:c r="K121" s="20" t="n">
        <x:v>1</x:v>
      </x:c>
      <x:c r="L121" s="12" t="n">
        <x:v>3930</x:v>
      </x:c>
      <x:c r="M121" s="8" t="n">
        <x:v>171</x:v>
      </x:c>
      <x:c r="N121" s="12" t="n">
        <x:v>200</x:v>
      </x:c>
      <x:c r="O121" s="8" t="n">
        <x:v>0</x:v>
      </x:c>
      <x:c r="P121" s="8" t="n">
        <x:v>0</x:v>
      </x:c>
      <x:c r="Q121" s="8" t="n">
        <x:v>0</x:v>
      </x:c>
      <x:c r="R121" s="8" t="n">
        <x:v>0</x:v>
      </x:c>
      <x:c r="S121" s="8" t="n">
        <x:v>0</x:v>
      </x:c>
      <x:c r="T121" s="8" t="n">
        <x:v>1</x:v>
      </x:c>
      <x:c r="U121" s="12" t="n">
        <x:v>0</x:v>
      </x:c>
      <x:c r="V121" s="8" t="n">
        <x:v>4</x:v>
      </x:c>
      <x:c r="W121" s="8" t="n">
        <x:v>184</x:v>
      </x:c>
      <x:c r="X121" s="12" t="n">
        <x:v>61700</x:v>
      </x:c>
      <x:c r="Y121" s="21"/>
      <x:c r="Z121" s="24" t="n">
        <x:f>IF($A121="","",INDEX(Settings!$C$29:$C$33,MATCH(E121,Settings!$A$29:$A$33,0)))</x:f>
        <x:v>4200</x:v>
      </x:c>
      <x:c r="AA121" s="22" t="n">
        <x:f>IF($A121="","",G121/Z121)</x:f>
        <x:v>0.9357142857142857</x:v>
      </x:c>
      <x:c r="AB121" s="25" t="n">
        <x:f>IF($A121="","",IF(ISNUMBER(Y121),Y121,Settings!$B$10))</x:f>
        <x:v>0.03</x:v>
      </x:c>
      <x:c r="AC121" s="23" t="n">
        <x:f>IF($A121="","",G121*(1+AB121))</x:f>
        <x:v>4047.9</x:v>
      </x:c>
      <x:c r="AD121" s="23" t="n">
        <x:f>IF($A121="","",G121*F121*12)</x:f>
        <x:v>37728</x:v>
      </x:c>
      <x:c r="AE121" s="23" t="n">
        <x:f>IF($A121="","",G121*F121*J121)</x:f>
        <x:v>3144</x:v>
      </x:c>
      <x:c r="AF121" s="24" t="n">
        <x:f>IF($A121="","",L121*F121*K121*Settings!$B$13)</x:f>
        <x:v>2892.48</x:v>
      </x:c>
      <x:c r="AG121" s="23" t="n">
        <x:f>IF($A121="","",AD121*H121*I121)</x:f>
        <x:v>3018.2400000000002</x:v>
      </x:c>
      <x:c r="AH121" s="24" t="n">
        <x:f>IF($A121="","",SUM(AD121:AE121,AG121)*SUM(Settings!$B$11:$B$12))</x:f>
        <x:v>10972.56</x:v>
      </x:c>
      <x:c r="AI121" s="24" t="n">
        <x:f>IF($A121="","",M121*Settings!$B$16)</x:f>
        <x:v>1523.6100000000001</x:v>
      </x:c>
      <x:c r="AJ121" s="24" t="n">
        <x:f>IF($A121="","",M121*Settings!$B$15)</x:f>
        <x:v>186.39000000000001</x:v>
      </x:c>
      <x:c r="AK121" s="24" t="n">
        <x:f>IF($A121="","",O121*Settings!$B$18)</x:f>
        <x:v>0</x:v>
      </x:c>
      <x:c r="AL121" s="24" t="n">
        <x:f>IF($A121="","",P121*Settings!$B$20+Q121*Settings!$B$21+R121*Settings!$B$22+S121*Settings!$B$23)</x:f>
        <x:v>0</x:v>
      </x:c>
      <x:c r="AM121" s="24" t="n">
        <x:f>IF($A121="","",T121*Settings!$B$24)</x:f>
        <x:v>40</x:v>
      </x:c>
      <x:c r="AN121" s="23" t="n">
        <x:f>IF($A121="","",SUM(AI121,N121,AK121:AM121,U121))</x:f>
        <x:v>1763.6100000000001</x:v>
      </x:c>
      <x:c r="AO121" s="23" t="n">
        <x:f>IF($A121="","",SUM(AD121:AI121,N121,AK121:AM121,U121))</x:f>
        <x:v>59518.89</x:v>
      </x:c>
      <x:c r="AP121" s="24" t="n">
        <x:f>IF($A121="","",G121*F121*AB121*((13-Settings!$B$9)*(1+H121*I121)+J121)*(1+SUM(Settings!$B$11:$B$12)))</x:f>
        <x:v>1263.888</x:v>
      </x:c>
      <x:c r="AQ121" s="23" t="n">
        <x:f>IF($A121="","",SUM(AO121:AP121))</x:f>
        <x:v>60782.778</x:v>
      </x:c>
      <x:c r="AR121" s="23" t="n">
        <x:f>IF($A121="","",AQ121-X121)</x:f>
        <x:v>-917.2220000000016</x:v>
      </x:c>
      <x:c r="AS121" s="22" t="n">
        <x:f>IF($A121="","",IF(W121=0,"n.a.",V121/W121))</x:f>
        <x:v>0.021739130434782608</x:v>
      </x:c>
      <x:c r="AT121" s="26" t="str">
        <x:f>IF($A121="",IF(COUNTA(B121:Y121)&gt;0,"Missing ID",""),IF(COUNTIFS($A$9:$A$508,A121)&gt;1,"Duplicate ID",IF(OR(B121="",C121="",D121="",E121="",COUNT(F121:X121)&lt;&gt;19),"Missing / text input",IF(OR(COUNTIFS(Settings!$A$59:$A$64,B121)&lt;&gt;1,COUNTIFS(Settings!$A$29:$A$33,E121)&lt;&gt;1),"Unknown department / grade",IF(OR(F121&lt;=0,F121&gt;1,G121&lt;=0,L121&lt;=0,H121&lt;0,I121&lt;0,J121&lt;0,K121&lt;0,K121&gt;1,MIN(M121:X121)&lt;0,W121=0,V121&gt;W121,M121&gt;W121-V121,P121&gt;8,Q121&gt;4,R121&gt;12,S121&gt;12,T121&gt;1,AB121&lt;0),"Review quantity / rate",IF(OR(N121&gt;Settings!$C$17,AK121&gt;Settings!$C$19),"Review benefit ceiling","OK"))))))</x:f>
        <x:v>OK</x:v>
      </x:c>
    </x:row>
    <x:row r="122" ht="23" customHeight="1">
      <x:c r="A122" s="8" t="str">
        <x:v>BE-0114</x:v>
      </x:c>
      <x:c r="B122" s="8" t="str">
        <x:v>Business Support</x:v>
      </x:c>
      <x:c r="C122" s="8" t="str">
        <x:v>Ghent</x:v>
      </x:c>
      <x:c r="D122" s="8" t="str">
        <x:v>Senior business analyst</x:v>
      </x:c>
      <x:c r="E122" s="8" t="str">
        <x:v>G3</x:v>
      </x:c>
      <x:c r="F122" s="20" t="n">
        <x:v>1</x:v>
      </x:c>
      <x:c r="G122" s="12" t="n">
        <x:v>4070</x:v>
      </x:c>
      <x:c r="H122" s="21" t="n">
        <x:v>0.08</x:v>
      </x:c>
      <x:c r="I122" s="20" t="n">
        <x:v>1.1</x:v>
      </x:c>
      <x:c r="J122" s="20" t="n">
        <x:v>1</x:v>
      </x:c>
      <x:c r="K122" s="20" t="n">
        <x:v>1</x:v>
      </x:c>
      <x:c r="L122" s="12" t="n">
        <x:v>4070</x:v>
      </x:c>
      <x:c r="M122" s="8" t="n">
        <x:v>213</x:v>
      </x:c>
      <x:c r="N122" s="12" t="n">
        <x:v>250</x:v>
      </x:c>
      <x:c r="O122" s="8" t="n">
        <x:v>0</x:v>
      </x:c>
      <x:c r="P122" s="8" t="n">
        <x:v>8</x:v>
      </x:c>
      <x:c r="Q122" s="8" t="n">
        <x:v>4</x:v>
      </x:c>
      <x:c r="R122" s="8" t="n">
        <x:v>12</x:v>
      </x:c>
      <x:c r="S122" s="8" t="n">
        <x:v>0</x:v>
      </x:c>
      <x:c r="T122" s="8" t="n">
        <x:v>1</x:v>
      </x:c>
      <x:c r="U122" s="12" t="n">
        <x:v>0</x:v>
      </x:c>
      <x:c r="V122" s="8" t="n">
        <x:v>5</x:v>
      </x:c>
      <x:c r="W122" s="8" t="n">
        <x:v>230</x:v>
      </x:c>
      <x:c r="X122" s="12" t="n">
        <x:v>82500</x:v>
      </x:c>
      <x:c r="Y122" s="21"/>
      <x:c r="Z122" s="24" t="n">
        <x:f>IF($A122="","",INDEX(Settings!$C$29:$C$33,MATCH(E122,Settings!$A$29:$A$33,0)))</x:f>
        <x:v>4200</x:v>
      </x:c>
      <x:c r="AA122" s="22" t="n">
        <x:f>IF($A122="","",G122/Z122)</x:f>
        <x:v>0.969047619047619</x:v>
      </x:c>
      <x:c r="AB122" s="25" t="n">
        <x:f>IF($A122="","",IF(ISNUMBER(Y122),Y122,Settings!$B$10))</x:f>
        <x:v>0.03</x:v>
      </x:c>
      <x:c r="AC122" s="23" t="n">
        <x:f>IF($A122="","",G122*(1+AB122))</x:f>
        <x:v>4192.1</x:v>
      </x:c>
      <x:c r="AD122" s="23" t="n">
        <x:f>IF($A122="","",G122*F122*12)</x:f>
        <x:v>48840</x:v>
      </x:c>
      <x:c r="AE122" s="23" t="n">
        <x:f>IF($A122="","",G122*F122*J122)</x:f>
        <x:v>4070</x:v>
      </x:c>
      <x:c r="AF122" s="24" t="n">
        <x:f>IF($A122="","",L122*F122*K122*Settings!$B$13)</x:f>
        <x:v>3744.4</x:v>
      </x:c>
      <x:c r="AG122" s="23" t="n">
        <x:f>IF($A122="","",AD122*H122*I122)</x:f>
        <x:v>4297.920000000001</x:v>
      </x:c>
      <x:c r="AH122" s="24" t="n">
        <x:f>IF($A122="","",SUM(AD122:AE122,AG122)*SUM(Settings!$B$11:$B$12))</x:f>
        <x:v>14301.98</x:v>
      </x:c>
      <x:c r="AI122" s="24" t="n">
        <x:f>IF($A122="","",M122*Settings!$B$16)</x:f>
        <x:v>1897.83</x:v>
      </x:c>
      <x:c r="AJ122" s="24" t="n">
        <x:f>IF($A122="","",M122*Settings!$B$15)</x:f>
        <x:v>232.17000000000002</x:v>
      </x:c>
      <x:c r="AK122" s="24" t="n">
        <x:f>IF($A122="","",O122*Settings!$B$18)</x:f>
        <x:v>0</x:v>
      </x:c>
      <x:c r="AL122" s="24" t="n">
        <x:f>IF($A122="","",P122*Settings!$B$20+Q122*Settings!$B$21+R122*Settings!$B$22+S122*Settings!$B$23)</x:f>
        <x:v>2184.76</x:v>
      </x:c>
      <x:c r="AM122" s="24" t="n">
        <x:f>IF($A122="","",T122*Settings!$B$24)</x:f>
        <x:v>40</x:v>
      </x:c>
      <x:c r="AN122" s="23" t="n">
        <x:f>IF($A122="","",SUM(AI122,N122,AK122:AM122,U122))</x:f>
        <x:v>4372.59</x:v>
      </x:c>
      <x:c r="AO122" s="23" t="n">
        <x:f>IF($A122="","",SUM(AD122:AI122,N122,AK122:AM122,U122))</x:f>
        <x:v>79626.89</x:v>
      </x:c>
      <x:c r="AP122" s="24" t="n">
        <x:f>IF($A122="","",G122*F122*AB122*((13-Settings!$B$9)*(1+H122*I122)+J122)*(1+SUM(Settings!$B$11:$B$12)))</x:f>
        <x:v>1647.1290000000001</x:v>
      </x:c>
      <x:c r="AQ122" s="23" t="n">
        <x:f>IF($A122="","",SUM(AO122:AP122))</x:f>
        <x:v>81274.019</x:v>
      </x:c>
      <x:c r="AR122" s="23" t="n">
        <x:f>IF($A122="","",AQ122-X122)</x:f>
        <x:v>-1225.9809999999998</x:v>
      </x:c>
      <x:c r="AS122" s="22" t="n">
        <x:f>IF($A122="","",IF(W122=0,"n.a.",V122/W122))</x:f>
        <x:v>0.021739130434782608</x:v>
      </x:c>
      <x:c r="AT122" s="26" t="str">
        <x:f>IF($A122="",IF(COUNTA(B122:Y122)&gt;0,"Missing ID",""),IF(COUNTIFS($A$9:$A$508,A122)&gt;1,"Duplicate ID",IF(OR(B122="",C122="",D122="",E122="",COUNT(F122:X122)&lt;&gt;19),"Missing / text input",IF(OR(COUNTIFS(Settings!$A$59:$A$64,B122)&lt;&gt;1,COUNTIFS(Settings!$A$29:$A$33,E122)&lt;&gt;1),"Unknown department / grade",IF(OR(F122&lt;=0,F122&gt;1,G122&lt;=0,L122&lt;=0,H122&lt;0,I122&lt;0,J122&lt;0,K122&lt;0,K122&gt;1,MIN(M122:X122)&lt;0,W122=0,V122&gt;W122,M122&gt;W122-V122,P122&gt;8,Q122&gt;4,R122&gt;12,S122&gt;12,T122&gt;1,AB122&lt;0),"Review quantity / rate",IF(OR(N122&gt;Settings!$C$17,AK122&gt;Settings!$C$19),"Review benefit ceiling","OK"))))))</x:f>
        <x:v>OK</x:v>
      </x:c>
    </x:row>
    <x:row r="123" ht="23" customHeight="1">
      <x:c r="A123" s="8" t="str">
        <x:v>BE-0115</x:v>
      </x:c>
      <x:c r="B123" s="8" t="str">
        <x:v>Finance</x:v>
      </x:c>
      <x:c r="C123" s="8" t="str">
        <x:v>Brussels</x:v>
      </x:c>
      <x:c r="D123" s="8" t="str">
        <x:v>Senior analyst</x:v>
      </x:c>
      <x:c r="E123" s="8" t="str">
        <x:v>G3</x:v>
      </x:c>
      <x:c r="F123" s="20" t="n">
        <x:v>1</x:v>
      </x:c>
      <x:c r="G123" s="12" t="n">
        <x:v>4290</x:v>
      </x:c>
      <x:c r="H123" s="21" t="n">
        <x:v>0.08</x:v>
      </x:c>
      <x:c r="I123" s="20" t="n">
        <x:v>0.8</x:v>
      </x:c>
      <x:c r="J123" s="20" t="n">
        <x:v>1</x:v>
      </x:c>
      <x:c r="K123" s="20" t="n">
        <x:v>1</x:v>
      </x:c>
      <x:c r="L123" s="12" t="n">
        <x:v>4290</x:v>
      </x:c>
      <x:c r="M123" s="8" t="n">
        <x:v>212</x:v>
      </x:c>
      <x:c r="N123" s="12" t="n">
        <x:v>250</x:v>
      </x:c>
      <x:c r="O123" s="8" t="n">
        <x:v>300</x:v>
      </x:c>
      <x:c r="P123" s="8" t="n">
        <x:v>8</x:v>
      </x:c>
      <x:c r="Q123" s="8" t="n">
        <x:v>4</x:v>
      </x:c>
      <x:c r="R123" s="8" t="n">
        <x:v>12</x:v>
      </x:c>
      <x:c r="S123" s="8" t="n">
        <x:v>0</x:v>
      </x:c>
      <x:c r="T123" s="8" t="n">
        <x:v>1</x:v>
      </x:c>
      <x:c r="U123" s="12" t="n">
        <x:v>0</x:v>
      </x:c>
      <x:c r="V123" s="8" t="n">
        <x:v>6</x:v>
      </x:c>
      <x:c r="W123" s="8" t="n">
        <x:v>230</x:v>
      </x:c>
      <x:c r="X123" s="12" t="n">
        <x:v>85200</x:v>
      </x:c>
      <x:c r="Y123" s="21"/>
      <x:c r="Z123" s="24" t="n">
        <x:f>IF($A123="","",INDEX(Settings!$C$29:$C$33,MATCH(E123,Settings!$A$29:$A$33,0)))</x:f>
        <x:v>4200</x:v>
      </x:c>
      <x:c r="AA123" s="22" t="n">
        <x:f>IF($A123="","",G123/Z123)</x:f>
        <x:v>1.0214285714285714</x:v>
      </x:c>
      <x:c r="AB123" s="25" t="n">
        <x:f>IF($A123="","",IF(ISNUMBER(Y123),Y123,Settings!$B$10))</x:f>
        <x:v>0.03</x:v>
      </x:c>
      <x:c r="AC123" s="23" t="n">
        <x:f>IF($A123="","",G123*(1+AB123))</x:f>
        <x:v>4418.7</x:v>
      </x:c>
      <x:c r="AD123" s="23" t="n">
        <x:f>IF($A123="","",G123*F123*12)</x:f>
        <x:v>51480</x:v>
      </x:c>
      <x:c r="AE123" s="23" t="n">
        <x:f>IF($A123="","",G123*F123*J123)</x:f>
        <x:v>4290</x:v>
      </x:c>
      <x:c r="AF123" s="24" t="n">
        <x:f>IF($A123="","",L123*F123*K123*Settings!$B$13)</x:f>
        <x:v>3946.8</x:v>
      </x:c>
      <x:c r="AG123" s="23" t="n">
        <x:f>IF($A123="","",AD123*H123*I123)</x:f>
        <x:v>3294.72</x:v>
      </x:c>
      <x:c r="AH123" s="24" t="n">
        <x:f>IF($A123="","",SUM(AD123:AE123,AG123)*SUM(Settings!$B$11:$B$12))</x:f>
        <x:v>14766.18</x:v>
      </x:c>
      <x:c r="AI123" s="24" t="n">
        <x:f>IF($A123="","",M123*Settings!$B$16)</x:f>
        <x:v>1888.92</x:v>
      </x:c>
      <x:c r="AJ123" s="24" t="n">
        <x:f>IF($A123="","",M123*Settings!$B$15)</x:f>
        <x:v>231.08</x:v>
      </x:c>
      <x:c r="AK123" s="24" t="n">
        <x:f>IF($A123="","",O123*Settings!$B$18)</x:f>
        <x:v>111</x:v>
      </x:c>
      <x:c r="AL123" s="24" t="n">
        <x:f>IF($A123="","",P123*Settings!$B$20+Q123*Settings!$B$21+R123*Settings!$B$22+S123*Settings!$B$23)</x:f>
        <x:v>2184.76</x:v>
      </x:c>
      <x:c r="AM123" s="24" t="n">
        <x:f>IF($A123="","",T123*Settings!$B$24)</x:f>
        <x:v>40</x:v>
      </x:c>
      <x:c r="AN123" s="23" t="n">
        <x:f>IF($A123="","",SUM(AI123,N123,AK123:AM123,U123))</x:f>
        <x:v>4474.68</x:v>
      </x:c>
      <x:c r="AO123" s="23" t="n">
        <x:f>IF($A123="","",SUM(AD123:AI123,N123,AK123:AM123,U123))</x:f>
        <x:v>82252.38</x:v>
      </x:c>
      <x:c r="AP123" s="24" t="n">
        <x:f>IF($A123="","",G123*F123*AB123*((13-Settings!$B$9)*(1+H123*I123)+J123)*(1+SUM(Settings!$B$11:$B$12)))</x:f>
        <x:v>1701.414</x:v>
      </x:c>
      <x:c r="AQ123" s="23" t="n">
        <x:f>IF($A123="","",SUM(AO123:AP123))</x:f>
        <x:v>83953.79400000001</x:v>
      </x:c>
      <x:c r="AR123" s="23" t="n">
        <x:f>IF($A123="","",AQ123-X123)</x:f>
        <x:v>-1246.205999999991</x:v>
      </x:c>
      <x:c r="AS123" s="22" t="n">
        <x:f>IF($A123="","",IF(W123=0,"n.a.",V123/W123))</x:f>
        <x:v>0.02608695652173913</x:v>
      </x:c>
      <x:c r="AT123" s="26" t="str">
        <x:f>IF($A123="",IF(COUNTA(B123:Y123)&gt;0,"Missing ID",""),IF(COUNTIFS($A$9:$A$508,A123)&gt;1,"Duplicate ID",IF(OR(B123="",C123="",D123="",E123="",COUNT(F123:X123)&lt;&gt;19),"Missing / text input",IF(OR(COUNTIFS(Settings!$A$59:$A$64,B123)&lt;&gt;1,COUNTIFS(Settings!$A$29:$A$33,E123)&lt;&gt;1),"Unknown department / grade",IF(OR(F123&lt;=0,F123&gt;1,G123&lt;=0,L123&lt;=0,H123&lt;0,I123&lt;0,J123&lt;0,K123&lt;0,K123&gt;1,MIN(M123:X123)&lt;0,W123=0,V123&gt;W123,M123&gt;W123-V123,P123&gt;8,Q123&gt;4,R123&gt;12,S123&gt;12,T123&gt;1,AB123&lt;0),"Review quantity / rate",IF(OR(N123&gt;Settings!$C$17,AK123&gt;Settings!$C$19),"Review benefit ceiling","OK"))))))</x:f>
        <x:v>OK</x:v>
      </x:c>
    </x:row>
    <x:row r="124" ht="23" customHeight="1">
      <x:c r="A124" s="8" t="str">
        <x:v>BE-0116</x:v>
      </x:c>
      <x:c r="B124" s="8" t="str">
        <x:v>People &amp; Culture</x:v>
      </x:c>
      <x:c r="C124" s="8" t="str">
        <x:v>Antwerp</x:v>
      </x:c>
      <x:c r="D124" s="8" t="str">
        <x:v>Reward specialist</x:v>
      </x:c>
      <x:c r="E124" s="8" t="str">
        <x:v>G3</x:v>
      </x:c>
      <x:c r="F124" s="20" t="n">
        <x:v>1</x:v>
      </x:c>
      <x:c r="G124" s="12" t="n">
        <x:v>3870</x:v>
      </x:c>
      <x:c r="H124" s="21" t="n">
        <x:v>0.08</x:v>
      </x:c>
      <x:c r="I124" s="20" t="n">
        <x:v>1</x:v>
      </x:c>
      <x:c r="J124" s="20" t="n">
        <x:v>1</x:v>
      </x:c>
      <x:c r="K124" s="20" t="n">
        <x:v>1</x:v>
      </x:c>
      <x:c r="L124" s="12" t="n">
        <x:v>3870</x:v>
      </x:c>
      <x:c r="M124" s="8" t="n">
        <x:v>211</x:v>
      </x:c>
      <x:c r="N124" s="12" t="n">
        <x:v>250</x:v>
      </x:c>
      <x:c r="O124" s="8" t="n">
        <x:v>0</x:v>
      </x:c>
      <x:c r="P124" s="8" t="n">
        <x:v>8</x:v>
      </x:c>
      <x:c r="Q124" s="8" t="n">
        <x:v>4</x:v>
      </x:c>
      <x:c r="R124" s="8" t="n">
        <x:v>12</x:v>
      </x:c>
      <x:c r="S124" s="8" t="n">
        <x:v>12</x:v>
      </x:c>
      <x:c r="T124" s="8" t="n">
        <x:v>1</x:v>
      </x:c>
      <x:c r="U124" s="12" t="n">
        <x:v>0</x:v>
      </x:c>
      <x:c r="V124" s="8" t="n">
        <x:v>7</x:v>
      </x:c>
      <x:c r="W124" s="8" t="n">
        <x:v>230</x:v>
      </x:c>
      <x:c r="X124" s="12" t="n">
        <x:v>76100</x:v>
      </x:c>
      <x:c r="Y124" s="21"/>
      <x:c r="Z124" s="24" t="n">
        <x:f>IF($A124="","",INDEX(Settings!$C$29:$C$33,MATCH(E124,Settings!$A$29:$A$33,0)))</x:f>
        <x:v>4200</x:v>
      </x:c>
      <x:c r="AA124" s="22" t="n">
        <x:f>IF($A124="","",G124/Z124)</x:f>
        <x:v>0.9214285714285714</x:v>
      </x:c>
      <x:c r="AB124" s="25" t="n">
        <x:f>IF($A124="","",IF(ISNUMBER(Y124),Y124,Settings!$B$10))</x:f>
        <x:v>0.03</x:v>
      </x:c>
      <x:c r="AC124" s="23" t="n">
        <x:f>IF($A124="","",G124*(1+AB124))</x:f>
        <x:v>3986.1</x:v>
      </x:c>
      <x:c r="AD124" s="23" t="n">
        <x:f>IF($A124="","",G124*F124*12)</x:f>
        <x:v>46440</x:v>
      </x:c>
      <x:c r="AE124" s="23" t="n">
        <x:f>IF($A124="","",G124*F124*J124)</x:f>
        <x:v>3870</x:v>
      </x:c>
      <x:c r="AF124" s="24" t="n">
        <x:f>IF($A124="","",L124*F124*K124*Settings!$B$13)</x:f>
        <x:v>3560.4</x:v>
      </x:c>
      <x:c r="AG124" s="23" t="n">
        <x:f>IF($A124="","",AD124*H124*I124)</x:f>
        <x:v>3715.2000000000003</x:v>
      </x:c>
      <x:c r="AH124" s="24" t="n">
        <x:f>IF($A124="","",SUM(AD124:AE124,AG124)*SUM(Settings!$B$11:$B$12))</x:f>
        <x:v>13506.3</x:v>
      </x:c>
      <x:c r="AI124" s="24" t="n">
        <x:f>IF($A124="","",M124*Settings!$B$16)</x:f>
        <x:v>1880.01</x:v>
      </x:c>
      <x:c r="AJ124" s="24" t="n">
        <x:f>IF($A124="","",M124*Settings!$B$15)</x:f>
        <x:v>229.99</x:v>
      </x:c>
      <x:c r="AK124" s="24" t="n">
        <x:f>IF($A124="","",O124*Settings!$B$18)</x:f>
        <x:v>0</x:v>
      </x:c>
      <x:c r="AL124" s="24" t="n">
        <x:f>IF($A124="","",P124*Settings!$B$20+Q124*Settings!$B$21+R124*Settings!$B$22+S124*Settings!$B$23)</x:f>
        <x:v>2424.76</x:v>
      </x:c>
      <x:c r="AM124" s="24" t="n">
        <x:f>IF($A124="","",T124*Settings!$B$24)</x:f>
        <x:v>40</x:v>
      </x:c>
      <x:c r="AN124" s="23" t="n">
        <x:f>IF($A124="","",SUM(AI124,N124,AK124:AM124,U124))</x:f>
        <x:v>4594.77</x:v>
      </x:c>
      <x:c r="AO124" s="23" t="n">
        <x:f>IF($A124="","",SUM(AD124:AI124,N124,AK124:AM124,U124))</x:f>
        <x:v>75686.66999999998</x:v>
      </x:c>
      <x:c r="AP124" s="24" t="n">
        <x:f>IF($A124="","",G124*F124*AB124*((13-Settings!$B$9)*(1+H124*I124)+J124)*(1+SUM(Settings!$B$11:$B$12)))</x:f>
        <x:v>1555.7400000000002</x:v>
      </x:c>
      <x:c r="AQ124" s="23" t="n">
        <x:f>IF($A124="","",SUM(AO124:AP124))</x:f>
        <x:v>77242.40999999999</x:v>
      </x:c>
      <x:c r="AR124" s="23" t="n">
        <x:f>IF($A124="","",AQ124-X124)</x:f>
        <x:v>1142.409999999989</x:v>
      </x:c>
      <x:c r="AS124" s="22" t="n">
        <x:f>IF($A124="","",IF(W124=0,"n.a.",V124/W124))</x:f>
        <x:v>0.030434782608695653</x:v>
      </x:c>
      <x:c r="AT124" s="26" t="str">
        <x:f>IF($A124="",IF(COUNTA(B124:Y124)&gt;0,"Missing ID",""),IF(COUNTIFS($A$9:$A$508,A124)&gt;1,"Duplicate ID",IF(OR(B124="",C124="",D124="",E124="",COUNT(F124:X124)&lt;&gt;19),"Missing / text input",IF(OR(COUNTIFS(Settings!$A$59:$A$64,B124)&lt;&gt;1,COUNTIFS(Settings!$A$29:$A$33,E124)&lt;&gt;1),"Unknown department / grade",IF(OR(F124&lt;=0,F124&gt;1,G124&lt;=0,L124&lt;=0,H124&lt;0,I124&lt;0,J124&lt;0,K124&lt;0,K124&gt;1,MIN(M124:X124)&lt;0,W124=0,V124&gt;W124,M124&gt;W124-V124,P124&gt;8,Q124&gt;4,R124&gt;12,S124&gt;12,T124&gt;1,AB124&lt;0),"Review quantity / rate",IF(OR(N124&gt;Settings!$C$17,AK124&gt;Settings!$C$19),"Review benefit ceiling","OK"))))))</x:f>
        <x:v>OK</x:v>
      </x:c>
    </x:row>
    <x:row r="125" ht="23" customHeight="1">
      <x:c r="A125" s="8" t="str">
        <x:v>BE-0117</x:v>
      </x:c>
      <x:c r="B125" s="8" t="str">
        <x:v>Technology</x:v>
      </x:c>
      <x:c r="C125" s="8" t="str">
        <x:v>Ghent</x:v>
      </x:c>
      <x:c r="D125" s="8" t="str">
        <x:v>Senior engineer</x:v>
      </x:c>
      <x:c r="E125" s="8" t="str">
        <x:v>G3</x:v>
      </x:c>
      <x:c r="F125" s="20" t="n">
        <x:v>1</x:v>
      </x:c>
      <x:c r="G125" s="12" t="n">
        <x:v>4160</x:v>
      </x:c>
      <x:c r="H125" s="21" t="n">
        <x:v>0.08</x:v>
      </x:c>
      <x:c r="I125" s="20" t="n">
        <x:v>1.1</x:v>
      </x:c>
      <x:c r="J125" s="20" t="n">
        <x:v>1</x:v>
      </x:c>
      <x:c r="K125" s="20" t="n">
        <x:v>1</x:v>
      </x:c>
      <x:c r="L125" s="12" t="n">
        <x:v>4160</x:v>
      </x:c>
      <x:c r="M125" s="8" t="n">
        <x:v>210</x:v>
      </x:c>
      <x:c r="N125" s="12" t="n">
        <x:v>250</x:v>
      </x:c>
      <x:c r="O125" s="8" t="n">
        <x:v>0</x:v>
      </x:c>
      <x:c r="P125" s="8" t="n">
        <x:v>0</x:v>
      </x:c>
      <x:c r="Q125" s="8" t="n">
        <x:v>0</x:v>
      </x:c>
      <x:c r="R125" s="8" t="n">
        <x:v>0</x:v>
      </x:c>
      <x:c r="S125" s="8" t="n">
        <x:v>0</x:v>
      </x:c>
      <x:c r="T125" s="8" t="n">
        <x:v>1</x:v>
      </x:c>
      <x:c r="U125" s="12" t="n">
        <x:v>0</x:v>
      </x:c>
      <x:c r="V125" s="8" t="n">
        <x:v>8</x:v>
      </x:c>
      <x:c r="W125" s="8" t="n">
        <x:v>230</x:v>
      </x:c>
      <x:c r="X125" s="12" t="n">
        <x:v>82000</x:v>
      </x:c>
      <x:c r="Y125" s="21"/>
      <x:c r="Z125" s="24" t="n">
        <x:f>IF($A125="","",INDEX(Settings!$C$29:$C$33,MATCH(E125,Settings!$A$29:$A$33,0)))</x:f>
        <x:v>4200</x:v>
      </x:c>
      <x:c r="AA125" s="22" t="n">
        <x:f>IF($A125="","",G125/Z125)</x:f>
        <x:v>0.9904761904761905</x:v>
      </x:c>
      <x:c r="AB125" s="25" t="n">
        <x:f>IF($A125="","",IF(ISNUMBER(Y125),Y125,Settings!$B$10))</x:f>
        <x:v>0.03</x:v>
      </x:c>
      <x:c r="AC125" s="23" t="n">
        <x:f>IF($A125="","",G125*(1+AB125))</x:f>
        <x:v>4284.8</x:v>
      </x:c>
      <x:c r="AD125" s="23" t="n">
        <x:f>IF($A125="","",G125*F125*12)</x:f>
        <x:v>49920</x:v>
      </x:c>
      <x:c r="AE125" s="23" t="n">
        <x:f>IF($A125="","",G125*F125*J125)</x:f>
        <x:v>4160</x:v>
      </x:c>
      <x:c r="AF125" s="24" t="n">
        <x:f>IF($A125="","",L125*F125*K125*Settings!$B$13)</x:f>
        <x:v>3827.2000000000003</x:v>
      </x:c>
      <x:c r="AG125" s="23" t="n">
        <x:f>IF($A125="","",AD125*H125*I125)</x:f>
        <x:v>4392.96</x:v>
      </x:c>
      <x:c r="AH125" s="24" t="n">
        <x:f>IF($A125="","",SUM(AD125:AE125,AG125)*SUM(Settings!$B$11:$B$12))</x:f>
        <x:v>14618.24</x:v>
      </x:c>
      <x:c r="AI125" s="24" t="n">
        <x:f>IF($A125="","",M125*Settings!$B$16)</x:f>
        <x:v>1871.1000000000001</x:v>
      </x:c>
      <x:c r="AJ125" s="24" t="n">
        <x:f>IF($A125="","",M125*Settings!$B$15)</x:f>
        <x:v>228.9</x:v>
      </x:c>
      <x:c r="AK125" s="24" t="n">
        <x:f>IF($A125="","",O125*Settings!$B$18)</x:f>
        <x:v>0</x:v>
      </x:c>
      <x:c r="AL125" s="24" t="n">
        <x:f>IF($A125="","",P125*Settings!$B$20+Q125*Settings!$B$21+R125*Settings!$B$22+S125*Settings!$B$23)</x:f>
        <x:v>0</x:v>
      </x:c>
      <x:c r="AM125" s="24" t="n">
        <x:f>IF($A125="","",T125*Settings!$B$24)</x:f>
        <x:v>40</x:v>
      </x:c>
      <x:c r="AN125" s="23" t="n">
        <x:f>IF($A125="","",SUM(AI125,N125,AK125:AM125,U125))</x:f>
        <x:v>2161.1000000000004</x:v>
      </x:c>
      <x:c r="AO125" s="23" t="n">
        <x:f>IF($A125="","",SUM(AD125:AI125,N125,AK125:AM125,U125))</x:f>
        <x:v>79079.5</x:v>
      </x:c>
      <x:c r="AP125" s="24" t="n">
        <x:f>IF($A125="","",G125*F125*AB125*((13-Settings!$B$9)*(1+H125*I125)+J125)*(1+SUM(Settings!$B$11:$B$12)))</x:f>
        <x:v>1683.5520000000001</x:v>
      </x:c>
      <x:c r="AQ125" s="23" t="n">
        <x:f>IF($A125="","",SUM(AO125:AP125))</x:f>
        <x:v>80763.052</x:v>
      </x:c>
      <x:c r="AR125" s="23" t="n">
        <x:f>IF($A125="","",AQ125-X125)</x:f>
        <x:v>-1236.948000000004</x:v>
      </x:c>
      <x:c r="AS125" s="22" t="n">
        <x:f>IF($A125="","",IF(W125=0,"n.a.",V125/W125))</x:f>
        <x:v>0.034782608695652174</x:v>
      </x:c>
      <x:c r="AT125" s="26" t="str">
        <x:f>IF($A125="",IF(COUNTA(B125:Y125)&gt;0,"Missing ID",""),IF(COUNTIFS($A$9:$A$508,A125)&gt;1,"Duplicate ID",IF(OR(B125="",C125="",D125="",E125="",COUNT(F125:X125)&lt;&gt;19),"Missing / text input",IF(OR(COUNTIFS(Settings!$A$59:$A$64,B125)&lt;&gt;1,COUNTIFS(Settings!$A$29:$A$33,E125)&lt;&gt;1),"Unknown department / grade",IF(OR(F125&lt;=0,F125&gt;1,G125&lt;=0,L125&lt;=0,H125&lt;0,I125&lt;0,J125&lt;0,K125&lt;0,K125&gt;1,MIN(M125:X125)&lt;0,W125=0,V125&gt;W125,M125&gt;W125-V125,P125&gt;8,Q125&gt;4,R125&gt;12,S125&gt;12,T125&gt;1,AB125&lt;0),"Review quantity / rate",IF(OR(N125&gt;Settings!$C$17,AK125&gt;Settings!$C$19),"Review benefit ceiling","OK"))))))</x:f>
        <x:v>OK</x:v>
      </x:c>
    </x:row>
    <x:row r="126" ht="23" customHeight="1">
      <x:c r="A126" s="8" t="str">
        <x:v>BE-0118</x:v>
      </x:c>
      <x:c r="B126" s="8" t="str">
        <x:v>Sales</x:v>
      </x:c>
      <x:c r="C126" s="8" t="str">
        <x:v>Brussels</x:v>
      </x:c>
      <x:c r="D126" s="8" t="str">
        <x:v>Sales manager</x:v>
      </x:c>
      <x:c r="E126" s="8" t="str">
        <x:v>G4</x:v>
      </x:c>
      <x:c r="F126" s="20" t="n">
        <x:v>0.6</x:v>
      </x:c>
      <x:c r="G126" s="12" t="n">
        <x:v>4910</x:v>
      </x:c>
      <x:c r="H126" s="21" t="n">
        <x:v>0.12</x:v>
      </x:c>
      <x:c r="I126" s="20" t="n">
        <x:v>0.8</x:v>
      </x:c>
      <x:c r="J126" s="20" t="n">
        <x:v>1</x:v>
      </x:c>
      <x:c r="K126" s="20" t="n">
        <x:v>1</x:v>
      </x:c>
      <x:c r="L126" s="12" t="n">
        <x:v>4910</x:v>
      </x:c>
      <x:c r="M126" s="8" t="n">
        <x:v>123</x:v>
      </x:c>
      <x:c r="N126" s="12" t="n">
        <x:v>150</x:v>
      </x:c>
      <x:c r="O126" s="8" t="n">
        <x:v>630</x:v>
      </x:c>
      <x:c r="P126" s="8" t="n">
        <x:v>8</x:v>
      </x:c>
      <x:c r="Q126" s="8" t="n">
        <x:v>4</x:v>
      </x:c>
      <x:c r="R126" s="8" t="n">
        <x:v>12</x:v>
      </x:c>
      <x:c r="S126" s="8" t="n">
        <x:v>0</x:v>
      </x:c>
      <x:c r="T126" s="8" t="n">
        <x:v>1</x:v>
      </x:c>
      <x:c r="U126" s="12" t="n">
        <x:v>0</x:v>
      </x:c>
      <x:c r="V126" s="8" t="n">
        <x:v>9</x:v>
      </x:c>
      <x:c r="W126" s="8" t="n">
        <x:v>138</x:v>
      </x:c>
      <x:c r="X126" s="12" t="n">
        <x:v>60600</x:v>
      </x:c>
      <x:c r="Y126" s="21"/>
      <x:c r="Z126" s="24" t="n">
        <x:f>IF($A126="","",INDEX(Settings!$C$29:$C$33,MATCH(E126,Settings!$A$29:$A$33,0)))</x:f>
        <x:v>5400</x:v>
      </x:c>
      <x:c r="AA126" s="22" t="n">
        <x:f>IF($A126="","",G126/Z126)</x:f>
        <x:v>0.9092592592592592</x:v>
      </x:c>
      <x:c r="AB126" s="25" t="n">
        <x:f>IF($A126="","",IF(ISNUMBER(Y126),Y126,Settings!$B$10))</x:f>
        <x:v>0.03</x:v>
      </x:c>
      <x:c r="AC126" s="23" t="n">
        <x:f>IF($A126="","",G126*(1+AB126))</x:f>
        <x:v>5057.3</x:v>
      </x:c>
      <x:c r="AD126" s="23" t="n">
        <x:f>IF($A126="","",G126*F126*12)</x:f>
        <x:v>35352</x:v>
      </x:c>
      <x:c r="AE126" s="23" t="n">
        <x:f>IF($A126="","",G126*F126*J126)</x:f>
        <x:v>2946</x:v>
      </x:c>
      <x:c r="AF126" s="24" t="n">
        <x:f>IF($A126="","",L126*F126*K126*Settings!$B$13)</x:f>
        <x:v>2710.32</x:v>
      </x:c>
      <x:c r="AG126" s="23" t="n">
        <x:f>IF($A126="","",AD126*H126*I126)</x:f>
        <x:v>3393.792</x:v>
      </x:c>
      <x:c r="AH126" s="24" t="n">
        <x:f>IF($A126="","",SUM(AD126:AE126,AG126)*SUM(Settings!$B$11:$B$12))</x:f>
        <x:v>10422.948</x:v>
      </x:c>
      <x:c r="AI126" s="24" t="n">
        <x:f>IF($A126="","",M126*Settings!$B$16)</x:f>
        <x:v>1095.93</x:v>
      </x:c>
      <x:c r="AJ126" s="24" t="n">
        <x:f>IF($A126="","",M126*Settings!$B$15)</x:f>
        <x:v>134.07000000000002</x:v>
      </x:c>
      <x:c r="AK126" s="24" t="n">
        <x:f>IF($A126="","",O126*Settings!$B$18)</x:f>
        <x:v>233.1</x:v>
      </x:c>
      <x:c r="AL126" s="24" t="n">
        <x:f>IF($A126="","",P126*Settings!$B$20+Q126*Settings!$B$21+R126*Settings!$B$22+S126*Settings!$B$23)</x:f>
        <x:v>2184.76</x:v>
      </x:c>
      <x:c r="AM126" s="24" t="n">
        <x:f>IF($A126="","",T126*Settings!$B$24)</x:f>
        <x:v>40</x:v>
      </x:c>
      <x:c r="AN126" s="23" t="n">
        <x:f>IF($A126="","",SUM(AI126,N126,AK126:AM126,U126))</x:f>
        <x:v>3703.79</x:v>
      </x:c>
      <x:c r="AO126" s="23" t="n">
        <x:f>IF($A126="","",SUM(AD126:AI126,N126,AK126:AM126,U126))</x:f>
        <x:v>58528.85</x:v>
      </x:c>
      <x:c r="AP126" s="24" t="n">
        <x:f>IF($A126="","",G126*F126*AB126*((13-Settings!$B$9)*(1+H126*I126)+J126)*(1+SUM(Settings!$B$11:$B$12)))</x:f>
        <x:v>1200.2004000000002</x:v>
      </x:c>
      <x:c r="AQ126" s="23" t="n">
        <x:f>IF($A126="","",SUM(AO126:AP126))</x:f>
        <x:v>59729.0504</x:v>
      </x:c>
      <x:c r="AR126" s="23" t="n">
        <x:f>IF($A126="","",AQ126-X126)</x:f>
        <x:v>-870.9495999999999</x:v>
      </x:c>
      <x:c r="AS126" s="22" t="n">
        <x:f>IF($A126="","",IF(W126=0,"n.a.",V126/W126))</x:f>
        <x:v>0.06521739130434782</x:v>
      </x:c>
      <x:c r="AT126" s="26" t="str">
        <x:f>IF($A126="",IF(COUNTA(B126:Y126)&gt;0,"Missing ID",""),IF(COUNTIFS($A$9:$A$508,A126)&gt;1,"Duplicate ID",IF(OR(B126="",C126="",D126="",E126="",COUNT(F126:X126)&lt;&gt;19),"Missing / text input",IF(OR(COUNTIFS(Settings!$A$59:$A$64,B126)&lt;&gt;1,COUNTIFS(Settings!$A$29:$A$33,E126)&lt;&gt;1),"Unknown department / grade",IF(OR(F126&lt;=0,F126&gt;1,G126&lt;=0,L126&lt;=0,H126&lt;0,I126&lt;0,J126&lt;0,K126&lt;0,K126&gt;1,MIN(M126:X126)&lt;0,W126=0,V126&gt;W126,M126&gt;W126-V126,P126&gt;8,Q126&gt;4,R126&gt;12,S126&gt;12,T126&gt;1,AB126&lt;0),"Review quantity / rate",IF(OR(N126&gt;Settings!$C$17,AK126&gt;Settings!$C$19),"Review benefit ceiling","OK"))))))</x:f>
        <x:v>OK</x:v>
      </x:c>
    </x:row>
    <x:row r="127" ht="23" customHeight="1">
      <x:c r="A127" s="8" t="str">
        <x:v>BE-0119</x:v>
      </x:c>
      <x:c r="B127" s="8" t="str">
        <x:v>Customer Operations</x:v>
      </x:c>
      <x:c r="C127" s="8" t="str">
        <x:v>Antwerp</x:v>
      </x:c>
      <x:c r="D127" s="8" t="str">
        <x:v>Service manager</x:v>
      </x:c>
      <x:c r="E127" s="8" t="str">
        <x:v>G4</x:v>
      </x:c>
      <x:c r="F127" s="20" t="n">
        <x:v>1</x:v>
      </x:c>
      <x:c r="G127" s="12" t="n">
        <x:v>5590</x:v>
      </x:c>
      <x:c r="H127" s="21" t="n">
        <x:v>0.12</x:v>
      </x:c>
      <x:c r="I127" s="20" t="n">
        <x:v>1</x:v>
      </x:c>
      <x:c r="J127" s="20" t="n">
        <x:v>1</x:v>
      </x:c>
      <x:c r="K127" s="20" t="n">
        <x:v>1</x:v>
      </x:c>
      <x:c r="L127" s="12" t="n">
        <x:v>5590</x:v>
      </x:c>
      <x:c r="M127" s="8" t="n">
        <x:v>208</x:v>
      </x:c>
      <x:c r="N127" s="12" t="n">
        <x:v>250</x:v>
      </x:c>
      <x:c r="O127" s="8" t="n">
        <x:v>0</x:v>
      </x:c>
      <x:c r="P127" s="8" t="n">
        <x:v>8</x:v>
      </x:c>
      <x:c r="Q127" s="8" t="n">
        <x:v>4</x:v>
      </x:c>
      <x:c r="R127" s="8" t="n">
        <x:v>12</x:v>
      </x:c>
      <x:c r="S127" s="8" t="n">
        <x:v>0</x:v>
      </x:c>
      <x:c r="T127" s="8" t="n">
        <x:v>1</x:v>
      </x:c>
      <x:c r="U127" s="12" t="n">
        <x:v>0</x:v>
      </x:c>
      <x:c r="V127" s="8" t="n">
        <x:v>10</x:v>
      </x:c>
      <x:c r="W127" s="8" t="n">
        <x:v>230</x:v>
      </x:c>
      <x:c r="X127" s="12" t="n">
        <x:v>114400</x:v>
      </x:c>
      <x:c r="Y127" s="21"/>
      <x:c r="Z127" s="24" t="n">
        <x:f>IF($A127="","",INDEX(Settings!$C$29:$C$33,MATCH(E127,Settings!$A$29:$A$33,0)))</x:f>
        <x:v>5400</x:v>
      </x:c>
      <x:c r="AA127" s="22" t="n">
        <x:f>IF($A127="","",G127/Z127)</x:f>
        <x:v>1.0351851851851852</x:v>
      </x:c>
      <x:c r="AB127" s="25" t="n">
        <x:f>IF($A127="","",IF(ISNUMBER(Y127),Y127,Settings!$B$10))</x:f>
        <x:v>0.03</x:v>
      </x:c>
      <x:c r="AC127" s="23" t="n">
        <x:f>IF($A127="","",G127*(1+AB127))</x:f>
        <x:v>5757.7</x:v>
      </x:c>
      <x:c r="AD127" s="23" t="n">
        <x:f>IF($A127="","",G127*F127*12)</x:f>
        <x:v>67080</x:v>
      </x:c>
      <x:c r="AE127" s="23" t="n">
        <x:f>IF($A127="","",G127*F127*J127)</x:f>
        <x:v>5590</x:v>
      </x:c>
      <x:c r="AF127" s="24" t="n">
        <x:f>IF($A127="","",L127*F127*K127*Settings!$B$13)</x:f>
        <x:v>5142.8</x:v>
      </x:c>
      <x:c r="AG127" s="23" t="n">
        <x:f>IF($A127="","",AD127*H127*I127)</x:f>
        <x:v>8049.599999999999</x:v>
      </x:c>
      <x:c r="AH127" s="24" t="n">
        <x:f>IF($A127="","",SUM(AD127:AE127,AG127)*SUM(Settings!$B$11:$B$12))</x:f>
        <x:v>20179.9</x:v>
      </x:c>
      <x:c r="AI127" s="24" t="n">
        <x:f>IF($A127="","",M127*Settings!$B$16)</x:f>
        <x:v>1853.28</x:v>
      </x:c>
      <x:c r="AJ127" s="24" t="n">
        <x:f>IF($A127="","",M127*Settings!$B$15)</x:f>
        <x:v>226.72000000000003</x:v>
      </x:c>
      <x:c r="AK127" s="24" t="n">
        <x:f>IF($A127="","",O127*Settings!$B$18)</x:f>
        <x:v>0</x:v>
      </x:c>
      <x:c r="AL127" s="24" t="n">
        <x:f>IF($A127="","",P127*Settings!$B$20+Q127*Settings!$B$21+R127*Settings!$B$22+S127*Settings!$B$23)</x:f>
        <x:v>2184.76</x:v>
      </x:c>
      <x:c r="AM127" s="24" t="n">
        <x:f>IF($A127="","",T127*Settings!$B$24)</x:f>
        <x:v>40</x:v>
      </x:c>
      <x:c r="AN127" s="23" t="n">
        <x:f>IF($A127="","",SUM(AI127,N127,AK127:AM127,U127))</x:f>
        <x:v>4328.04</x:v>
      </x:c>
      <x:c r="AO127" s="23" t="n">
        <x:f>IF($A127="","",SUM(AD127:AI127,N127,AK127:AM127,U127))</x:f>
        <x:v>110370.34000000001</x:v>
      </x:c>
      <x:c r="AP127" s="24" t="n">
        <x:f>IF($A127="","",G127*F127*AB127*((13-Settings!$B$9)*(1+H127*I127)+J127)*(1+SUM(Settings!$B$11:$B$12)))</x:f>
        <x:v>2322.6450000000004</x:v>
      </x:c>
      <x:c r="AQ127" s="23" t="n">
        <x:f>IF($A127="","",SUM(AO127:AP127))</x:f>
        <x:v>112692.98500000002</x:v>
      </x:c>
      <x:c r="AR127" s="23" t="n">
        <x:f>IF($A127="","",AQ127-X127)</x:f>
        <x:v>-1707.0149999999849</x:v>
      </x:c>
      <x:c r="AS127" s="22" t="n">
        <x:f>IF($A127="","",IF(W127=0,"n.a.",V127/W127))</x:f>
        <x:v>0.043478260869565216</x:v>
      </x:c>
      <x:c r="AT127" s="26" t="str">
        <x:f>IF($A127="",IF(COUNTA(B127:Y127)&gt;0,"Missing ID",""),IF(COUNTIFS($A$9:$A$508,A127)&gt;1,"Duplicate ID",IF(OR(B127="",C127="",D127="",E127="",COUNT(F127:X127)&lt;&gt;19),"Missing / text input",IF(OR(COUNTIFS(Settings!$A$59:$A$64,B127)&lt;&gt;1,COUNTIFS(Settings!$A$29:$A$33,E127)&lt;&gt;1),"Unknown department / grade",IF(OR(F127&lt;=0,F127&gt;1,G127&lt;=0,L127&lt;=0,H127&lt;0,I127&lt;0,J127&lt;0,K127&lt;0,K127&gt;1,MIN(M127:X127)&lt;0,W127=0,V127&gt;W127,M127&gt;W127-V127,P127&gt;8,Q127&gt;4,R127&gt;12,S127&gt;12,T127&gt;1,AB127&lt;0),"Review quantity / rate",IF(OR(N127&gt;Settings!$C$17,AK127&gt;Settings!$C$19),"Review benefit ceiling","OK"))))))</x:f>
        <x:v>OK</x:v>
      </x:c>
    </x:row>
    <x:row r="128" ht="23" customHeight="1">
      <x:c r="A128" s="8" t="str">
        <x:v>BE-0120</x:v>
      </x:c>
      <x:c r="B128" s="8" t="str">
        <x:v>Business Support</x:v>
      </x:c>
      <x:c r="C128" s="8" t="str">
        <x:v>Ghent</x:v>
      </x:c>
      <x:c r="D128" s="8" t="str">
        <x:v>Head of Support</x:v>
      </x:c>
      <x:c r="E128" s="8" t="str">
        <x:v>G5</x:v>
      </x:c>
      <x:c r="F128" s="20" t="n">
        <x:v>0.8</x:v>
      </x:c>
      <x:c r="G128" s="12" t="n">
        <x:v>7830</x:v>
      </x:c>
      <x:c r="H128" s="21" t="n">
        <x:v>0.18</x:v>
      </x:c>
      <x:c r="I128" s="20" t="n">
        <x:v>1.1</x:v>
      </x:c>
      <x:c r="J128" s="20" t="n">
        <x:v>1</x:v>
      </x:c>
      <x:c r="K128" s="20" t="n">
        <x:v>1</x:v>
      </x:c>
      <x:c r="L128" s="12" t="n">
        <x:v>7830</x:v>
      </x:c>
      <x:c r="M128" s="8" t="n">
        <x:v>171</x:v>
      </x:c>
      <x:c r="N128" s="12" t="n">
        <x:v>200</x:v>
      </x:c>
      <x:c r="O128" s="8" t="n">
        <x:v>0</x:v>
      </x:c>
      <x:c r="P128" s="8" t="n">
        <x:v>8</x:v>
      </x:c>
      <x:c r="Q128" s="8" t="n">
        <x:v>4</x:v>
      </x:c>
      <x:c r="R128" s="8" t="n">
        <x:v>12</x:v>
      </x:c>
      <x:c r="S128" s="8" t="n">
        <x:v>0</x:v>
      </x:c>
      <x:c r="T128" s="8" t="n">
        <x:v>1</x:v>
      </x:c>
      <x:c r="U128" s="12" t="n">
        <x:v>0</x:v>
      </x:c>
      <x:c r="V128" s="8" t="n">
        <x:v>11</x:v>
      </x:c>
      <x:c r="W128" s="8" t="n">
        <x:v>184</x:v>
      </x:c>
      <x:c r="X128" s="12" t="n">
        <x:v>134900</x:v>
      </x:c>
      <x:c r="Y128" s="21"/>
      <x:c r="Z128" s="24" t="n">
        <x:f>IF($A128="","",INDEX(Settings!$C$29:$C$33,MATCH(E128,Settings!$A$29:$A$33,0)))</x:f>
        <x:v>7500</x:v>
      </x:c>
      <x:c r="AA128" s="22" t="n">
        <x:f>IF($A128="","",G128/Z128)</x:f>
        <x:v>1.044</x:v>
      </x:c>
      <x:c r="AB128" s="25" t="n">
        <x:f>IF($A128="","",IF(ISNUMBER(Y128),Y128,Settings!$B$10))</x:f>
        <x:v>0.03</x:v>
      </x:c>
      <x:c r="AC128" s="23" t="n">
        <x:f>IF($A128="","",G128*(1+AB128))</x:f>
        <x:v>8064.900000000001</x:v>
      </x:c>
      <x:c r="AD128" s="23" t="n">
        <x:f>IF($A128="","",G128*F128*12)</x:f>
        <x:v>75168</x:v>
      </x:c>
      <x:c r="AE128" s="23" t="n">
        <x:f>IF($A128="","",G128*F128*J128)</x:f>
        <x:v>6264</x:v>
      </x:c>
      <x:c r="AF128" s="24" t="n">
        <x:f>IF($A128="","",L128*F128*K128*Settings!$B$13)</x:f>
        <x:v>5762.88</x:v>
      </x:c>
      <x:c r="AG128" s="23" t="n">
        <x:f>IF($A128="","",AD128*H128*I128)</x:f>
        <x:v>14883.264000000001</x:v>
      </x:c>
      <x:c r="AH128" s="24" t="n">
        <x:f>IF($A128="","",SUM(AD128:AE128,AG128)*SUM(Settings!$B$11:$B$12))</x:f>
        <x:v>24078.816</x:v>
      </x:c>
      <x:c r="AI128" s="24" t="n">
        <x:f>IF($A128="","",M128*Settings!$B$16)</x:f>
        <x:v>1523.6100000000001</x:v>
      </x:c>
      <x:c r="AJ128" s="24" t="n">
        <x:f>IF($A128="","",M128*Settings!$B$15)</x:f>
        <x:v>186.39000000000001</x:v>
      </x:c>
      <x:c r="AK128" s="24" t="n">
        <x:f>IF($A128="","",O128*Settings!$B$18)</x:f>
        <x:v>0</x:v>
      </x:c>
      <x:c r="AL128" s="24" t="n">
        <x:f>IF($A128="","",P128*Settings!$B$20+Q128*Settings!$B$21+R128*Settings!$B$22+S128*Settings!$B$23)</x:f>
        <x:v>2184.76</x:v>
      </x:c>
      <x:c r="AM128" s="24" t="n">
        <x:f>IF($A128="","",T128*Settings!$B$24)</x:f>
        <x:v>40</x:v>
      </x:c>
      <x:c r="AN128" s="23" t="n">
        <x:f>IF($A128="","",SUM(AI128,N128,AK128:AM128,U128))</x:f>
        <x:v>3948.3700000000003</x:v>
      </x:c>
      <x:c r="AO128" s="23" t="n">
        <x:f>IF($A128="","",SUM(AD128:AI128,N128,AK128:AM128,U128))</x:f>
        <x:v>130105.32999999999</x:v>
      </x:c>
      <x:c r="AP128" s="24" t="n">
        <x:f>IF($A128="","",G128*F128*AB128*((13-Settings!$B$9)*(1+H128*I128)+J128)*(1+SUM(Settings!$B$11:$B$12)))</x:f>
        <x:v>2767.5917999999997</x:v>
      </x:c>
      <x:c r="AQ128" s="23" t="n">
        <x:f>IF($A128="","",SUM(AO128:AP128))</x:f>
        <x:v>132872.92179999998</x:v>
      </x:c>
      <x:c r="AR128" s="23" t="n">
        <x:f>IF($A128="","",AQ128-X128)</x:f>
        <x:v>-2027.0782000000181</x:v>
      </x:c>
      <x:c r="AS128" s="22" t="n">
        <x:f>IF($A128="","",IF(W128=0,"n.a.",V128/W128))</x:f>
        <x:v>0.059782608695652176</x:v>
      </x:c>
      <x:c r="AT128" s="26" t="str">
        <x:f>IF($A128="",IF(COUNTA(B128:Y128)&gt;0,"Missing ID",""),IF(COUNTIFS($A$9:$A$508,A128)&gt;1,"Duplicate ID",IF(OR(B128="",C128="",D128="",E128="",COUNT(F128:X128)&lt;&gt;19),"Missing / text input",IF(OR(COUNTIFS(Settings!$A$59:$A$64,B128)&lt;&gt;1,COUNTIFS(Settings!$A$29:$A$33,E128)&lt;&gt;1),"Unknown department / grade",IF(OR(F128&lt;=0,F128&gt;1,G128&lt;=0,L128&lt;=0,H128&lt;0,I128&lt;0,J128&lt;0,K128&lt;0,K128&gt;1,MIN(M128:X128)&lt;0,W128=0,V128&gt;W128,M128&gt;W128-V128,P128&gt;8,Q128&gt;4,R128&gt;12,S128&gt;12,T128&gt;1,AB128&lt;0),"Review quantity / rate",IF(OR(N128&gt;Settings!$C$17,AK128&gt;Settings!$C$19),"Review benefit ceiling","OK"))))))</x:f>
        <x:v>OK</x:v>
      </x:c>
    </x:row>
    <x:row r="129" ht="23" customHeight="1">
      <x:c r="A129" s="8" t="str">
        <x:v>BE-0121</x:v>
      </x:c>
      <x:c r="B129" s="8" t="str">
        <x:v>Finance</x:v>
      </x:c>
      <x:c r="C129" s="8" t="str">
        <x:v>Brussels</x:v>
      </x:c>
      <x:c r="D129" s="8" t="str">
        <x:v>Finance administrator</x:v>
      </x:c>
      <x:c r="E129" s="8" t="str">
        <x:v>G1</x:v>
      </x:c>
      <x:c r="F129" s="20" t="n">
        <x:v>1</x:v>
      </x:c>
      <x:c r="G129" s="12" t="n">
        <x:v>2850</x:v>
      </x:c>
      <x:c r="H129" s="21" t="n">
        <x:v>0.03</x:v>
      </x:c>
      <x:c r="I129" s="20" t="n">
        <x:v>0.8</x:v>
      </x:c>
      <x:c r="J129" s="20" t="n">
        <x:v>1</x:v>
      </x:c>
      <x:c r="K129" s="20" t="n">
        <x:v>1</x:v>
      </x:c>
      <x:c r="L129" s="12" t="n">
        <x:v>2850</x:v>
      </x:c>
      <x:c r="M129" s="8" t="n">
        <x:v>213</x:v>
      </x:c>
      <x:c r="N129" s="12" t="n">
        <x:v>250</x:v>
      </x:c>
      <x:c r="O129" s="8" t="n">
        <x:v>960</x:v>
      </x:c>
      <x:c r="P129" s="8" t="n">
        <x:v>0</x:v>
      </x:c>
      <x:c r="Q129" s="8" t="n">
        <x:v>0</x:v>
      </x:c>
      <x:c r="R129" s="8" t="n">
        <x:v>0</x:v>
      </x:c>
      <x:c r="S129" s="8" t="n">
        <x:v>0</x:v>
      </x:c>
      <x:c r="T129" s="8" t="n">
        <x:v>1</x:v>
      </x:c>
      <x:c r="U129" s="12" t="n">
        <x:v>0</x:v>
      </x:c>
      <x:c r="V129" s="8" t="n">
        <x:v>0</x:v>
      </x:c>
      <x:c r="W129" s="8" t="n">
        <x:v>230</x:v>
      </x:c>
      <x:c r="X129" s="12" t="n">
        <x:v>52800</x:v>
      </x:c>
      <x:c r="Y129" s="21"/>
      <x:c r="Z129" s="24" t="n">
        <x:f>IF($A129="","",INDEX(Settings!$C$29:$C$33,MATCH(E129,Settings!$A$29:$A$33,0)))</x:f>
        <x:v>2700</x:v>
      </x:c>
      <x:c r="AA129" s="22" t="n">
        <x:f>IF($A129="","",G129/Z129)</x:f>
        <x:v>1.0555555555555556</x:v>
      </x:c>
      <x:c r="AB129" s="25" t="n">
        <x:f>IF($A129="","",IF(ISNUMBER(Y129),Y129,Settings!$B$10))</x:f>
        <x:v>0.03</x:v>
      </x:c>
      <x:c r="AC129" s="23" t="n">
        <x:f>IF($A129="","",G129*(1+AB129))</x:f>
        <x:v>2935.5</x:v>
      </x:c>
      <x:c r="AD129" s="23" t="n">
        <x:f>IF($A129="","",G129*F129*12)</x:f>
        <x:v>34200</x:v>
      </x:c>
      <x:c r="AE129" s="23" t="n">
        <x:f>IF($A129="","",G129*F129*J129)</x:f>
        <x:v>2850</x:v>
      </x:c>
      <x:c r="AF129" s="24" t="n">
        <x:f>IF($A129="","",L129*F129*K129*Settings!$B$13)</x:f>
        <x:v>2622</x:v>
      </x:c>
      <x:c r="AG129" s="23" t="n">
        <x:f>IF($A129="","",AD129*H129*I129)</x:f>
        <x:v>820.8000000000001</x:v>
      </x:c>
      <x:c r="AH129" s="24" t="n">
        <x:f>IF($A129="","",SUM(AD129:AE129,AG129)*SUM(Settings!$B$11:$B$12))</x:f>
        <x:v>9467.7</x:v>
      </x:c>
      <x:c r="AI129" s="24" t="n">
        <x:f>IF($A129="","",M129*Settings!$B$16)</x:f>
        <x:v>1897.83</x:v>
      </x:c>
      <x:c r="AJ129" s="24" t="n">
        <x:f>IF($A129="","",M129*Settings!$B$15)</x:f>
        <x:v>232.17000000000002</x:v>
      </x:c>
      <x:c r="AK129" s="24" t="n">
        <x:f>IF($A129="","",O129*Settings!$B$18)</x:f>
        <x:v>355.2</x:v>
      </x:c>
      <x:c r="AL129" s="24" t="n">
        <x:f>IF($A129="","",P129*Settings!$B$20+Q129*Settings!$B$21+R129*Settings!$B$22+S129*Settings!$B$23)</x:f>
        <x:v>0</x:v>
      </x:c>
      <x:c r="AM129" s="24" t="n">
        <x:f>IF($A129="","",T129*Settings!$B$24)</x:f>
        <x:v>40</x:v>
      </x:c>
      <x:c r="AN129" s="23" t="n">
        <x:f>IF($A129="","",SUM(AI129,N129,AK129:AM129,U129))</x:f>
        <x:v>2543.0299999999997</x:v>
      </x:c>
      <x:c r="AO129" s="23" t="n">
        <x:f>IF($A129="","",SUM(AD129:AI129,N129,AK129:AM129,U129))</x:f>
        <x:v>52503.53</x:v>
      </x:c>
      <x:c r="AP129" s="24" t="n">
        <x:f>IF($A129="","",G129*F129*AB129*((13-Settings!$B$9)*(1+H129*I129)+J129)*(1+SUM(Settings!$B$11:$B$12)))</x:f>
        <x:v>1091.835</x:v>
      </x:c>
      <x:c r="AQ129" s="23" t="n">
        <x:f>IF($A129="","",SUM(AO129:AP129))</x:f>
        <x:v>53595.365</x:v>
      </x:c>
      <x:c r="AR129" s="23" t="n">
        <x:f>IF($A129="","",AQ129-X129)</x:f>
        <x:v>795.364999999998</x:v>
      </x:c>
      <x:c r="AS129" s="22" t="n">
        <x:f>IF($A129="","",IF(W129=0,"n.a.",V129/W129))</x:f>
        <x:v>0</x:v>
      </x:c>
      <x:c r="AT129" s="26" t="str">
        <x:f>IF($A129="",IF(COUNTA(B129:Y129)&gt;0,"Missing ID",""),IF(COUNTIFS($A$9:$A$508,A129)&gt;1,"Duplicate ID",IF(OR(B129="",C129="",D129="",E129="",COUNT(F129:X129)&lt;&gt;19),"Missing / text input",IF(OR(COUNTIFS(Settings!$A$59:$A$64,B129)&lt;&gt;1,COUNTIFS(Settings!$A$29:$A$33,E129)&lt;&gt;1),"Unknown department / grade",IF(OR(F129&lt;=0,F129&gt;1,G129&lt;=0,L129&lt;=0,H129&lt;0,I129&lt;0,J129&lt;0,K129&lt;0,K129&gt;1,MIN(M129:X129)&lt;0,W129=0,V129&gt;W129,M129&gt;W129-V129,P129&gt;8,Q129&gt;4,R129&gt;12,S129&gt;12,T129&gt;1,AB129&lt;0),"Review quantity / rate",IF(OR(N129&gt;Settings!$C$17,AK129&gt;Settings!$C$19),"Review benefit ceiling","OK"))))))</x:f>
        <x:v>OK</x:v>
      </x:c>
    </x:row>
    <x:row r="130" ht="23" customHeight="1">
      <x:c r="A130" s="8" t="str">
        <x:v>BE-0122</x:v>
      </x:c>
      <x:c r="B130" s="8" t="str">
        <x:v>People &amp; Culture</x:v>
      </x:c>
      <x:c r="C130" s="8" t="str">
        <x:v>Antwerp</x:v>
      </x:c>
      <x:c r="D130" s="8" t="str">
        <x:v>HR administrator</x:v>
      </x:c>
      <x:c r="E130" s="8" t="str">
        <x:v>G1</x:v>
      </x:c>
      <x:c r="F130" s="20" t="n">
        <x:v>1</x:v>
      </x:c>
      <x:c r="G130" s="12" t="n">
        <x:v>2880</x:v>
      </x:c>
      <x:c r="H130" s="21" t="n">
        <x:v>0.03</x:v>
      </x:c>
      <x:c r="I130" s="20" t="n">
        <x:v>1</x:v>
      </x:c>
      <x:c r="J130" s="20" t="n">
        <x:v>1</x:v>
      </x:c>
      <x:c r="K130" s="20" t="n">
        <x:v>1</x:v>
      </x:c>
      <x:c r="L130" s="12" t="n">
        <x:v>2880</x:v>
      </x:c>
      <x:c r="M130" s="8" t="n">
        <x:v>212</x:v>
      </x:c>
      <x:c r="N130" s="12" t="n">
        <x:v>250</x:v>
      </x:c>
      <x:c r="O130" s="8" t="n">
        <x:v>0</x:v>
      </x:c>
      <x:c r="P130" s="8" t="n">
        <x:v>8</x:v>
      </x:c>
      <x:c r="Q130" s="8" t="n">
        <x:v>4</x:v>
      </x:c>
      <x:c r="R130" s="8" t="n">
        <x:v>12</x:v>
      </x:c>
      <x:c r="S130" s="8" t="n">
        <x:v>0</x:v>
      </x:c>
      <x:c r="T130" s="8" t="n">
        <x:v>1</x:v>
      </x:c>
      <x:c r="U130" s="12" t="n">
        <x:v>0</x:v>
      </x:c>
      <x:c r="V130" s="8" t="n">
        <x:v>1</x:v>
      </x:c>
      <x:c r="W130" s="8" t="n">
        <x:v>230</x:v>
      </x:c>
      <x:c r="X130" s="12" t="n">
        <x:v>55900</x:v>
      </x:c>
      <x:c r="Y130" s="21" t="n">
        <x:v>0</x:v>
      </x:c>
      <x:c r="Z130" s="24" t="n">
        <x:f>IF($A130="","",INDEX(Settings!$C$29:$C$33,MATCH(E130,Settings!$A$29:$A$33,0)))</x:f>
        <x:v>2700</x:v>
      </x:c>
      <x:c r="AA130" s="22" t="n">
        <x:f>IF($A130="","",G130/Z130)</x:f>
        <x:v>1.0666666666666667</x:v>
      </x:c>
      <x:c r="AB130" s="25" t="n">
        <x:f>IF($A130="","",IF(ISNUMBER(Y130),Y130,Settings!$B$10))</x:f>
        <x:v>0</x:v>
      </x:c>
      <x:c r="AC130" s="23" t="n">
        <x:f>IF($A130="","",G130*(1+AB130))</x:f>
        <x:v>2880</x:v>
      </x:c>
      <x:c r="AD130" s="23" t="n">
        <x:f>IF($A130="","",G130*F130*12)</x:f>
        <x:v>34560</x:v>
      </x:c>
      <x:c r="AE130" s="23" t="n">
        <x:f>IF($A130="","",G130*F130*J130)</x:f>
        <x:v>2880</x:v>
      </x:c>
      <x:c r="AF130" s="24" t="n">
        <x:f>IF($A130="","",L130*F130*K130*Settings!$B$13)</x:f>
        <x:v>2649.6</x:v>
      </x:c>
      <x:c r="AG130" s="23" t="n">
        <x:f>IF($A130="","",AD130*H130*I130)</x:f>
        <x:v>1036.8</x:v>
      </x:c>
      <x:c r="AH130" s="24" t="n">
        <x:f>IF($A130="","",SUM(AD130:AE130,AG130)*SUM(Settings!$B$11:$B$12))</x:f>
        <x:v>9619.2</x:v>
      </x:c>
      <x:c r="AI130" s="24" t="n">
        <x:f>IF($A130="","",M130*Settings!$B$16)</x:f>
        <x:v>1888.92</x:v>
      </x:c>
      <x:c r="AJ130" s="24" t="n">
        <x:f>IF($A130="","",M130*Settings!$B$15)</x:f>
        <x:v>231.08</x:v>
      </x:c>
      <x:c r="AK130" s="24" t="n">
        <x:f>IF($A130="","",O130*Settings!$B$18)</x:f>
        <x:v>0</x:v>
      </x:c>
      <x:c r="AL130" s="24" t="n">
        <x:f>IF($A130="","",P130*Settings!$B$20+Q130*Settings!$B$21+R130*Settings!$B$22+S130*Settings!$B$23)</x:f>
        <x:v>2184.76</x:v>
      </x:c>
      <x:c r="AM130" s="24" t="n">
        <x:f>IF($A130="","",T130*Settings!$B$24)</x:f>
        <x:v>40</x:v>
      </x:c>
      <x:c r="AN130" s="23" t="n">
        <x:f>IF($A130="","",SUM(AI130,N130,AK130:AM130,U130))</x:f>
        <x:v>4363.68</x:v>
      </x:c>
      <x:c r="AO130" s="23" t="n">
        <x:f>IF($A130="","",SUM(AD130:AI130,N130,AK130:AM130,U130))</x:f>
        <x:v>55109.280000000006</x:v>
      </x:c>
      <x:c r="AP130" s="24" t="n">
        <x:f>IF($A130="","",G130*F130*AB130*((13-Settings!$B$9)*(1+H130*I130)+J130)*(1+SUM(Settings!$B$11:$B$12)))</x:f>
        <x:v>0</x:v>
      </x:c>
      <x:c r="AQ130" s="23" t="n">
        <x:f>IF($A130="","",SUM(AO130:AP130))</x:f>
        <x:v>55109.280000000006</x:v>
      </x:c>
      <x:c r="AR130" s="23" t="n">
        <x:f>IF($A130="","",AQ130-X130)</x:f>
        <x:v>-790.7199999999939</x:v>
      </x:c>
      <x:c r="AS130" s="22" t="n">
        <x:f>IF($A130="","",IF(W130=0,"n.a.",V130/W130))</x:f>
        <x:v>0.004347826086956522</x:v>
      </x:c>
      <x:c r="AT130" s="26" t="str">
        <x:f>IF($A130="",IF(COUNTA(B130:Y130)&gt;0,"Missing ID",""),IF(COUNTIFS($A$9:$A$508,A130)&gt;1,"Duplicate ID",IF(OR(B130="",C130="",D130="",E130="",COUNT(F130:X130)&lt;&gt;19),"Missing / text input",IF(OR(COUNTIFS(Settings!$A$59:$A$64,B130)&lt;&gt;1,COUNTIFS(Settings!$A$29:$A$33,E130)&lt;&gt;1),"Unknown department / grade",IF(OR(F130&lt;=0,F130&gt;1,G130&lt;=0,L130&lt;=0,H130&lt;0,I130&lt;0,J130&lt;0,K130&lt;0,K130&gt;1,MIN(M130:X130)&lt;0,W130=0,V130&gt;W130,M130&gt;W130-V130,P130&gt;8,Q130&gt;4,R130&gt;12,S130&gt;12,T130&gt;1,AB130&lt;0),"Review quantity / rate",IF(OR(N130&gt;Settings!$C$17,AK130&gt;Settings!$C$19),"Review benefit ceiling","OK"))))))</x:f>
        <x:v>OK</x:v>
      </x:c>
    </x:row>
    <x:row r="131" ht="23" customHeight="1">
      <x:c r="A131" s="8" t="str">
        <x:v>BE-0123</x:v>
      </x:c>
      <x:c r="B131" s="8" t="str">
        <x:v>Technology</x:v>
      </x:c>
      <x:c r="C131" s="8" t="str">
        <x:v>Ghent</x:v>
      </x:c>
      <x:c r="D131" s="8" t="str">
        <x:v>IT coordinator</x:v>
      </x:c>
      <x:c r="E131" s="8" t="str">
        <x:v>G1</x:v>
      </x:c>
      <x:c r="F131" s="20" t="n">
        <x:v>1</x:v>
      </x:c>
      <x:c r="G131" s="12" t="n">
        <x:v>2520</x:v>
      </x:c>
      <x:c r="H131" s="21" t="n">
        <x:v>0.03</x:v>
      </x:c>
      <x:c r="I131" s="20" t="n">
        <x:v>1.1</x:v>
      </x:c>
      <x:c r="J131" s="20" t="n">
        <x:v>1</x:v>
      </x:c>
      <x:c r="K131" s="20" t="n">
        <x:v>1</x:v>
      </x:c>
      <x:c r="L131" s="12" t="n">
        <x:v>2520</x:v>
      </x:c>
      <x:c r="M131" s="8" t="n">
        <x:v>211</x:v>
      </x:c>
      <x:c r="N131" s="12" t="n">
        <x:v>250</x:v>
      </x:c>
      <x:c r="O131" s="8" t="n">
        <x:v>0</x:v>
      </x:c>
      <x:c r="P131" s="8" t="n">
        <x:v>8</x:v>
      </x:c>
      <x:c r="Q131" s="8" t="n">
        <x:v>4</x:v>
      </x:c>
      <x:c r="R131" s="8" t="n">
        <x:v>12</x:v>
      </x:c>
      <x:c r="S131" s="8" t="n">
        <x:v>0</x:v>
      </x:c>
      <x:c r="T131" s="8" t="n">
        <x:v>1</x:v>
      </x:c>
      <x:c r="U131" s="12" t="n">
        <x:v>0</x:v>
      </x:c>
      <x:c r="V131" s="8" t="n">
        <x:v>2</x:v>
      </x:c>
      <x:c r="W131" s="8" t="n">
        <x:v>230</x:v>
      </x:c>
      <x:c r="X131" s="12" t="n">
        <x:v>50600</x:v>
      </x:c>
      <x:c r="Y131" s="21"/>
      <x:c r="Z131" s="24" t="n">
        <x:f>IF($A131="","",INDEX(Settings!$C$29:$C$33,MATCH(E131,Settings!$A$29:$A$33,0)))</x:f>
        <x:v>2700</x:v>
      </x:c>
      <x:c r="AA131" s="22" t="n">
        <x:f>IF($A131="","",G131/Z131)</x:f>
        <x:v>0.9333333333333333</x:v>
      </x:c>
      <x:c r="AB131" s="25" t="n">
        <x:f>IF($A131="","",IF(ISNUMBER(Y131),Y131,Settings!$B$10))</x:f>
        <x:v>0.03</x:v>
      </x:c>
      <x:c r="AC131" s="23" t="n">
        <x:f>IF($A131="","",G131*(1+AB131))</x:f>
        <x:v>2595.6</x:v>
      </x:c>
      <x:c r="AD131" s="23" t="n">
        <x:f>IF($A131="","",G131*F131*12)</x:f>
        <x:v>30240</x:v>
      </x:c>
      <x:c r="AE131" s="23" t="n">
        <x:f>IF($A131="","",G131*F131*J131)</x:f>
        <x:v>2520</x:v>
      </x:c>
      <x:c r="AF131" s="24" t="n">
        <x:f>IF($A131="","",L131*F131*K131*Settings!$B$13)</x:f>
        <x:v>2318.4</x:v>
      </x:c>
      <x:c r="AG131" s="23" t="n">
        <x:f>IF($A131="","",AD131*H131*I131)</x:f>
        <x:v>997.92</x:v>
      </x:c>
      <x:c r="AH131" s="24" t="n">
        <x:f>IF($A131="","",SUM(AD131:AE131,AG131)*SUM(Settings!$B$11:$B$12))</x:f>
        <x:v>8439.48</x:v>
      </x:c>
      <x:c r="AI131" s="24" t="n">
        <x:f>IF($A131="","",M131*Settings!$B$16)</x:f>
        <x:v>1880.01</x:v>
      </x:c>
      <x:c r="AJ131" s="24" t="n">
        <x:f>IF($A131="","",M131*Settings!$B$15)</x:f>
        <x:v>229.99</x:v>
      </x:c>
      <x:c r="AK131" s="24" t="n">
        <x:f>IF($A131="","",O131*Settings!$B$18)</x:f>
        <x:v>0</x:v>
      </x:c>
      <x:c r="AL131" s="24" t="n">
        <x:f>IF($A131="","",P131*Settings!$B$20+Q131*Settings!$B$21+R131*Settings!$B$22+S131*Settings!$B$23)</x:f>
        <x:v>2184.76</x:v>
      </x:c>
      <x:c r="AM131" s="24" t="n">
        <x:f>IF($A131="","",T131*Settings!$B$24)</x:f>
        <x:v>40</x:v>
      </x:c>
      <x:c r="AN131" s="23" t="n">
        <x:f>IF($A131="","",SUM(AI131,N131,AK131:AM131,U131))</x:f>
        <x:v>4354.77</x:v>
      </x:c>
      <x:c r="AO131" s="23" t="n">
        <x:f>IF($A131="","",SUM(AD131:AI131,N131,AK131:AM131,U131))</x:f>
        <x:v>48870.57000000001</x:v>
      </x:c>
      <x:c r="AP131" s="24" t="n">
        <x:f>IF($A131="","",G131*F131*AB131*((13-Settings!$B$9)*(1+H131*I131)+J131)*(1+SUM(Settings!$B$11:$B$12)))</x:f>
        <x:v>973.0664999999998</x:v>
      </x:c>
      <x:c r="AQ131" s="23" t="n">
        <x:f>IF($A131="","",SUM(AO131:AP131))</x:f>
        <x:v>49843.63650000001</x:v>
      </x:c>
      <x:c r="AR131" s="23" t="n">
        <x:f>IF($A131="","",AQ131-X131)</x:f>
        <x:v>-756.3634999999922</x:v>
      </x:c>
      <x:c r="AS131" s="22" t="n">
        <x:f>IF($A131="","",IF(W131=0,"n.a.",V131/W131))</x:f>
        <x:v>0.008695652173913044</x:v>
      </x:c>
      <x:c r="AT131" s="26" t="str">
        <x:f>IF($A131="",IF(COUNTA(B131:Y131)&gt;0,"Missing ID",""),IF(COUNTIFS($A$9:$A$508,A131)&gt;1,"Duplicate ID",IF(OR(B131="",C131="",D131="",E131="",COUNT(F131:X131)&lt;&gt;19),"Missing / text input",IF(OR(COUNTIFS(Settings!$A$59:$A$64,B131)&lt;&gt;1,COUNTIFS(Settings!$A$29:$A$33,E131)&lt;&gt;1),"Unknown department / grade",IF(OR(F131&lt;=0,F131&gt;1,G131&lt;=0,L131&lt;=0,H131&lt;0,I131&lt;0,J131&lt;0,K131&lt;0,K131&gt;1,MIN(M131:X131)&lt;0,W131=0,V131&gt;W131,M131&gt;W131-V131,P131&gt;8,Q131&gt;4,R131&gt;12,S131&gt;12,T131&gt;1,AB131&lt;0),"Review quantity / rate",IF(OR(N131&gt;Settings!$C$17,AK131&gt;Settings!$C$19),"Review benefit ceiling","OK"))))))</x:f>
        <x:v>OK</x:v>
      </x:c>
    </x:row>
    <x:row r="132" ht="23" customHeight="1">
      <x:c r="A132" s="8" t="str">
        <x:v>BE-0124</x:v>
      </x:c>
      <x:c r="B132" s="8" t="str">
        <x:v>Sales</x:v>
      </x:c>
      <x:c r="C132" s="8" t="str">
        <x:v>Brussels</x:v>
      </x:c>
      <x:c r="D132" s="8" t="str">
        <x:v>Sales coordinator</x:v>
      </x:c>
      <x:c r="E132" s="8" t="str">
        <x:v>G1</x:v>
      </x:c>
      <x:c r="F132" s="20" t="n">
        <x:v>1</x:v>
      </x:c>
      <x:c r="G132" s="12" t="n">
        <x:v>2610</x:v>
      </x:c>
      <x:c r="H132" s="21" t="n">
        <x:v>0.03</x:v>
      </x:c>
      <x:c r="I132" s="20" t="n">
        <x:v>0.8</x:v>
      </x:c>
      <x:c r="J132" s="20" t="n">
        <x:v>1</x:v>
      </x:c>
      <x:c r="K132" s="20" t="n">
        <x:v>1</x:v>
      </x:c>
      <x:c r="L132" s="12" t="n">
        <x:v>2610</x:v>
      </x:c>
      <x:c r="M132" s="8" t="n">
        <x:v>210</x:v>
      </x:c>
      <x:c r="N132" s="12" t="n">
        <x:v>250</x:v>
      </x:c>
      <x:c r="O132" s="8" t="n">
        <x:v>1290</x:v>
      </x:c>
      <x:c r="P132" s="8" t="n">
        <x:v>8</x:v>
      </x:c>
      <x:c r="Q132" s="8" t="n">
        <x:v>4</x:v>
      </x:c>
      <x:c r="R132" s="8" t="n">
        <x:v>12</x:v>
      </x:c>
      <x:c r="S132" s="8" t="n">
        <x:v>0</x:v>
      </x:c>
      <x:c r="T132" s="8" t="n">
        <x:v>1</x:v>
      </x:c>
      <x:c r="U132" s="12" t="n">
        <x:v>0</x:v>
      </x:c>
      <x:c r="V132" s="8" t="n">
        <x:v>3</x:v>
      </x:c>
      <x:c r="W132" s="8" t="n">
        <x:v>230</x:v>
      </x:c>
      <x:c r="X132" s="12" t="n">
        <x:v>52300</x:v>
      </x:c>
      <x:c r="Y132" s="21"/>
      <x:c r="Z132" s="24" t="n">
        <x:f>IF($A132="","",INDEX(Settings!$C$29:$C$33,MATCH(E132,Settings!$A$29:$A$33,0)))</x:f>
        <x:v>2700</x:v>
      </x:c>
      <x:c r="AA132" s="22" t="n">
        <x:f>IF($A132="","",G132/Z132)</x:f>
        <x:v>0.9666666666666667</x:v>
      </x:c>
      <x:c r="AB132" s="25" t="n">
        <x:f>IF($A132="","",IF(ISNUMBER(Y132),Y132,Settings!$B$10))</x:f>
        <x:v>0.03</x:v>
      </x:c>
      <x:c r="AC132" s="23" t="n">
        <x:f>IF($A132="","",G132*(1+AB132))</x:f>
        <x:v>2688.3</x:v>
      </x:c>
      <x:c r="AD132" s="23" t="n">
        <x:f>IF($A132="","",G132*F132*12)</x:f>
        <x:v>31320</x:v>
      </x:c>
      <x:c r="AE132" s="23" t="n">
        <x:f>IF($A132="","",G132*F132*J132)</x:f>
        <x:v>2610</x:v>
      </x:c>
      <x:c r="AF132" s="24" t="n">
        <x:f>IF($A132="","",L132*F132*K132*Settings!$B$13)</x:f>
        <x:v>2401.2000000000003</x:v>
      </x:c>
      <x:c r="AG132" s="23" t="n">
        <x:f>IF($A132="","",AD132*H132*I132)</x:f>
        <x:v>751.68</x:v>
      </x:c>
      <x:c r="AH132" s="24" t="n">
        <x:f>IF($A132="","",SUM(AD132:AE132,AG132)*SUM(Settings!$B$11:$B$12))</x:f>
        <x:v>8670.42</x:v>
      </x:c>
      <x:c r="AI132" s="24" t="n">
        <x:f>IF($A132="","",M132*Settings!$B$16)</x:f>
        <x:v>1871.1000000000001</x:v>
      </x:c>
      <x:c r="AJ132" s="24" t="n">
        <x:f>IF($A132="","",M132*Settings!$B$15)</x:f>
        <x:v>228.9</x:v>
      </x:c>
      <x:c r="AK132" s="24" t="n">
        <x:f>IF($A132="","",O132*Settings!$B$18)</x:f>
        <x:v>477.3</x:v>
      </x:c>
      <x:c r="AL132" s="24" t="n">
        <x:f>IF($A132="","",P132*Settings!$B$20+Q132*Settings!$B$21+R132*Settings!$B$22+S132*Settings!$B$23)</x:f>
        <x:v>2184.76</x:v>
      </x:c>
      <x:c r="AM132" s="24" t="n">
        <x:f>IF($A132="","",T132*Settings!$B$24)</x:f>
        <x:v>40</x:v>
      </x:c>
      <x:c r="AN132" s="23" t="n">
        <x:f>IF($A132="","",SUM(AI132,N132,AK132:AM132,U132))</x:f>
        <x:v>4823.160000000001</x:v>
      </x:c>
      <x:c r="AO132" s="23" t="n">
        <x:f>IF($A132="","",SUM(AD132:AI132,N132,AK132:AM132,U132))</x:f>
        <x:v>50576.45999999999</x:v>
      </x:c>
      <x:c r="AP132" s="24" t="n">
        <x:f>IF($A132="","",G132*F132*AB132*((13-Settings!$B$9)*(1+H132*I132)+J132)*(1+SUM(Settings!$B$11:$B$12)))</x:f>
        <x:v>999.8910000000001</x:v>
      </x:c>
      <x:c r="AQ132" s="23" t="n">
        <x:f>IF($A132="","",SUM(AO132:AP132))</x:f>
        <x:v>51576.350999999995</x:v>
      </x:c>
      <x:c r="AR132" s="23" t="n">
        <x:f>IF($A132="","",AQ132-X132)</x:f>
        <x:v>-723.6490000000049</x:v>
      </x:c>
      <x:c r="AS132" s="22" t="n">
        <x:f>IF($A132="","",IF(W132=0,"n.a.",V132/W132))</x:f>
        <x:v>0.013043478260869565</x:v>
      </x:c>
      <x:c r="AT132" s="26" t="str">
        <x:f>IF($A132="",IF(COUNTA(B132:Y132)&gt;0,"Missing ID",""),IF(COUNTIFS($A$9:$A$508,A132)&gt;1,"Duplicate ID",IF(OR(B132="",C132="",D132="",E132="",COUNT(F132:X132)&lt;&gt;19),"Missing / text input",IF(OR(COUNTIFS(Settings!$A$59:$A$64,B132)&lt;&gt;1,COUNTIFS(Settings!$A$29:$A$33,E132)&lt;&gt;1),"Unknown department / grade",IF(OR(F132&lt;=0,F132&gt;1,G132&lt;=0,L132&lt;=0,H132&lt;0,I132&lt;0,J132&lt;0,K132&lt;0,K132&gt;1,MIN(M132:X132)&lt;0,W132=0,V132&gt;W132,M132&gt;W132-V132,P132&gt;8,Q132&gt;4,R132&gt;12,S132&gt;12,T132&gt;1,AB132&lt;0),"Review quantity / rate",IF(OR(N132&gt;Settings!$C$17,AK132&gt;Settings!$C$19),"Review benefit ceiling","OK"))))))</x:f>
        <x:v>OK</x:v>
      </x:c>
    </x:row>
    <x:row r="133" ht="23" customHeight="1">
      <x:c r="A133" s="8" t="str">
        <x:v>BE-0125</x:v>
      </x:c>
      <x:c r="B133" s="8" t="str">
        <x:v>Customer Operations</x:v>
      </x:c>
      <x:c r="C133" s="8" t="str">
        <x:v>Antwerp</x:v>
      </x:c>
      <x:c r="D133" s="8" t="str">
        <x:v>Service administrator</x:v>
      </x:c>
      <x:c r="E133" s="8" t="str">
        <x:v>G1</x:v>
      </x:c>
      <x:c r="F133" s="20" t="n">
        <x:v>1</x:v>
      </x:c>
      <x:c r="G133" s="12" t="n">
        <x:v>2640</x:v>
      </x:c>
      <x:c r="H133" s="21" t="n">
        <x:v>0.03</x:v>
      </x:c>
      <x:c r="I133" s="20" t="n">
        <x:v>1</x:v>
      </x:c>
      <x:c r="J133" s="20" t="n">
        <x:v>1</x:v>
      </x:c>
      <x:c r="K133" s="20" t="n">
        <x:v>1</x:v>
      </x:c>
      <x:c r="L133" s="12" t="n">
        <x:v>2640</x:v>
      </x:c>
      <x:c r="M133" s="8" t="n">
        <x:v>209</x:v>
      </x:c>
      <x:c r="N133" s="12" t="n">
        <x:v>250</x:v>
      </x:c>
      <x:c r="O133" s="8" t="n">
        <x:v>0</x:v>
      </x:c>
      <x:c r="P133" s="8" t="n">
        <x:v>0</x:v>
      </x:c>
      <x:c r="Q133" s="8" t="n">
        <x:v>0</x:v>
      </x:c>
      <x:c r="R133" s="8" t="n">
        <x:v>0</x:v>
      </x:c>
      <x:c r="S133" s="8" t="n">
        <x:v>0</x:v>
      </x:c>
      <x:c r="T133" s="8" t="n">
        <x:v>1</x:v>
      </x:c>
      <x:c r="U133" s="12" t="n">
        <x:v>0</x:v>
      </x:c>
      <x:c r="V133" s="8" t="n">
        <x:v>4</x:v>
      </x:c>
      <x:c r="W133" s="8" t="n">
        <x:v>230</x:v>
      </x:c>
      <x:c r="X133" s="12" t="n">
        <x:v>50400</x:v>
      </x:c>
      <x:c r="Y133" s="21"/>
      <x:c r="Z133" s="24" t="n">
        <x:f>IF($A133="","",INDEX(Settings!$C$29:$C$33,MATCH(E133,Settings!$A$29:$A$33,0)))</x:f>
        <x:v>2700</x:v>
      </x:c>
      <x:c r="AA133" s="22" t="n">
        <x:f>IF($A133="","",G133/Z133)</x:f>
        <x:v>0.9777777777777777</x:v>
      </x:c>
      <x:c r="AB133" s="25" t="n">
        <x:f>IF($A133="","",IF(ISNUMBER(Y133),Y133,Settings!$B$10))</x:f>
        <x:v>0.03</x:v>
      </x:c>
      <x:c r="AC133" s="23" t="n">
        <x:f>IF($A133="","",G133*(1+AB133))</x:f>
        <x:v>2719.2000000000003</x:v>
      </x:c>
      <x:c r="AD133" s="23" t="n">
        <x:f>IF($A133="","",G133*F133*12)</x:f>
        <x:v>31680</x:v>
      </x:c>
      <x:c r="AE133" s="23" t="n">
        <x:f>IF($A133="","",G133*F133*J133)</x:f>
        <x:v>2640</x:v>
      </x:c>
      <x:c r="AF133" s="24" t="n">
        <x:f>IF($A133="","",L133*F133*K133*Settings!$B$13)</x:f>
        <x:v>2428.8</x:v>
      </x:c>
      <x:c r="AG133" s="23" t="n">
        <x:f>IF($A133="","",AD133*H133*I133)</x:f>
        <x:v>950.4</x:v>
      </x:c>
      <x:c r="AH133" s="24" t="n">
        <x:f>IF($A133="","",SUM(AD133:AE133,AG133)*SUM(Settings!$B$11:$B$12))</x:f>
        <x:v>8817.6</x:v>
      </x:c>
      <x:c r="AI133" s="24" t="n">
        <x:f>IF($A133="","",M133*Settings!$B$16)</x:f>
        <x:v>1862.19</x:v>
      </x:c>
      <x:c r="AJ133" s="24" t="n">
        <x:f>IF($A133="","",M133*Settings!$B$15)</x:f>
        <x:v>227.81000000000003</x:v>
      </x:c>
      <x:c r="AK133" s="24" t="n">
        <x:f>IF($A133="","",O133*Settings!$B$18)</x:f>
        <x:v>0</x:v>
      </x:c>
      <x:c r="AL133" s="24" t="n">
        <x:f>IF($A133="","",P133*Settings!$B$20+Q133*Settings!$B$21+R133*Settings!$B$22+S133*Settings!$B$23)</x:f>
        <x:v>0</x:v>
      </x:c>
      <x:c r="AM133" s="24" t="n">
        <x:f>IF($A133="","",T133*Settings!$B$24)</x:f>
        <x:v>40</x:v>
      </x:c>
      <x:c r="AN133" s="23" t="n">
        <x:f>IF($A133="","",SUM(AI133,N133,AK133:AM133,U133))</x:f>
        <x:v>2152.19</x:v>
      </x:c>
      <x:c r="AO133" s="23" t="n">
        <x:f>IF($A133="","",SUM(AD133:AI133,N133,AK133:AM133,U133))</x:f>
        <x:v>48668.990000000005</x:v>
      </x:c>
      <x:c r="AP133" s="24" t="n">
        <x:f>IF($A133="","",G133*F133*AB133*((13-Settings!$B$9)*(1+H133*I133)+J133)*(1+SUM(Settings!$B$11:$B$12)))</x:f>
        <x:v>1016.73</x:v>
      </x:c>
      <x:c r="AQ133" s="23" t="n">
        <x:f>IF($A133="","",SUM(AO133:AP133))</x:f>
        <x:v>49685.72000000001</x:v>
      </x:c>
      <x:c r="AR133" s="23" t="n">
        <x:f>IF($A133="","",AQ133-X133)</x:f>
        <x:v>-714.2799999999916</x:v>
      </x:c>
      <x:c r="AS133" s="22" t="n">
        <x:f>IF($A133="","",IF(W133=0,"n.a.",V133/W133))</x:f>
        <x:v>0.017391304347826087</x:v>
      </x:c>
      <x:c r="AT133" s="26" t="str">
        <x:f>IF($A133="",IF(COUNTA(B133:Y133)&gt;0,"Missing ID",""),IF(COUNTIFS($A$9:$A$508,A133)&gt;1,"Duplicate ID",IF(OR(B133="",C133="",D133="",E133="",COUNT(F133:X133)&lt;&gt;19),"Missing / text input",IF(OR(COUNTIFS(Settings!$A$59:$A$64,B133)&lt;&gt;1,COUNTIFS(Settings!$A$29:$A$33,E133)&lt;&gt;1),"Unknown department / grade",IF(OR(F133&lt;=0,F133&gt;1,G133&lt;=0,L133&lt;=0,H133&lt;0,I133&lt;0,J133&lt;0,K133&lt;0,K133&gt;1,MIN(M133:X133)&lt;0,W133=0,V133&gt;W133,M133&gt;W133-V133,P133&gt;8,Q133&gt;4,R133&gt;12,S133&gt;12,T133&gt;1,AB133&lt;0),"Review quantity / rate",IF(OR(N133&gt;Settings!$C$17,AK133&gt;Settings!$C$19),"Review benefit ceiling","OK"))))))</x:f>
        <x:v>OK</x:v>
      </x:c>
    </x:row>
    <x:row r="134" ht="23" customHeight="1">
      <x:c r="A134" s="8" t="str">
        <x:v>BE-0126</x:v>
      </x:c>
      <x:c r="B134" s="8" t="str">
        <x:v>Business Support</x:v>
      </x:c>
      <x:c r="C134" s="8" t="str">
        <x:v>Ghent</x:v>
      </x:c>
      <x:c r="D134" s="8" t="str">
        <x:v>Business specialist</x:v>
      </x:c>
      <x:c r="E134" s="8" t="str">
        <x:v>G2</x:v>
      </x:c>
      <x:c r="F134" s="20" t="n">
        <x:v>1</x:v>
      </x:c>
      <x:c r="G134" s="12" t="n">
        <x:v>2980</x:v>
      </x:c>
      <x:c r="H134" s="21" t="n">
        <x:v>0.05</x:v>
      </x:c>
      <x:c r="I134" s="20" t="n">
        <x:v>1.1</x:v>
      </x:c>
      <x:c r="J134" s="20" t="n">
        <x:v>1</x:v>
      </x:c>
      <x:c r="K134" s="20" t="n">
        <x:v>1</x:v>
      </x:c>
      <x:c r="L134" s="12" t="n">
        <x:v>2980</x:v>
      </x:c>
      <x:c r="M134" s="8" t="n">
        <x:v>208</x:v>
      </x:c>
      <x:c r="N134" s="12" t="n">
        <x:v>250</x:v>
      </x:c>
      <x:c r="O134" s="8" t="n">
        <x:v>0</x:v>
      </x:c>
      <x:c r="P134" s="8" t="n">
        <x:v>8</x:v>
      </x:c>
      <x:c r="Q134" s="8" t="n">
        <x:v>4</x:v>
      </x:c>
      <x:c r="R134" s="8" t="n">
        <x:v>12</x:v>
      </x:c>
      <x:c r="S134" s="8" t="n">
        <x:v>12</x:v>
      </x:c>
      <x:c r="T134" s="8" t="n">
        <x:v>1</x:v>
      </x:c>
      <x:c r="U134" s="12" t="n">
        <x:v>0</x:v>
      </x:c>
      <x:c r="V134" s="8" t="n">
        <x:v>5</x:v>
      </x:c>
      <x:c r="W134" s="8" t="n">
        <x:v>230</x:v>
      </x:c>
      <x:c r="X134" s="12" t="n">
        <x:v>58500</x:v>
      </x:c>
      <x:c r="Y134" s="21"/>
      <x:c r="Z134" s="24" t="n">
        <x:f>IF($A134="","",INDEX(Settings!$C$29:$C$33,MATCH(E134,Settings!$A$29:$A$33,0)))</x:f>
        <x:v>3300</x:v>
      </x:c>
      <x:c r="AA134" s="22" t="n">
        <x:f>IF($A134="","",G134/Z134)</x:f>
        <x:v>0.9030303030303031</x:v>
      </x:c>
      <x:c r="AB134" s="25" t="n">
        <x:f>IF($A134="","",IF(ISNUMBER(Y134),Y134,Settings!$B$10))</x:f>
        <x:v>0.03</x:v>
      </x:c>
      <x:c r="AC134" s="23" t="n">
        <x:f>IF($A134="","",G134*(1+AB134))</x:f>
        <x:v>3069.4</x:v>
      </x:c>
      <x:c r="AD134" s="23" t="n">
        <x:f>IF($A134="","",G134*F134*12)</x:f>
        <x:v>35760</x:v>
      </x:c>
      <x:c r="AE134" s="23" t="n">
        <x:f>IF($A134="","",G134*F134*J134)</x:f>
        <x:v>2980</x:v>
      </x:c>
      <x:c r="AF134" s="24" t="n">
        <x:f>IF($A134="","",L134*F134*K134*Settings!$B$13)</x:f>
        <x:v>2741.6</x:v>
      </x:c>
      <x:c r="AG134" s="23" t="n">
        <x:f>IF($A134="","",AD134*H134*I134)</x:f>
        <x:v>1966.8000000000002</x:v>
      </x:c>
      <x:c r="AH134" s="24" t="n">
        <x:f>IF($A134="","",SUM(AD134:AE134,AG134)*SUM(Settings!$B$11:$B$12))</x:f>
        <x:v>10176.7</x:v>
      </x:c>
      <x:c r="AI134" s="24" t="n">
        <x:f>IF($A134="","",M134*Settings!$B$16)</x:f>
        <x:v>1853.28</x:v>
      </x:c>
      <x:c r="AJ134" s="24" t="n">
        <x:f>IF($A134="","",M134*Settings!$B$15)</x:f>
        <x:v>226.72000000000003</x:v>
      </x:c>
      <x:c r="AK134" s="24" t="n">
        <x:f>IF($A134="","",O134*Settings!$B$18)</x:f>
        <x:v>0</x:v>
      </x:c>
      <x:c r="AL134" s="24" t="n">
        <x:f>IF($A134="","",P134*Settings!$B$20+Q134*Settings!$B$21+R134*Settings!$B$22+S134*Settings!$B$23)</x:f>
        <x:v>2424.76</x:v>
      </x:c>
      <x:c r="AM134" s="24" t="n">
        <x:f>IF($A134="","",T134*Settings!$B$24)</x:f>
        <x:v>40</x:v>
      </x:c>
      <x:c r="AN134" s="23" t="n">
        <x:f>IF($A134="","",SUM(AI134,N134,AK134:AM134,U134))</x:f>
        <x:v>4568.04</x:v>
      </x:c>
      <x:c r="AO134" s="23" t="n">
        <x:f>IF($A134="","",SUM(AD134:AI134,N134,AK134:AM134,U134))</x:f>
        <x:v>58193.14000000001</x:v>
      </x:c>
      <x:c r="AP134" s="24" t="n">
        <x:f>IF($A134="","",G134*F134*AB134*((13-Settings!$B$9)*(1+H134*I134)+J134)*(1+SUM(Settings!$B$11:$B$12)))</x:f>
        <x:v>1172.8162499999999</x:v>
      </x:c>
      <x:c r="AQ134" s="23" t="n">
        <x:f>IF($A134="","",SUM(AO134:AP134))</x:f>
        <x:v>59365.95625</x:v>
      </x:c>
      <x:c r="AR134" s="23" t="n">
        <x:f>IF($A134="","",AQ134-X134)</x:f>
        <x:v>865.9562500000029</x:v>
      </x:c>
      <x:c r="AS134" s="22" t="n">
        <x:f>IF($A134="","",IF(W134=0,"n.a.",V134/W134))</x:f>
        <x:v>0.021739130434782608</x:v>
      </x:c>
      <x:c r="AT134" s="26" t="str">
        <x:f>IF($A134="",IF(COUNTA(B134:Y134)&gt;0,"Missing ID",""),IF(COUNTIFS($A$9:$A$508,A134)&gt;1,"Duplicate ID",IF(OR(B134="",C134="",D134="",E134="",COUNT(F134:X134)&lt;&gt;19),"Missing / text input",IF(OR(COUNTIFS(Settings!$A$59:$A$64,B134)&lt;&gt;1,COUNTIFS(Settings!$A$29:$A$33,E134)&lt;&gt;1),"Unknown department / grade",IF(OR(F134&lt;=0,F134&gt;1,G134&lt;=0,L134&lt;=0,H134&lt;0,I134&lt;0,J134&lt;0,K134&lt;0,K134&gt;1,MIN(M134:X134)&lt;0,W134=0,V134&gt;W134,M134&gt;W134-V134,P134&gt;8,Q134&gt;4,R134&gt;12,S134&gt;12,T134&gt;1,AB134&lt;0),"Review quantity / rate",IF(OR(N134&gt;Settings!$C$17,AK134&gt;Settings!$C$19),"Review benefit ceiling","OK"))))))</x:f>
        <x:v>OK</x:v>
      </x:c>
    </x:row>
    <x:row r="135" ht="23" customHeight="1">
      <x:c r="A135" s="8" t="str">
        <x:v>BE-0127</x:v>
      </x:c>
      <x:c r="B135" s="8" t="str">
        <x:v>Finance</x:v>
      </x:c>
      <x:c r="C135" s="8" t="str">
        <x:v>Brussels</x:v>
      </x:c>
      <x:c r="D135" s="8" t="str">
        <x:v>Accountant</x:v>
      </x:c>
      <x:c r="E135" s="8" t="str">
        <x:v>G2</x:v>
      </x:c>
      <x:c r="F135" s="20" t="n">
        <x:v>0.6</x:v>
      </x:c>
      <x:c r="G135" s="12" t="n">
        <x:v>3170</x:v>
      </x:c>
      <x:c r="H135" s="21" t="n">
        <x:v>0.05</x:v>
      </x:c>
      <x:c r="I135" s="20" t="n">
        <x:v>0.8</x:v>
      </x:c>
      <x:c r="J135" s="20" t="n">
        <x:v>1</x:v>
      </x:c>
      <x:c r="K135" s="20" t="n">
        <x:v>1</x:v>
      </x:c>
      <x:c r="L135" s="12" t="n">
        <x:v>3170</x:v>
      </x:c>
      <x:c r="M135" s="8" t="n">
        <x:v>128</x:v>
      </x:c>
      <x:c r="N135" s="12" t="n">
        <x:v>150</x:v>
      </x:c>
      <x:c r="O135" s="8" t="n">
        <x:v>1620</x:v>
      </x:c>
      <x:c r="P135" s="8" t="n">
        <x:v>8</x:v>
      </x:c>
      <x:c r="Q135" s="8" t="n">
        <x:v>4</x:v>
      </x:c>
      <x:c r="R135" s="8" t="n">
        <x:v>12</x:v>
      </x:c>
      <x:c r="S135" s="8" t="n">
        <x:v>0</x:v>
      </x:c>
      <x:c r="T135" s="8" t="n">
        <x:v>1</x:v>
      </x:c>
      <x:c r="U135" s="12" t="n">
        <x:v>0</x:v>
      </x:c>
      <x:c r="V135" s="8" t="n">
        <x:v>6</x:v>
      </x:c>
      <x:c r="W135" s="8" t="n">
        <x:v>138</x:v>
      </x:c>
      <x:c r="X135" s="12" t="n">
        <x:v>39200</x:v>
      </x:c>
      <x:c r="Y135" s="21"/>
      <x:c r="Z135" s="24" t="n">
        <x:f>IF($A135="","",INDEX(Settings!$C$29:$C$33,MATCH(E135,Settings!$A$29:$A$33,0)))</x:f>
        <x:v>3300</x:v>
      </x:c>
      <x:c r="AA135" s="22" t="n">
        <x:f>IF($A135="","",G135/Z135)</x:f>
        <x:v>0.9606060606060606</x:v>
      </x:c>
      <x:c r="AB135" s="25" t="n">
        <x:f>IF($A135="","",IF(ISNUMBER(Y135),Y135,Settings!$B$10))</x:f>
        <x:v>0.03</x:v>
      </x:c>
      <x:c r="AC135" s="23" t="n">
        <x:f>IF($A135="","",G135*(1+AB135))</x:f>
        <x:v>3265.1</x:v>
      </x:c>
      <x:c r="AD135" s="23" t="n">
        <x:f>IF($A135="","",G135*F135*12)</x:f>
        <x:v>22824</x:v>
      </x:c>
      <x:c r="AE135" s="23" t="n">
        <x:f>IF($A135="","",G135*F135*J135)</x:f>
        <x:v>1902</x:v>
      </x:c>
      <x:c r="AF135" s="24" t="n">
        <x:f>IF($A135="","",L135*F135*K135*Settings!$B$13)</x:f>
        <x:v>1749.8400000000001</x:v>
      </x:c>
      <x:c r="AG135" s="23" t="n">
        <x:f>IF($A135="","",AD135*H135*I135)</x:f>
        <x:v>912.96</x:v>
      </x:c>
      <x:c r="AH135" s="24" t="n">
        <x:f>IF($A135="","",SUM(AD135:AE135,AG135)*SUM(Settings!$B$11:$B$12))</x:f>
        <x:v>6409.74</x:v>
      </x:c>
      <x:c r="AI135" s="24" t="n">
        <x:f>IF($A135="","",M135*Settings!$B$16)</x:f>
        <x:v>1140.48</x:v>
      </x:c>
      <x:c r="AJ135" s="24" t="n">
        <x:f>IF($A135="","",M135*Settings!$B$15)</x:f>
        <x:v>139.52</x:v>
      </x:c>
      <x:c r="AK135" s="24" t="n">
        <x:f>IF($A135="","",O135*Settings!$B$18)</x:f>
        <x:v>599.4</x:v>
      </x:c>
      <x:c r="AL135" s="24" t="n">
        <x:f>IF($A135="","",P135*Settings!$B$20+Q135*Settings!$B$21+R135*Settings!$B$22+S135*Settings!$B$23)</x:f>
        <x:v>2184.76</x:v>
      </x:c>
      <x:c r="AM135" s="24" t="n">
        <x:f>IF($A135="","",T135*Settings!$B$24)</x:f>
        <x:v>40</x:v>
      </x:c>
      <x:c r="AN135" s="23" t="n">
        <x:f>IF($A135="","",SUM(AI135,N135,AK135:AM135,U135))</x:f>
        <x:v>4114.64</x:v>
      </x:c>
      <x:c r="AO135" s="23" t="n">
        <x:f>IF($A135="","",SUM(AD135:AI135,N135,AK135:AM135,U135))</x:f>
        <x:v>37913.18000000001</x:v>
      </x:c>
      <x:c r="AP135" s="24" t="n">
        <x:f>IF($A135="","",G135*F135*AB135*((13-Settings!$B$9)*(1+H135*I135)+J135)*(1+SUM(Settings!$B$11:$B$12)))</x:f>
        <x:v>738.9269999999999</x:v>
      </x:c>
      <x:c r="AQ135" s="23" t="n">
        <x:f>IF($A135="","",SUM(AO135:AP135))</x:f>
        <x:v>38652.10700000001</x:v>
      </x:c>
      <x:c r="AR135" s="23" t="n">
        <x:f>IF($A135="","",AQ135-X135)</x:f>
        <x:v>-547.8929999999891</x:v>
      </x:c>
      <x:c r="AS135" s="22" t="n">
        <x:f>IF($A135="","",IF(W135=0,"n.a.",V135/W135))</x:f>
        <x:v>0.043478260869565216</x:v>
      </x:c>
      <x:c r="AT135" s="26" t="str">
        <x:f>IF($A135="",IF(COUNTA(B135:Y135)&gt;0,"Missing ID",""),IF(COUNTIFS($A$9:$A$508,A135)&gt;1,"Duplicate ID",IF(OR(B135="",C135="",D135="",E135="",COUNT(F135:X135)&lt;&gt;19),"Missing / text input",IF(OR(COUNTIFS(Settings!$A$59:$A$64,B135)&lt;&gt;1,COUNTIFS(Settings!$A$29:$A$33,E135)&lt;&gt;1),"Unknown department / grade",IF(OR(F135&lt;=0,F135&gt;1,G135&lt;=0,L135&lt;=0,H135&lt;0,I135&lt;0,J135&lt;0,K135&lt;0,K135&gt;1,MIN(M135:X135)&lt;0,W135=0,V135&gt;W135,M135&gt;W135-V135,P135&gt;8,Q135&gt;4,R135&gt;12,S135&gt;12,T135&gt;1,AB135&lt;0),"Review quantity / rate",IF(OR(N135&gt;Settings!$C$17,AK135&gt;Settings!$C$19),"Review benefit ceiling","OK"))))))</x:f>
        <x:v>OK</x:v>
      </x:c>
    </x:row>
    <x:row r="136" ht="23" customHeight="1">
      <x:c r="A136" s="8" t="str">
        <x:v>BE-0128</x:v>
      </x:c>
      <x:c r="B136" s="8" t="str">
        <x:v>People &amp; Culture</x:v>
      </x:c>
      <x:c r="C136" s="8" t="str">
        <x:v>Antwerp</x:v>
      </x:c>
      <x:c r="D136" s="8" t="str">
        <x:v>HR specialist</x:v>
      </x:c>
      <x:c r="E136" s="8" t="str">
        <x:v>G2</x:v>
      </x:c>
      <x:c r="F136" s="20" t="n">
        <x:v>1</x:v>
      </x:c>
      <x:c r="G136" s="12" t="n">
        <x:v>3250</x:v>
      </x:c>
      <x:c r="H136" s="21" t="n">
        <x:v>0.05</x:v>
      </x:c>
      <x:c r="I136" s="20" t="n">
        <x:v>1</x:v>
      </x:c>
      <x:c r="J136" s="20" t="n">
        <x:v>1</x:v>
      </x:c>
      <x:c r="K136" s="20" t="n">
        <x:v>1</x:v>
      </x:c>
      <x:c r="L136" s="12" t="n">
        <x:v>3250</x:v>
      </x:c>
      <x:c r="M136" s="8" t="n">
        <x:v>213</x:v>
      </x:c>
      <x:c r="N136" s="12" t="n">
        <x:v>250</x:v>
      </x:c>
      <x:c r="O136" s="8" t="n">
        <x:v>0</x:v>
      </x:c>
      <x:c r="P136" s="8" t="n">
        <x:v>8</x:v>
      </x:c>
      <x:c r="Q136" s="8" t="n">
        <x:v>4</x:v>
      </x:c>
      <x:c r="R136" s="8" t="n">
        <x:v>12</x:v>
      </x:c>
      <x:c r="S136" s="8" t="n">
        <x:v>0</x:v>
      </x:c>
      <x:c r="T136" s="8" t="n">
        <x:v>1</x:v>
      </x:c>
      <x:c r="U136" s="12" t="n">
        <x:v>0</x:v>
      </x:c>
      <x:c r="V136" s="8" t="n">
        <x:v>7</x:v>
      </x:c>
      <x:c r="W136" s="8" t="n">
        <x:v>230</x:v>
      </x:c>
      <x:c r="X136" s="12" t="n">
        <x:v>64800</x:v>
      </x:c>
      <x:c r="Y136" s="21"/>
      <x:c r="Z136" s="24" t="n">
        <x:f>IF($A136="","",INDEX(Settings!$C$29:$C$33,MATCH(E136,Settings!$A$29:$A$33,0)))</x:f>
        <x:v>3300</x:v>
      </x:c>
      <x:c r="AA136" s="22" t="n">
        <x:f>IF($A136="","",G136/Z136)</x:f>
        <x:v>0.9848484848484849</x:v>
      </x:c>
      <x:c r="AB136" s="25" t="n">
        <x:f>IF($A136="","",IF(ISNUMBER(Y136),Y136,Settings!$B$10))</x:f>
        <x:v>0.03</x:v>
      </x:c>
      <x:c r="AC136" s="23" t="n">
        <x:f>IF($A136="","",G136*(1+AB136))</x:f>
        <x:v>3347.5</x:v>
      </x:c>
      <x:c r="AD136" s="23" t="n">
        <x:f>IF($A136="","",G136*F136*12)</x:f>
        <x:v>39000</x:v>
      </x:c>
      <x:c r="AE136" s="23" t="n">
        <x:f>IF($A136="","",G136*F136*J136)</x:f>
        <x:v>3250</x:v>
      </x:c>
      <x:c r="AF136" s="24" t="n">
        <x:f>IF($A136="","",L136*F136*K136*Settings!$B$13)</x:f>
        <x:v>2990</x:v>
      </x:c>
      <x:c r="AG136" s="23" t="n">
        <x:f>IF($A136="","",AD136*H136*I136)</x:f>
        <x:v>1950</x:v>
      </x:c>
      <x:c r="AH136" s="24" t="n">
        <x:f>IF($A136="","",SUM(AD136:AE136,AG136)*SUM(Settings!$B$11:$B$12))</x:f>
        <x:v>11050</x:v>
      </x:c>
      <x:c r="AI136" s="24" t="n">
        <x:f>IF($A136="","",M136*Settings!$B$16)</x:f>
        <x:v>1897.83</x:v>
      </x:c>
      <x:c r="AJ136" s="24" t="n">
        <x:f>IF($A136="","",M136*Settings!$B$15)</x:f>
        <x:v>232.17000000000002</x:v>
      </x:c>
      <x:c r="AK136" s="24" t="n">
        <x:f>IF($A136="","",O136*Settings!$B$18)</x:f>
        <x:v>0</x:v>
      </x:c>
      <x:c r="AL136" s="24" t="n">
        <x:f>IF($A136="","",P136*Settings!$B$20+Q136*Settings!$B$21+R136*Settings!$B$22+S136*Settings!$B$23)</x:f>
        <x:v>2184.76</x:v>
      </x:c>
      <x:c r="AM136" s="24" t="n">
        <x:f>IF($A136="","",T136*Settings!$B$24)</x:f>
        <x:v>40</x:v>
      </x:c>
      <x:c r="AN136" s="23" t="n">
        <x:f>IF($A136="","",SUM(AI136,N136,AK136:AM136,U136))</x:f>
        <x:v>4372.59</x:v>
      </x:c>
      <x:c r="AO136" s="23" t="n">
        <x:f>IF($A136="","",SUM(AD136:AI136,N136,AK136:AM136,U136))</x:f>
        <x:v>62612.590000000004</x:v>
      </x:c>
      <x:c r="AP136" s="24" t="n">
        <x:f>IF($A136="","",G136*F136*AB136*((13-Settings!$B$9)*(1+H136*I136)+J136)*(1+SUM(Settings!$B$11:$B$12)))</x:f>
        <x:v>1273.5937500000002</x:v>
      </x:c>
      <x:c r="AQ136" s="23" t="n">
        <x:f>IF($A136="","",SUM(AO136:AP136))</x:f>
        <x:v>63886.183750000004</x:v>
      </x:c>
      <x:c r="AR136" s="23" t="n">
        <x:f>IF($A136="","",AQ136-X136)</x:f>
        <x:v>-913.8162499999962</x:v>
      </x:c>
      <x:c r="AS136" s="22" t="n">
        <x:f>IF($A136="","",IF(W136=0,"n.a.",V136/W136))</x:f>
        <x:v>0.030434782608695653</x:v>
      </x:c>
      <x:c r="AT136" s="26" t="str">
        <x:f>IF($A136="",IF(COUNTA(B136:Y136)&gt;0,"Missing ID",""),IF(COUNTIFS($A$9:$A$508,A136)&gt;1,"Duplicate ID",IF(OR(B136="",C136="",D136="",E136="",COUNT(F136:X136)&lt;&gt;19),"Missing / text input",IF(OR(COUNTIFS(Settings!$A$59:$A$64,B136)&lt;&gt;1,COUNTIFS(Settings!$A$29:$A$33,E136)&lt;&gt;1),"Unknown department / grade",IF(OR(F136&lt;=0,F136&gt;1,G136&lt;=0,L136&lt;=0,H136&lt;0,I136&lt;0,J136&lt;0,K136&lt;0,K136&gt;1,MIN(M136:X136)&lt;0,W136=0,V136&gt;W136,M136&gt;W136-V136,P136&gt;8,Q136&gt;4,R136&gt;12,S136&gt;12,T136&gt;1,AB136&lt;0),"Review quantity / rate",IF(OR(N136&gt;Settings!$C$17,AK136&gt;Settings!$C$19),"Review benefit ceiling","OK"))))))</x:f>
        <x:v>OK</x:v>
      </x:c>
    </x:row>
    <x:row r="137" ht="23" customHeight="1">
      <x:c r="A137" s="8" t="str">
        <x:v>BE-0129</x:v>
      </x:c>
      <x:c r="B137" s="8" t="str">
        <x:v>Technology</x:v>
      </x:c>
      <x:c r="C137" s="8" t="str">
        <x:v>Ghent</x:v>
      </x:c>
      <x:c r="D137" s="8" t="str">
        <x:v>Developer</x:v>
      </x:c>
      <x:c r="E137" s="8" t="str">
        <x:v>G2</x:v>
      </x:c>
      <x:c r="F137" s="20" t="n">
        <x:v>1</x:v>
      </x:c>
      <x:c r="G137" s="12" t="n">
        <x:v>3330</x:v>
      </x:c>
      <x:c r="H137" s="21" t="n">
        <x:v>0.05</x:v>
      </x:c>
      <x:c r="I137" s="20" t="n">
        <x:v>1.1</x:v>
      </x:c>
      <x:c r="J137" s="20" t="n">
        <x:v>1</x:v>
      </x:c>
      <x:c r="K137" s="20" t="n">
        <x:v>1</x:v>
      </x:c>
      <x:c r="L137" s="12" t="n">
        <x:v>3330</x:v>
      </x:c>
      <x:c r="M137" s="8" t="n">
        <x:v>212</x:v>
      </x:c>
      <x:c r="N137" s="12" t="n">
        <x:v>250</x:v>
      </x:c>
      <x:c r="O137" s="8" t="n">
        <x:v>0</x:v>
      </x:c>
      <x:c r="P137" s="8" t="n">
        <x:v>0</x:v>
      </x:c>
      <x:c r="Q137" s="8" t="n">
        <x:v>0</x:v>
      </x:c>
      <x:c r="R137" s="8" t="n">
        <x:v>0</x:v>
      </x:c>
      <x:c r="S137" s="8" t="n">
        <x:v>0</x:v>
      </x:c>
      <x:c r="T137" s="8" t="n">
        <x:v>1</x:v>
      </x:c>
      <x:c r="U137" s="12" t="n">
        <x:v>0</x:v>
      </x:c>
      <x:c r="V137" s="8" t="n">
        <x:v>8</x:v>
      </x:c>
      <x:c r="W137" s="8" t="n">
        <x:v>230</x:v>
      </x:c>
      <x:c r="X137" s="12" t="n">
        <x:v>64400</x:v>
      </x:c>
      <x:c r="Y137" s="21"/>
      <x:c r="Z137" s="24" t="n">
        <x:f>IF($A137="","",INDEX(Settings!$C$29:$C$33,MATCH(E137,Settings!$A$29:$A$33,0)))</x:f>
        <x:v>3300</x:v>
      </x:c>
      <x:c r="AA137" s="22" t="n">
        <x:f>IF($A137="","",G137/Z137)</x:f>
        <x:v>1.009090909090909</x:v>
      </x:c>
      <x:c r="AB137" s="25" t="n">
        <x:f>IF($A137="","",IF(ISNUMBER(Y137),Y137,Settings!$B$10))</x:f>
        <x:v>0.03</x:v>
      </x:c>
      <x:c r="AC137" s="23" t="n">
        <x:f>IF($A137="","",G137*(1+AB137))</x:f>
        <x:v>3429.9</x:v>
      </x:c>
      <x:c r="AD137" s="23" t="n">
        <x:f>IF($A137="","",G137*F137*12)</x:f>
        <x:v>39960</x:v>
      </x:c>
      <x:c r="AE137" s="23" t="n">
        <x:f>IF($A137="","",G137*F137*J137)</x:f>
        <x:v>3330</x:v>
      </x:c>
      <x:c r="AF137" s="24" t="n">
        <x:f>IF($A137="","",L137*F137*K137*Settings!$B$13)</x:f>
        <x:v>3063.6</x:v>
      </x:c>
      <x:c r="AG137" s="23" t="n">
        <x:f>IF($A137="","",AD137*H137*I137)</x:f>
        <x:v>2197.8</x:v>
      </x:c>
      <x:c r="AH137" s="24" t="n">
        <x:f>IF($A137="","",SUM(AD137:AE137,AG137)*SUM(Settings!$B$11:$B$12))</x:f>
        <x:v>11371.95</x:v>
      </x:c>
      <x:c r="AI137" s="24" t="n">
        <x:f>IF($A137="","",M137*Settings!$B$16)</x:f>
        <x:v>1888.92</x:v>
      </x:c>
      <x:c r="AJ137" s="24" t="n">
        <x:f>IF($A137="","",M137*Settings!$B$15)</x:f>
        <x:v>231.08</x:v>
      </x:c>
      <x:c r="AK137" s="24" t="n">
        <x:f>IF($A137="","",O137*Settings!$B$18)</x:f>
        <x:v>0</x:v>
      </x:c>
      <x:c r="AL137" s="24" t="n">
        <x:f>IF($A137="","",P137*Settings!$B$20+Q137*Settings!$B$21+R137*Settings!$B$22+S137*Settings!$B$23)</x:f>
        <x:v>0</x:v>
      </x:c>
      <x:c r="AM137" s="24" t="n">
        <x:f>IF($A137="","",T137*Settings!$B$24)</x:f>
        <x:v>40</x:v>
      </x:c>
      <x:c r="AN137" s="23" t="n">
        <x:f>IF($A137="","",SUM(AI137,N137,AK137:AM137,U137))</x:f>
        <x:v>2178.92</x:v>
      </x:c>
      <x:c r="AO137" s="23" t="n">
        <x:f>IF($A137="","",SUM(AD137:AI137,N137,AK137:AM137,U137))</x:f>
        <x:v>62102.270000000004</x:v>
      </x:c>
      <x:c r="AP137" s="24" t="n">
        <x:f>IF($A137="","",G137*F137*AB137*((13-Settings!$B$9)*(1+H137*I137)+J137)*(1+SUM(Settings!$B$11:$B$12)))</x:f>
        <x:v>1310.563125</x:v>
      </x:c>
      <x:c r="AQ137" s="23" t="n">
        <x:f>IF($A137="","",SUM(AO137:AP137))</x:f>
        <x:v>63412.833125000005</x:v>
      </x:c>
      <x:c r="AR137" s="23" t="n">
        <x:f>IF($A137="","",AQ137-X137)</x:f>
        <x:v>-987.1668749999953</x:v>
      </x:c>
      <x:c r="AS137" s="22" t="n">
        <x:f>IF($A137="","",IF(W137=0,"n.a.",V137/W137))</x:f>
        <x:v>0.034782608695652174</x:v>
      </x:c>
      <x:c r="AT137" s="26" t="str">
        <x:f>IF($A137="",IF(COUNTA(B137:Y137)&gt;0,"Missing ID",""),IF(COUNTIFS($A$9:$A$508,A137)&gt;1,"Duplicate ID",IF(OR(B137="",C137="",D137="",E137="",COUNT(F137:X137)&lt;&gt;19),"Missing / text input",IF(OR(COUNTIFS(Settings!$A$59:$A$64,B137)&lt;&gt;1,COUNTIFS(Settings!$A$29:$A$33,E137)&lt;&gt;1),"Unknown department / grade",IF(OR(F137&lt;=0,F137&gt;1,G137&lt;=0,L137&lt;=0,H137&lt;0,I137&lt;0,J137&lt;0,K137&lt;0,K137&gt;1,MIN(M137:X137)&lt;0,W137=0,V137&gt;W137,M137&gt;W137-V137,P137&gt;8,Q137&gt;4,R137&gt;12,S137&gt;12,T137&gt;1,AB137&lt;0),"Review quantity / rate",IF(OR(N137&gt;Settings!$C$17,AK137&gt;Settings!$C$19),"Review benefit ceiling","OK"))))))</x:f>
        <x:v>OK</x:v>
      </x:c>
    </x:row>
    <x:row r="138" ht="23" customHeight="1">
      <x:c r="A138" s="8" t="str">
        <x:v>BE-0130</x:v>
      </x:c>
      <x:c r="B138" s="8" t="str">
        <x:v>Sales</x:v>
      </x:c>
      <x:c r="C138" s="8" t="str">
        <x:v>Brussels</x:v>
      </x:c>
      <x:c r="D138" s="8" t="str">
        <x:v>Account manager</x:v>
      </x:c>
      <x:c r="E138" s="8" t="str">
        <x:v>G2</x:v>
      </x:c>
      <x:c r="F138" s="20" t="n">
        <x:v>1</x:v>
      </x:c>
      <x:c r="G138" s="12" t="n">
        <x:v>3500</x:v>
      </x:c>
      <x:c r="H138" s="21" t="n">
        <x:v>0.05</x:v>
      </x:c>
      <x:c r="I138" s="20" t="n">
        <x:v>0.8</x:v>
      </x:c>
      <x:c r="J138" s="20" t="n">
        <x:v>1</x:v>
      </x:c>
      <x:c r="K138" s="20" t="n">
        <x:v>1</x:v>
      </x:c>
      <x:c r="L138" s="12" t="n">
        <x:v>3500</x:v>
      </x:c>
      <x:c r="M138" s="8" t="n">
        <x:v>211</x:v>
      </x:c>
      <x:c r="N138" s="12" t="n">
        <x:v>250</x:v>
      </x:c>
      <x:c r="O138" s="8" t="n">
        <x:v>1950</x:v>
      </x:c>
      <x:c r="P138" s="8" t="n">
        <x:v>8</x:v>
      </x:c>
      <x:c r="Q138" s="8" t="n">
        <x:v>4</x:v>
      </x:c>
      <x:c r="R138" s="8" t="n">
        <x:v>12</x:v>
      </x:c>
      <x:c r="S138" s="8" t="n">
        <x:v>0</x:v>
      </x:c>
      <x:c r="T138" s="8" t="n">
        <x:v>1</x:v>
      </x:c>
      <x:c r="U138" s="12" t="n">
        <x:v>0</x:v>
      </x:c>
      <x:c r="V138" s="8" t="n">
        <x:v>9</x:v>
      </x:c>
      <x:c r="W138" s="8" t="n">
        <x:v>230</x:v>
      </x:c>
      <x:c r="X138" s="12" t="n">
        <x:v>69700</x:v>
      </x:c>
      <x:c r="Y138" s="21"/>
      <x:c r="Z138" s="24" t="n">
        <x:f>IF($A138="","",INDEX(Settings!$C$29:$C$33,MATCH(E138,Settings!$A$29:$A$33,0)))</x:f>
        <x:v>3300</x:v>
      </x:c>
      <x:c r="AA138" s="22" t="n">
        <x:f>IF($A138="","",G138/Z138)</x:f>
        <x:v>1.0606060606060606</x:v>
      </x:c>
      <x:c r="AB138" s="25" t="n">
        <x:f>IF($A138="","",IF(ISNUMBER(Y138),Y138,Settings!$B$10))</x:f>
        <x:v>0.03</x:v>
      </x:c>
      <x:c r="AC138" s="23" t="n">
        <x:f>IF($A138="","",G138*(1+AB138))</x:f>
        <x:v>3605</x:v>
      </x:c>
      <x:c r="AD138" s="23" t="n">
        <x:f>IF($A138="","",G138*F138*12)</x:f>
        <x:v>42000</x:v>
      </x:c>
      <x:c r="AE138" s="23" t="n">
        <x:f>IF($A138="","",G138*F138*J138)</x:f>
        <x:v>3500</x:v>
      </x:c>
      <x:c r="AF138" s="24" t="n">
        <x:f>IF($A138="","",L138*F138*K138*Settings!$B$13)</x:f>
        <x:v>3220</x:v>
      </x:c>
      <x:c r="AG138" s="23" t="n">
        <x:f>IF($A138="","",AD138*H138*I138)</x:f>
        <x:v>1680</x:v>
      </x:c>
      <x:c r="AH138" s="24" t="n">
        <x:f>IF($A138="","",SUM(AD138:AE138,AG138)*SUM(Settings!$B$11:$B$12))</x:f>
        <x:v>11795</x:v>
      </x:c>
      <x:c r="AI138" s="24" t="n">
        <x:f>IF($A138="","",M138*Settings!$B$16)</x:f>
        <x:v>1880.01</x:v>
      </x:c>
      <x:c r="AJ138" s="24" t="n">
        <x:f>IF($A138="","",M138*Settings!$B$15)</x:f>
        <x:v>229.99</x:v>
      </x:c>
      <x:c r="AK138" s="24" t="n">
        <x:f>IF($A138="","",O138*Settings!$B$18)</x:f>
        <x:v>721.5</x:v>
      </x:c>
      <x:c r="AL138" s="24" t="n">
        <x:f>IF($A138="","",P138*Settings!$B$20+Q138*Settings!$B$21+R138*Settings!$B$22+S138*Settings!$B$23)</x:f>
        <x:v>2184.76</x:v>
      </x:c>
      <x:c r="AM138" s="24" t="n">
        <x:f>IF($A138="","",T138*Settings!$B$24)</x:f>
        <x:v>40</x:v>
      </x:c>
      <x:c r="AN138" s="23" t="n">
        <x:f>IF($A138="","",SUM(AI138,N138,AK138:AM138,U138))</x:f>
        <x:v>5076.27</x:v>
      </x:c>
      <x:c r="AO138" s="23" t="n">
        <x:f>IF($A138="","",SUM(AD138:AI138,N138,AK138:AM138,U138))</x:f>
        <x:v>67271.27</x:v>
      </x:c>
      <x:c r="AP138" s="24" t="n">
        <x:f>IF($A138="","",G138*F138*AB138*((13-Settings!$B$9)*(1+H138*I138)+J138)*(1+SUM(Settings!$B$11:$B$12)))</x:f>
        <x:v>1359.75</x:v>
      </x:c>
      <x:c r="AQ138" s="23" t="n">
        <x:f>IF($A138="","",SUM(AO138:AP138))</x:f>
        <x:v>68631.02</x:v>
      </x:c>
      <x:c r="AR138" s="23" t="n">
        <x:f>IF($A138="","",AQ138-X138)</x:f>
        <x:v>-1068.979999999996</x:v>
      </x:c>
      <x:c r="AS138" s="22" t="n">
        <x:f>IF($A138="","",IF(W138=0,"n.a.",V138/W138))</x:f>
        <x:v>0.0391304347826087</x:v>
      </x:c>
      <x:c r="AT138" s="26" t="str">
        <x:f>IF($A138="",IF(COUNTA(B138:Y138)&gt;0,"Missing ID",""),IF(COUNTIFS($A$9:$A$508,A138)&gt;1,"Duplicate ID",IF(OR(B138="",C138="",D138="",E138="",COUNT(F138:X138)&lt;&gt;19),"Missing / text input",IF(OR(COUNTIFS(Settings!$A$59:$A$64,B138)&lt;&gt;1,COUNTIFS(Settings!$A$29:$A$33,E138)&lt;&gt;1),"Unknown department / grade",IF(OR(F138&lt;=0,F138&gt;1,G138&lt;=0,L138&lt;=0,H138&lt;0,I138&lt;0,J138&lt;0,K138&lt;0,K138&gt;1,MIN(M138:X138)&lt;0,W138=0,V138&gt;W138,M138&gt;W138-V138,P138&gt;8,Q138&gt;4,R138&gt;12,S138&gt;12,T138&gt;1,AB138&lt;0),"Review quantity / rate",IF(OR(N138&gt;Settings!$C$17,AK138&gt;Settings!$C$19),"Review benefit ceiling","OK"))))))</x:f>
        <x:v>OK</x:v>
      </x:c>
    </x:row>
    <x:row r="139" ht="23" customHeight="1">
      <x:c r="A139" s="8" t="str">
        <x:v>BE-0131</x:v>
      </x:c>
      <x:c r="B139" s="8" t="str">
        <x:v>Customer Operations</x:v>
      </x:c>
      <x:c r="C139" s="8" t="str">
        <x:v>Antwerp</x:v>
      </x:c>
      <x:c r="D139" s="8" t="str">
        <x:v>Service specialist</x:v>
      </x:c>
      <x:c r="E139" s="8" t="str">
        <x:v>G2</x:v>
      </x:c>
      <x:c r="F139" s="20" t="n">
        <x:v>1</x:v>
      </x:c>
      <x:c r="G139" s="12" t="n">
        <x:v>3130</x:v>
      </x:c>
      <x:c r="H139" s="21" t="n">
        <x:v>0.05</x:v>
      </x:c>
      <x:c r="I139" s="20" t="n">
        <x:v>1</x:v>
      </x:c>
      <x:c r="J139" s="20" t="n">
        <x:v>1</x:v>
      </x:c>
      <x:c r="K139" s="20" t="n">
        <x:v>1</x:v>
      </x:c>
      <x:c r="L139" s="12" t="n">
        <x:v>3130</x:v>
      </x:c>
      <x:c r="M139" s="8" t="n">
        <x:v>210</x:v>
      </x:c>
      <x:c r="N139" s="12" t="n">
        <x:v>250</x:v>
      </x:c>
      <x:c r="O139" s="8" t="n">
        <x:v>0</x:v>
      </x:c>
      <x:c r="P139" s="8" t="n">
        <x:v>8</x:v>
      </x:c>
      <x:c r="Q139" s="8" t="n">
        <x:v>4</x:v>
      </x:c>
      <x:c r="R139" s="8" t="n">
        <x:v>12</x:v>
      </x:c>
      <x:c r="S139" s="8" t="n">
        <x:v>12</x:v>
      </x:c>
      <x:c r="T139" s="8" t="n">
        <x:v>1</x:v>
      </x:c>
      <x:c r="U139" s="12" t="n">
        <x:v>0</x:v>
      </x:c>
      <x:c r="V139" s="8" t="n">
        <x:v>10</x:v>
      </x:c>
      <x:c r="W139" s="8" t="n">
        <x:v>230</x:v>
      </x:c>
      <x:c r="X139" s="12" t="n">
        <x:v>61000</x:v>
      </x:c>
      <x:c r="Y139" s="21"/>
      <x:c r="Z139" s="24" t="n">
        <x:f>IF($A139="","",INDEX(Settings!$C$29:$C$33,MATCH(E139,Settings!$A$29:$A$33,0)))</x:f>
        <x:v>3300</x:v>
      </x:c>
      <x:c r="AA139" s="22" t="n">
        <x:f>IF($A139="","",G139/Z139)</x:f>
        <x:v>0.9484848484848485</x:v>
      </x:c>
      <x:c r="AB139" s="25" t="n">
        <x:f>IF($A139="","",IF(ISNUMBER(Y139),Y139,Settings!$B$10))</x:f>
        <x:v>0.03</x:v>
      </x:c>
      <x:c r="AC139" s="23" t="n">
        <x:f>IF($A139="","",G139*(1+AB139))</x:f>
        <x:v>3223.9</x:v>
      </x:c>
      <x:c r="AD139" s="23" t="n">
        <x:f>IF($A139="","",G139*F139*12)</x:f>
        <x:v>37560</x:v>
      </x:c>
      <x:c r="AE139" s="23" t="n">
        <x:f>IF($A139="","",G139*F139*J139)</x:f>
        <x:v>3130</x:v>
      </x:c>
      <x:c r="AF139" s="24" t="n">
        <x:f>IF($A139="","",L139*F139*K139*Settings!$B$13)</x:f>
        <x:v>2879.6</x:v>
      </x:c>
      <x:c r="AG139" s="23" t="n">
        <x:f>IF($A139="","",AD139*H139*I139)</x:f>
        <x:v>1878</x:v>
      </x:c>
      <x:c r="AH139" s="24" t="n">
        <x:f>IF($A139="","",SUM(AD139:AE139,AG139)*SUM(Settings!$B$11:$B$12))</x:f>
        <x:v>10642</x:v>
      </x:c>
      <x:c r="AI139" s="24" t="n">
        <x:f>IF($A139="","",M139*Settings!$B$16)</x:f>
        <x:v>1871.1000000000001</x:v>
      </x:c>
      <x:c r="AJ139" s="24" t="n">
        <x:f>IF($A139="","",M139*Settings!$B$15)</x:f>
        <x:v>228.9</x:v>
      </x:c>
      <x:c r="AK139" s="24" t="n">
        <x:f>IF($A139="","",O139*Settings!$B$18)</x:f>
        <x:v>0</x:v>
      </x:c>
      <x:c r="AL139" s="24" t="n">
        <x:f>IF($A139="","",P139*Settings!$B$20+Q139*Settings!$B$21+R139*Settings!$B$22+S139*Settings!$B$23)</x:f>
        <x:v>2424.76</x:v>
      </x:c>
      <x:c r="AM139" s="24" t="n">
        <x:f>IF($A139="","",T139*Settings!$B$24)</x:f>
        <x:v>40</x:v>
      </x:c>
      <x:c r="AN139" s="23" t="n">
        <x:f>IF($A139="","",SUM(AI139,N139,AK139:AM139,U139))</x:f>
        <x:v>4585.860000000001</x:v>
      </x:c>
      <x:c r="AO139" s="23" t="n">
        <x:f>IF($A139="","",SUM(AD139:AI139,N139,AK139:AM139,U139))</x:f>
        <x:v>60675.46</x:v>
      </x:c>
      <x:c r="AP139" s="24" t="n">
        <x:f>IF($A139="","",G139*F139*AB139*((13-Settings!$B$9)*(1+H139*I139)+J139)*(1+SUM(Settings!$B$11:$B$12)))</x:f>
        <x:v>1226.56875</x:v>
      </x:c>
      <x:c r="AQ139" s="23" t="n">
        <x:f>IF($A139="","",SUM(AO139:AP139))</x:f>
        <x:v>61902.02875</x:v>
      </x:c>
      <x:c r="AR139" s="23" t="n">
        <x:f>IF($A139="","",AQ139-X139)</x:f>
        <x:v>902.0287499999977</x:v>
      </x:c>
      <x:c r="AS139" s="22" t="n">
        <x:f>IF($A139="","",IF(W139=0,"n.a.",V139/W139))</x:f>
        <x:v>0.043478260869565216</x:v>
      </x:c>
      <x:c r="AT139" s="26" t="str">
        <x:f>IF($A139="",IF(COUNTA(B139:Y139)&gt;0,"Missing ID",""),IF(COUNTIFS($A$9:$A$508,A139)&gt;1,"Duplicate ID",IF(OR(B139="",C139="",D139="",E139="",COUNT(F139:X139)&lt;&gt;19),"Missing / text input",IF(OR(COUNTIFS(Settings!$A$59:$A$64,B139)&lt;&gt;1,COUNTIFS(Settings!$A$29:$A$33,E139)&lt;&gt;1),"Unknown department / grade",IF(OR(F139&lt;=0,F139&gt;1,G139&lt;=0,L139&lt;=0,H139&lt;0,I139&lt;0,J139&lt;0,K139&lt;0,K139&gt;1,MIN(M139:X139)&lt;0,W139=0,V139&gt;W139,M139&gt;W139-V139,P139&gt;8,Q139&gt;4,R139&gt;12,S139&gt;12,T139&gt;1,AB139&lt;0),"Review quantity / rate",IF(OR(N139&gt;Settings!$C$17,AK139&gt;Settings!$C$19),"Review benefit ceiling","OK"))))))</x:f>
        <x:v>OK</x:v>
      </x:c>
    </x:row>
    <x:row r="140" ht="23" customHeight="1">
      <x:c r="A140" s="8" t="str">
        <x:v>BE-0132</x:v>
      </x:c>
      <x:c r="B140" s="8" t="str">
        <x:v>Business Support</x:v>
      </x:c>
      <x:c r="C140" s="8" t="str">
        <x:v>Ghent</x:v>
      </x:c>
      <x:c r="D140" s="8" t="str">
        <x:v>Business specialist</x:v>
      </x:c>
      <x:c r="E140" s="8" t="str">
        <x:v>G2</x:v>
      </x:c>
      <x:c r="F140" s="20" t="n">
        <x:v>1</x:v>
      </x:c>
      <x:c r="G140" s="12" t="n">
        <x:v>3310</x:v>
      </x:c>
      <x:c r="H140" s="21" t="n">
        <x:v>0.05</x:v>
      </x:c>
      <x:c r="I140" s="20" t="n">
        <x:v>1.1</x:v>
      </x:c>
      <x:c r="J140" s="20" t="n">
        <x:v>1</x:v>
      </x:c>
      <x:c r="K140" s="20" t="n">
        <x:v>1</x:v>
      </x:c>
      <x:c r="L140" s="12" t="n">
        <x:v>3310</x:v>
      </x:c>
      <x:c r="M140" s="8" t="n">
        <x:v>209</x:v>
      </x:c>
      <x:c r="N140" s="12" t="n">
        <x:v>250</x:v>
      </x:c>
      <x:c r="O140" s="8" t="n">
        <x:v>0</x:v>
      </x:c>
      <x:c r="P140" s="8" t="n">
        <x:v>8</x:v>
      </x:c>
      <x:c r="Q140" s="8" t="n">
        <x:v>4</x:v>
      </x:c>
      <x:c r="R140" s="8" t="n">
        <x:v>12</x:v>
      </x:c>
      <x:c r="S140" s="8" t="n">
        <x:v>0</x:v>
      </x:c>
      <x:c r="T140" s="8" t="n">
        <x:v>1</x:v>
      </x:c>
      <x:c r="U140" s="12" t="n">
        <x:v>0</x:v>
      </x:c>
      <x:c r="V140" s="8" t="n">
        <x:v>11</x:v>
      </x:c>
      <x:c r="W140" s="8" t="n">
        <x:v>230</x:v>
      </x:c>
      <x:c r="X140" s="12" t="n">
        <x:v>66200</x:v>
      </x:c>
      <x:c r="Y140" s="21"/>
      <x:c r="Z140" s="24" t="n">
        <x:f>IF($A140="","",INDEX(Settings!$C$29:$C$33,MATCH(E140,Settings!$A$29:$A$33,0)))</x:f>
        <x:v>3300</x:v>
      </x:c>
      <x:c r="AA140" s="22" t="n">
        <x:f>IF($A140="","",G140/Z140)</x:f>
        <x:v>1.003030303030303</x:v>
      </x:c>
      <x:c r="AB140" s="25" t="n">
        <x:f>IF($A140="","",IF(ISNUMBER(Y140),Y140,Settings!$B$10))</x:f>
        <x:v>0.03</x:v>
      </x:c>
      <x:c r="AC140" s="23" t="n">
        <x:f>IF($A140="","",G140*(1+AB140))</x:f>
        <x:v>3409.3</x:v>
      </x:c>
      <x:c r="AD140" s="23" t="n">
        <x:f>IF($A140="","",G140*F140*12)</x:f>
        <x:v>39720</x:v>
      </x:c>
      <x:c r="AE140" s="23" t="n">
        <x:f>IF($A140="","",G140*F140*J140)</x:f>
        <x:v>3310</x:v>
      </x:c>
      <x:c r="AF140" s="24" t="n">
        <x:f>IF($A140="","",L140*F140*K140*Settings!$B$13)</x:f>
        <x:v>3045.2000000000003</x:v>
      </x:c>
      <x:c r="AG140" s="23" t="n">
        <x:f>IF($A140="","",AD140*H140*I140)</x:f>
        <x:v>2184.6000000000004</x:v>
      </x:c>
      <x:c r="AH140" s="24" t="n">
        <x:f>IF($A140="","",SUM(AD140:AE140,AG140)*SUM(Settings!$B$11:$B$12))</x:f>
        <x:v>11303.65</x:v>
      </x:c>
      <x:c r="AI140" s="24" t="n">
        <x:f>IF($A140="","",M140*Settings!$B$16)</x:f>
        <x:v>1862.19</x:v>
      </x:c>
      <x:c r="AJ140" s="24" t="n">
        <x:f>IF($A140="","",M140*Settings!$B$15)</x:f>
        <x:v>227.81000000000003</x:v>
      </x:c>
      <x:c r="AK140" s="24" t="n">
        <x:f>IF($A140="","",O140*Settings!$B$18)</x:f>
        <x:v>0</x:v>
      </x:c>
      <x:c r="AL140" s="24" t="n">
        <x:f>IF($A140="","",P140*Settings!$B$20+Q140*Settings!$B$21+R140*Settings!$B$22+S140*Settings!$B$23)</x:f>
        <x:v>2184.76</x:v>
      </x:c>
      <x:c r="AM140" s="24" t="n">
        <x:f>IF($A140="","",T140*Settings!$B$24)</x:f>
        <x:v>40</x:v>
      </x:c>
      <x:c r="AN140" s="23" t="n">
        <x:f>IF($A140="","",SUM(AI140,N140,AK140:AM140,U140))</x:f>
        <x:v>4336.950000000001</x:v>
      </x:c>
      <x:c r="AO140" s="23" t="n">
        <x:f>IF($A140="","",SUM(AD140:AI140,N140,AK140:AM140,U140))</x:f>
        <x:v>63900.4</x:v>
      </x:c>
      <x:c r="AP140" s="24" t="n">
        <x:f>IF($A140="","",G140*F140*AB140*((13-Settings!$B$9)*(1+H140*I140)+J140)*(1+SUM(Settings!$B$11:$B$12)))</x:f>
        <x:v>1302.691875</x:v>
      </x:c>
      <x:c r="AQ140" s="23" t="n">
        <x:f>IF($A140="","",SUM(AO140:AP140))</x:f>
        <x:v>65203.091875</x:v>
      </x:c>
      <x:c r="AR140" s="23" t="n">
        <x:f>IF($A140="","",AQ140-X140)</x:f>
        <x:v>-996.9081250000017</x:v>
      </x:c>
      <x:c r="AS140" s="22" t="n">
        <x:f>IF($A140="","",IF(W140=0,"n.a.",V140/W140))</x:f>
        <x:v>0.04782608695652174</x:v>
      </x:c>
      <x:c r="AT140" s="26" t="str">
        <x:f>IF($A140="",IF(COUNTA(B140:Y140)&gt;0,"Missing ID",""),IF(COUNTIFS($A$9:$A$508,A140)&gt;1,"Duplicate ID",IF(OR(B140="",C140="",D140="",E140="",COUNT(F140:X140)&lt;&gt;19),"Missing / text input",IF(OR(COUNTIFS(Settings!$A$59:$A$64,B140)&lt;&gt;1,COUNTIFS(Settings!$A$29:$A$33,E140)&lt;&gt;1),"Unknown department / grade",IF(OR(F140&lt;=0,F140&gt;1,G140&lt;=0,L140&lt;=0,H140&lt;0,I140&lt;0,J140&lt;0,K140&lt;0,K140&gt;1,MIN(M140:X140)&lt;0,W140=0,V140&gt;W140,M140&gt;W140-V140,P140&gt;8,Q140&gt;4,R140&gt;12,S140&gt;12,T140&gt;1,AB140&lt;0),"Review quantity / rate",IF(OR(N140&gt;Settings!$C$17,AK140&gt;Settings!$C$19),"Review benefit ceiling","OK"))))))</x:f>
        <x:v>OK</x:v>
      </x:c>
    </x:row>
    <x:row r="141" ht="23" customHeight="1">
      <x:c r="A141" s="8" t="str">
        <x:v>BE-0133</x:v>
      </x:c>
      <x:c r="B141" s="8" t="str">
        <x:v>Finance</x:v>
      </x:c>
      <x:c r="C141" s="8" t="str">
        <x:v>Brussels</x:v>
      </x:c>
      <x:c r="D141" s="8" t="str">
        <x:v>Senior analyst</x:v>
      </x:c>
      <x:c r="E141" s="8" t="str">
        <x:v>G3</x:v>
      </x:c>
      <x:c r="F141" s="20" t="n">
        <x:v>1</x:v>
      </x:c>
      <x:c r="G141" s="12" t="n">
        <x:v>3930</x:v>
      </x:c>
      <x:c r="H141" s="21" t="n">
        <x:v>0.08</x:v>
      </x:c>
      <x:c r="I141" s="20" t="n">
        <x:v>0.8</x:v>
      </x:c>
      <x:c r="J141" s="20" t="n">
        <x:v>1</x:v>
      </x:c>
      <x:c r="K141" s="20" t="n">
        <x:v>1</x:v>
      </x:c>
      <x:c r="L141" s="12" t="n">
        <x:v>3930</x:v>
      </x:c>
      <x:c r="M141" s="8" t="n">
        <x:v>208</x:v>
      </x:c>
      <x:c r="N141" s="12" t="n">
        <x:v>250</x:v>
      </x:c>
      <x:c r="O141" s="8" t="n">
        <x:v>2280</x:v>
      </x:c>
      <x:c r="P141" s="8" t="n">
        <x:v>0</x:v>
      </x:c>
      <x:c r="Q141" s="8" t="n">
        <x:v>0</x:v>
      </x:c>
      <x:c r="R141" s="8" t="n">
        <x:v>0</x:v>
      </x:c>
      <x:c r="S141" s="8" t="n">
        <x:v>0</x:v>
      </x:c>
      <x:c r="T141" s="8" t="n">
        <x:v>1</x:v>
      </x:c>
      <x:c r="U141" s="12" t="n">
        <x:v>0</x:v>
      </x:c>
      <x:c r="V141" s="8" t="n">
        <x:v>0</x:v>
      </x:c>
      <x:c r="W141" s="8" t="n">
        <x:v>230</x:v>
      </x:c>
      <x:c r="X141" s="12" t="n">
        <x:v>75400</x:v>
      </x:c>
      <x:c r="Y141" s="21" t="n">
        <x:v>0</x:v>
      </x:c>
      <x:c r="Z141" s="24" t="n">
        <x:f>IF($A141="","",INDEX(Settings!$C$29:$C$33,MATCH(E141,Settings!$A$29:$A$33,0)))</x:f>
        <x:v>4200</x:v>
      </x:c>
      <x:c r="AA141" s="22" t="n">
        <x:f>IF($A141="","",G141/Z141)</x:f>
        <x:v>0.9357142857142857</x:v>
      </x:c>
      <x:c r="AB141" s="25" t="n">
        <x:f>IF($A141="","",IF(ISNUMBER(Y141),Y141,Settings!$B$10))</x:f>
        <x:v>0</x:v>
      </x:c>
      <x:c r="AC141" s="23" t="n">
        <x:f>IF($A141="","",G141*(1+AB141))</x:f>
        <x:v>3930</x:v>
      </x:c>
      <x:c r="AD141" s="23" t="n">
        <x:f>IF($A141="","",G141*F141*12)</x:f>
        <x:v>47160</x:v>
      </x:c>
      <x:c r="AE141" s="23" t="n">
        <x:f>IF($A141="","",G141*F141*J141)</x:f>
        <x:v>3930</x:v>
      </x:c>
      <x:c r="AF141" s="24" t="n">
        <x:f>IF($A141="","",L141*F141*K141*Settings!$B$13)</x:f>
        <x:v>3615.6000000000004</x:v>
      </x:c>
      <x:c r="AG141" s="23" t="n">
        <x:f>IF($A141="","",AD141*H141*I141)</x:f>
        <x:v>3018.2400000000002</x:v>
      </x:c>
      <x:c r="AH141" s="24" t="n">
        <x:f>IF($A141="","",SUM(AD141:AE141,AG141)*SUM(Settings!$B$11:$B$12))</x:f>
        <x:v>13527.06</x:v>
      </x:c>
      <x:c r="AI141" s="24" t="n">
        <x:f>IF($A141="","",M141*Settings!$B$16)</x:f>
        <x:v>1853.28</x:v>
      </x:c>
      <x:c r="AJ141" s="24" t="n">
        <x:f>IF($A141="","",M141*Settings!$B$15)</x:f>
        <x:v>226.72000000000003</x:v>
      </x:c>
      <x:c r="AK141" s="24" t="n">
        <x:f>IF($A141="","",O141*Settings!$B$18)</x:f>
        <x:v>843.6</x:v>
      </x:c>
      <x:c r="AL141" s="24" t="n">
        <x:f>IF($A141="","",P141*Settings!$B$20+Q141*Settings!$B$21+R141*Settings!$B$22+S141*Settings!$B$23)</x:f>
        <x:v>0</x:v>
      </x:c>
      <x:c r="AM141" s="24" t="n">
        <x:f>IF($A141="","",T141*Settings!$B$24)</x:f>
        <x:v>40</x:v>
      </x:c>
      <x:c r="AN141" s="23" t="n">
        <x:f>IF($A141="","",SUM(AI141,N141,AK141:AM141,U141))</x:f>
        <x:v>2986.8799999999997</x:v>
      </x:c>
      <x:c r="AO141" s="23" t="n">
        <x:f>IF($A141="","",SUM(AD141:AI141,N141,AK141:AM141,U141))</x:f>
        <x:v>74237.78</x:v>
      </x:c>
      <x:c r="AP141" s="24" t="n">
        <x:f>IF($A141="","",G141*F141*AB141*((13-Settings!$B$9)*(1+H141*I141)+J141)*(1+SUM(Settings!$B$11:$B$12)))</x:f>
        <x:v>0</x:v>
      </x:c>
      <x:c r="AQ141" s="23" t="n">
        <x:f>IF($A141="","",SUM(AO141:AP141))</x:f>
        <x:v>74237.78</x:v>
      </x:c>
      <x:c r="AR141" s="23" t="n">
        <x:f>IF($A141="","",AQ141-X141)</x:f>
        <x:v>-1162.2200000000012</x:v>
      </x:c>
      <x:c r="AS141" s="22" t="n">
        <x:f>IF($A141="","",IF(W141=0,"n.a.",V141/W141))</x:f>
        <x:v>0</x:v>
      </x:c>
      <x:c r="AT141" s="26" t="str">
        <x:f>IF($A141="",IF(COUNTA(B141:Y141)&gt;0,"Missing ID",""),IF(COUNTIFS($A$9:$A$508,A141)&gt;1,"Duplicate ID",IF(OR(B141="",C141="",D141="",E141="",COUNT(F141:X141)&lt;&gt;19),"Missing / text input",IF(OR(COUNTIFS(Settings!$A$59:$A$64,B141)&lt;&gt;1,COUNTIFS(Settings!$A$29:$A$33,E141)&lt;&gt;1),"Unknown department / grade",IF(OR(F141&lt;=0,F141&gt;1,G141&lt;=0,L141&lt;=0,H141&lt;0,I141&lt;0,J141&lt;0,K141&lt;0,K141&gt;1,MIN(M141:X141)&lt;0,W141=0,V141&gt;W141,M141&gt;W141-V141,P141&gt;8,Q141&gt;4,R141&gt;12,S141&gt;12,T141&gt;1,AB141&lt;0),"Review quantity / rate",IF(OR(N141&gt;Settings!$C$17,AK141&gt;Settings!$C$19),"Review benefit ceiling","OK"))))))</x:f>
        <x:v>OK</x:v>
      </x:c>
    </x:row>
    <x:row r="142" ht="23" customHeight="1">
      <x:c r="A142" s="8" t="str">
        <x:v>BE-0134</x:v>
      </x:c>
      <x:c r="B142" s="8" t="str">
        <x:v>People &amp; Culture</x:v>
      </x:c>
      <x:c r="C142" s="8" t="str">
        <x:v>Antwerp</x:v>
      </x:c>
      <x:c r="D142" s="8" t="str">
        <x:v>Reward specialist</x:v>
      </x:c>
      <x:c r="E142" s="8" t="str">
        <x:v>G3</x:v>
      </x:c>
      <x:c r="F142" s="20" t="n">
        <x:v>0.8</x:v>
      </x:c>
      <x:c r="G142" s="12" t="n">
        <x:v>4560</x:v>
      </x:c>
      <x:c r="H142" s="21" t="n">
        <x:v>0.08</x:v>
      </x:c>
      <x:c r="I142" s="20" t="n">
        <x:v>1</x:v>
      </x:c>
      <x:c r="J142" s="20" t="n">
        <x:v>1</x:v>
      </x:c>
      <x:c r="K142" s="20" t="n">
        <x:v>1</x:v>
      </x:c>
      <x:c r="L142" s="12" t="n">
        <x:v>4560</x:v>
      </x:c>
      <x:c r="M142" s="8" t="n">
        <x:v>171</x:v>
      </x:c>
      <x:c r="N142" s="12" t="n">
        <x:v>200</x:v>
      </x:c>
      <x:c r="O142" s="8" t="n">
        <x:v>0</x:v>
      </x:c>
      <x:c r="P142" s="8" t="n">
        <x:v>8</x:v>
      </x:c>
      <x:c r="Q142" s="8" t="n">
        <x:v>4</x:v>
      </x:c>
      <x:c r="R142" s="8" t="n">
        <x:v>12</x:v>
      </x:c>
      <x:c r="S142" s="8" t="n">
        <x:v>0</x:v>
      </x:c>
      <x:c r="T142" s="8" t="n">
        <x:v>1</x:v>
      </x:c>
      <x:c r="U142" s="12" t="n">
        <x:v>0</x:v>
      </x:c>
      <x:c r="V142" s="8" t="n">
        <x:v>1</x:v>
      </x:c>
      <x:c r="W142" s="8" t="n">
        <x:v>184</x:v>
      </x:c>
      <x:c r="X142" s="12" t="n">
        <x:v>73500</x:v>
      </x:c>
      <x:c r="Y142" s="21"/>
      <x:c r="Z142" s="24" t="n">
        <x:f>IF($A142="","",INDEX(Settings!$C$29:$C$33,MATCH(E142,Settings!$A$29:$A$33,0)))</x:f>
        <x:v>4200</x:v>
      </x:c>
      <x:c r="AA142" s="22" t="n">
        <x:f>IF($A142="","",G142/Z142)</x:f>
        <x:v>1.0857142857142856</x:v>
      </x:c>
      <x:c r="AB142" s="25" t="n">
        <x:f>IF($A142="","",IF(ISNUMBER(Y142),Y142,Settings!$B$10))</x:f>
        <x:v>0.03</x:v>
      </x:c>
      <x:c r="AC142" s="23" t="n">
        <x:f>IF($A142="","",G142*(1+AB142))</x:f>
        <x:v>4696.8</x:v>
      </x:c>
      <x:c r="AD142" s="23" t="n">
        <x:f>IF($A142="","",G142*F142*12)</x:f>
        <x:v>43776</x:v>
      </x:c>
      <x:c r="AE142" s="23" t="n">
        <x:f>IF($A142="","",G142*F142*J142)</x:f>
        <x:v>3648</x:v>
      </x:c>
      <x:c r="AF142" s="24" t="n">
        <x:f>IF($A142="","",L142*F142*K142*Settings!$B$13)</x:f>
        <x:v>3356.1600000000003</x:v>
      </x:c>
      <x:c r="AG142" s="23" t="n">
        <x:f>IF($A142="","",AD142*H142*I142)</x:f>
        <x:v>3502.08</x:v>
      </x:c>
      <x:c r="AH142" s="24" t="n">
        <x:f>IF($A142="","",SUM(AD142:AE142,AG142)*SUM(Settings!$B$11:$B$12))</x:f>
        <x:v>12731.52</x:v>
      </x:c>
      <x:c r="AI142" s="24" t="n">
        <x:f>IF($A142="","",M142*Settings!$B$16)</x:f>
        <x:v>1523.6100000000001</x:v>
      </x:c>
      <x:c r="AJ142" s="24" t="n">
        <x:f>IF($A142="","",M142*Settings!$B$15)</x:f>
        <x:v>186.39000000000001</x:v>
      </x:c>
      <x:c r="AK142" s="24" t="n">
        <x:f>IF($A142="","",O142*Settings!$B$18)</x:f>
        <x:v>0</x:v>
      </x:c>
      <x:c r="AL142" s="24" t="n">
        <x:f>IF($A142="","",P142*Settings!$B$20+Q142*Settings!$B$21+R142*Settings!$B$22+S142*Settings!$B$23)</x:f>
        <x:v>2184.76</x:v>
      </x:c>
      <x:c r="AM142" s="24" t="n">
        <x:f>IF($A142="","",T142*Settings!$B$24)</x:f>
        <x:v>40</x:v>
      </x:c>
      <x:c r="AN142" s="23" t="n">
        <x:f>IF($A142="","",SUM(AI142,N142,AK142:AM142,U142))</x:f>
        <x:v>3948.3700000000003</x:v>
      </x:c>
      <x:c r="AO142" s="23" t="n">
        <x:f>IF($A142="","",SUM(AD142:AI142,N142,AK142:AM142,U142))</x:f>
        <x:v>70962.13</x:v>
      </x:c>
      <x:c r="AP142" s="24" t="n">
        <x:f>IF($A142="","",G142*F142*AB142*((13-Settings!$B$9)*(1+H142*I142)+J142)*(1+SUM(Settings!$B$11:$B$12)))</x:f>
        <x:v>1466.4959999999999</x:v>
      </x:c>
      <x:c r="AQ142" s="23" t="n">
        <x:f>IF($A142="","",SUM(AO142:AP142))</x:f>
        <x:v>72428.626</x:v>
      </x:c>
      <x:c r="AR142" s="23" t="n">
        <x:f>IF($A142="","",AQ142-X142)</x:f>
        <x:v>-1071.3739999999962</x:v>
      </x:c>
      <x:c r="AS142" s="22" t="n">
        <x:f>IF($A142="","",IF(W142=0,"n.a.",V142/W142))</x:f>
        <x:v>0.005434782608695652</x:v>
      </x:c>
      <x:c r="AT142" s="26" t="str">
        <x:f>IF($A142="",IF(COUNTA(B142:Y142)&gt;0,"Missing ID",""),IF(COUNTIFS($A$9:$A$508,A142)&gt;1,"Duplicate ID",IF(OR(B142="",C142="",D142="",E142="",COUNT(F142:X142)&lt;&gt;19),"Missing / text input",IF(OR(COUNTIFS(Settings!$A$59:$A$64,B142)&lt;&gt;1,COUNTIFS(Settings!$A$29:$A$33,E142)&lt;&gt;1),"Unknown department / grade",IF(OR(F142&lt;=0,F142&gt;1,G142&lt;=0,L142&lt;=0,H142&lt;0,I142&lt;0,J142&lt;0,K142&lt;0,K142&gt;1,MIN(M142:X142)&lt;0,W142=0,V142&gt;W142,M142&gt;W142-V142,P142&gt;8,Q142&gt;4,R142&gt;12,S142&gt;12,T142&gt;1,AB142&lt;0),"Review quantity / rate",IF(OR(N142&gt;Settings!$C$17,AK142&gt;Settings!$C$19),"Review benefit ceiling","OK"))))))</x:f>
        <x:v>OK</x:v>
      </x:c>
    </x:row>
    <x:row r="143" ht="23" customHeight="1">
      <x:c r="A143" s="8" t="str">
        <x:v>BE-0135</x:v>
      </x:c>
      <x:c r="B143" s="8" t="str">
        <x:v>Technology</x:v>
      </x:c>
      <x:c r="C143" s="8" t="str">
        <x:v>Ghent</x:v>
      </x:c>
      <x:c r="D143" s="8" t="str">
        <x:v>Senior engineer</x:v>
      </x:c>
      <x:c r="E143" s="8" t="str">
        <x:v>G3</x:v>
      </x:c>
      <x:c r="F143" s="20" t="n">
        <x:v>1</x:v>
      </x:c>
      <x:c r="G143" s="12" t="n">
        <x:v>3990</x:v>
      </x:c>
      <x:c r="H143" s="21" t="n">
        <x:v>0.08</x:v>
      </x:c>
      <x:c r="I143" s="20" t="n">
        <x:v>1.1</x:v>
      </x:c>
      <x:c r="J143" s="20" t="n">
        <x:v>1</x:v>
      </x:c>
      <x:c r="K143" s="20" t="n">
        <x:v>1</x:v>
      </x:c>
      <x:c r="L143" s="12" t="n">
        <x:v>3990</x:v>
      </x:c>
      <x:c r="M143" s="8" t="n">
        <x:v>213</x:v>
      </x:c>
      <x:c r="N143" s="12" t="n">
        <x:v>250</x:v>
      </x:c>
      <x:c r="O143" s="8" t="n">
        <x:v>0</x:v>
      </x:c>
      <x:c r="P143" s="8" t="n">
        <x:v>8</x:v>
      </x:c>
      <x:c r="Q143" s="8" t="n">
        <x:v>4</x:v>
      </x:c>
      <x:c r="R143" s="8" t="n">
        <x:v>12</x:v>
      </x:c>
      <x:c r="S143" s="8" t="n">
        <x:v>0</x:v>
      </x:c>
      <x:c r="T143" s="8" t="n">
        <x:v>1</x:v>
      </x:c>
      <x:c r="U143" s="12" t="n">
        <x:v>0</x:v>
      </x:c>
      <x:c r="V143" s="8" t="n">
        <x:v>2</x:v>
      </x:c>
      <x:c r="W143" s="8" t="n">
        <x:v>230</x:v>
      </x:c>
      <x:c r="X143" s="12" t="n">
        <x:v>81000</x:v>
      </x:c>
      <x:c r="Y143" s="21"/>
      <x:c r="Z143" s="24" t="n">
        <x:f>IF($A143="","",INDEX(Settings!$C$29:$C$33,MATCH(E143,Settings!$A$29:$A$33,0)))</x:f>
        <x:v>4200</x:v>
      </x:c>
      <x:c r="AA143" s="22" t="n">
        <x:f>IF($A143="","",G143/Z143)</x:f>
        <x:v>0.95</x:v>
      </x:c>
      <x:c r="AB143" s="25" t="n">
        <x:f>IF($A143="","",IF(ISNUMBER(Y143),Y143,Settings!$B$10))</x:f>
        <x:v>0.03</x:v>
      </x:c>
      <x:c r="AC143" s="23" t="n">
        <x:f>IF($A143="","",G143*(1+AB143))</x:f>
        <x:v>4109.7</x:v>
      </x:c>
      <x:c r="AD143" s="23" t="n">
        <x:f>IF($A143="","",G143*F143*12)</x:f>
        <x:v>47880</x:v>
      </x:c>
      <x:c r="AE143" s="23" t="n">
        <x:f>IF($A143="","",G143*F143*J143)</x:f>
        <x:v>3990</x:v>
      </x:c>
      <x:c r="AF143" s="24" t="n">
        <x:f>IF($A143="","",L143*F143*K143*Settings!$B$13)</x:f>
        <x:v>3670.8</x:v>
      </x:c>
      <x:c r="AG143" s="23" t="n">
        <x:f>IF($A143="","",AD143*H143*I143)</x:f>
        <x:v>4213.4400000000005</x:v>
      </x:c>
      <x:c r="AH143" s="24" t="n">
        <x:f>IF($A143="","",SUM(AD143:AE143,AG143)*SUM(Settings!$B$11:$B$12))</x:f>
        <x:v>14020.86</x:v>
      </x:c>
      <x:c r="AI143" s="24" t="n">
        <x:f>IF($A143="","",M143*Settings!$B$16)</x:f>
        <x:v>1897.83</x:v>
      </x:c>
      <x:c r="AJ143" s="24" t="n">
        <x:f>IF($A143="","",M143*Settings!$B$15)</x:f>
        <x:v>232.17000000000002</x:v>
      </x:c>
      <x:c r="AK143" s="24" t="n">
        <x:f>IF($A143="","",O143*Settings!$B$18)</x:f>
        <x:v>0</x:v>
      </x:c>
      <x:c r="AL143" s="24" t="n">
        <x:f>IF($A143="","",P143*Settings!$B$20+Q143*Settings!$B$21+R143*Settings!$B$22+S143*Settings!$B$23)</x:f>
        <x:v>2184.76</x:v>
      </x:c>
      <x:c r="AM143" s="24" t="n">
        <x:f>IF($A143="","",T143*Settings!$B$24)</x:f>
        <x:v>40</x:v>
      </x:c>
      <x:c r="AN143" s="23" t="n">
        <x:f>IF($A143="","",SUM(AI143,N143,AK143:AM143,U143))</x:f>
        <x:v>4372.59</x:v>
      </x:c>
      <x:c r="AO143" s="23" t="n">
        <x:f>IF($A143="","",SUM(AD143:AI143,N143,AK143:AM143,U143))</x:f>
        <x:v>78147.69</x:v>
      </x:c>
      <x:c r="AP143" s="24" t="n">
        <x:f>IF($A143="","",G143*F143*AB143*((13-Settings!$B$9)*(1+H143*I143)+J143)*(1+SUM(Settings!$B$11:$B$12)))</x:f>
        <x:v>1614.7530000000002</x:v>
      </x:c>
      <x:c r="AQ143" s="23" t="n">
        <x:f>IF($A143="","",SUM(AO143:AP143))</x:f>
        <x:v>79762.443</x:v>
      </x:c>
      <x:c r="AR143" s="23" t="n">
        <x:f>IF($A143="","",AQ143-X143)</x:f>
        <x:v>-1237.5570000000007</x:v>
      </x:c>
      <x:c r="AS143" s="22" t="n">
        <x:f>IF($A143="","",IF(W143=0,"n.a.",V143/W143))</x:f>
        <x:v>0.008695652173913044</x:v>
      </x:c>
      <x:c r="AT143" s="26" t="str">
        <x:f>IF($A143="",IF(COUNTA(B143:Y143)&gt;0,"Missing ID",""),IF(COUNTIFS($A$9:$A$508,A143)&gt;1,"Duplicate ID",IF(OR(B143="",C143="",D143="",E143="",COUNT(F143:X143)&lt;&gt;19),"Missing / text input",IF(OR(COUNTIFS(Settings!$A$59:$A$64,B143)&lt;&gt;1,COUNTIFS(Settings!$A$29:$A$33,E143)&lt;&gt;1),"Unknown department / grade",IF(OR(F143&lt;=0,F143&gt;1,G143&lt;=0,L143&lt;=0,H143&lt;0,I143&lt;0,J143&lt;0,K143&lt;0,K143&gt;1,MIN(M143:X143)&lt;0,W143=0,V143&gt;W143,M143&gt;W143-V143,P143&gt;8,Q143&gt;4,R143&gt;12,S143&gt;12,T143&gt;1,AB143&lt;0),"Review quantity / rate",IF(OR(N143&gt;Settings!$C$17,AK143&gt;Settings!$C$19),"Review benefit ceiling","OK"))))))</x:f>
        <x:v>OK</x:v>
      </x:c>
    </x:row>
    <x:row r="144" ht="23" customHeight="1">
      <x:c r="A144" s="8" t="str">
        <x:v>BE-0136</x:v>
      </x:c>
      <x:c r="B144" s="8" t="str">
        <x:v>Sales</x:v>
      </x:c>
      <x:c r="C144" s="8" t="str">
        <x:v>Brussels</x:v>
      </x:c>
      <x:c r="D144" s="8" t="str">
        <x:v>Senior account manager</x:v>
      </x:c>
      <x:c r="E144" s="8" t="str">
        <x:v>G3</x:v>
      </x:c>
      <x:c r="F144" s="20" t="n">
        <x:v>0.6</x:v>
      </x:c>
      <x:c r="G144" s="12" t="n">
        <x:v>4320</x:v>
      </x:c>
      <x:c r="H144" s="21" t="n">
        <x:v>0.08</x:v>
      </x:c>
      <x:c r="I144" s="20" t="n">
        <x:v>0.8</x:v>
      </x:c>
      <x:c r="J144" s="20" t="n">
        <x:v>1</x:v>
      </x:c>
      <x:c r="K144" s="20" t="n">
        <x:v>1</x:v>
      </x:c>
      <x:c r="L144" s="12" t="n">
        <x:v>4320</x:v>
      </x:c>
      <x:c r="M144" s="8" t="n">
        <x:v>126</x:v>
      </x:c>
      <x:c r="N144" s="12" t="n">
        <x:v>150</x:v>
      </x:c>
      <x:c r="O144" s="8" t="n">
        <x:v>520</x:v>
      </x:c>
      <x:c r="P144" s="8" t="n">
        <x:v>8</x:v>
      </x:c>
      <x:c r="Q144" s="8" t="n">
        <x:v>4</x:v>
      </x:c>
      <x:c r="R144" s="8" t="n">
        <x:v>12</x:v>
      </x:c>
      <x:c r="S144" s="8" t="n">
        <x:v>12</x:v>
      </x:c>
      <x:c r="T144" s="8" t="n">
        <x:v>1</x:v>
      </x:c>
      <x:c r="U144" s="12" t="n">
        <x:v>0</x:v>
      </x:c>
      <x:c r="V144" s="8" t="n">
        <x:v>3</x:v>
      </x:c>
      <x:c r="W144" s="8" t="n">
        <x:v>138</x:v>
      </x:c>
      <x:c r="X144" s="12" t="n">
        <x:v>51200</x:v>
      </x:c>
      <x:c r="Y144" s="21"/>
      <x:c r="Z144" s="24" t="n">
        <x:f>IF($A144="","",INDEX(Settings!$C$29:$C$33,MATCH(E144,Settings!$A$29:$A$33,0)))</x:f>
        <x:v>4200</x:v>
      </x:c>
      <x:c r="AA144" s="22" t="n">
        <x:f>IF($A144="","",G144/Z144)</x:f>
        <x:v>1.0285714285714285</x:v>
      </x:c>
      <x:c r="AB144" s="25" t="n">
        <x:f>IF($A144="","",IF(ISNUMBER(Y144),Y144,Settings!$B$10))</x:f>
        <x:v>0.03</x:v>
      </x:c>
      <x:c r="AC144" s="23" t="n">
        <x:f>IF($A144="","",G144*(1+AB144))</x:f>
        <x:v>4449.6</x:v>
      </x:c>
      <x:c r="AD144" s="23" t="n">
        <x:f>IF($A144="","",G144*F144*12)</x:f>
        <x:v>31104</x:v>
      </x:c>
      <x:c r="AE144" s="23" t="n">
        <x:f>IF($A144="","",G144*F144*J144)</x:f>
        <x:v>2592</x:v>
      </x:c>
      <x:c r="AF144" s="24" t="n">
        <x:f>IF($A144="","",L144*F144*K144*Settings!$B$13)</x:f>
        <x:v>2384.6400000000003</x:v>
      </x:c>
      <x:c r="AG144" s="23" t="n">
        <x:f>IF($A144="","",AD144*H144*I144)</x:f>
        <x:v>1990.6560000000002</x:v>
      </x:c>
      <x:c r="AH144" s="24" t="n">
        <x:f>IF($A144="","",SUM(AD144:AE144,AG144)*SUM(Settings!$B$11:$B$12))</x:f>
        <x:v>8921.664</x:v>
      </x:c>
      <x:c r="AI144" s="24" t="n">
        <x:f>IF($A144="","",M144*Settings!$B$16)</x:f>
        <x:v>1122.66</x:v>
      </x:c>
      <x:c r="AJ144" s="24" t="n">
        <x:f>IF($A144="","",M144*Settings!$B$15)</x:f>
        <x:v>137.34</x:v>
      </x:c>
      <x:c r="AK144" s="24" t="n">
        <x:f>IF($A144="","",O144*Settings!$B$18)</x:f>
        <x:v>192.4</x:v>
      </x:c>
      <x:c r="AL144" s="24" t="n">
        <x:f>IF($A144="","",P144*Settings!$B$20+Q144*Settings!$B$21+R144*Settings!$B$22+S144*Settings!$B$23)</x:f>
        <x:v>2424.76</x:v>
      </x:c>
      <x:c r="AM144" s="24" t="n">
        <x:f>IF($A144="","",T144*Settings!$B$24)</x:f>
        <x:v>40</x:v>
      </x:c>
      <x:c r="AN144" s="23" t="n">
        <x:f>IF($A144="","",SUM(AI144,N144,AK144:AM144,U144))</x:f>
        <x:v>3929.8200000000006</x:v>
      </x:c>
      <x:c r="AO144" s="23" t="n">
        <x:f>IF($A144="","",SUM(AD144:AI144,N144,AK144:AM144,U144))</x:f>
        <x:v>50922.78000000001</x:v>
      </x:c>
      <x:c r="AP144" s="24" t="n">
        <x:f>IF($A144="","",G144*F144*AB144*((13-Settings!$B$9)*(1+H144*I144)+J144)*(1+SUM(Settings!$B$11:$B$12)))</x:f>
        <x:v>1027.9871999999998</x:v>
      </x:c>
      <x:c r="AQ144" s="23" t="n">
        <x:f>IF($A144="","",SUM(AO144:AP144))</x:f>
        <x:v>51950.76720000002</x:v>
      </x:c>
      <x:c r="AR144" s="23" t="n">
        <x:f>IF($A144="","",AQ144-X144)</x:f>
        <x:v>750.7672000000166</x:v>
      </x:c>
      <x:c r="AS144" s="22" t="n">
        <x:f>IF($A144="","",IF(W144=0,"n.a.",V144/W144))</x:f>
        <x:v>0.021739130434782608</x:v>
      </x:c>
      <x:c r="AT144" s="26" t="str">
        <x:f>IF($A144="",IF(COUNTA(B144:Y144)&gt;0,"Missing ID",""),IF(COUNTIFS($A$9:$A$508,A144)&gt;1,"Duplicate ID",IF(OR(B144="",C144="",D144="",E144="",COUNT(F144:X144)&lt;&gt;19),"Missing / text input",IF(OR(COUNTIFS(Settings!$A$59:$A$64,B144)&lt;&gt;1,COUNTIFS(Settings!$A$29:$A$33,E144)&lt;&gt;1),"Unknown department / grade",IF(OR(F144&lt;=0,F144&gt;1,G144&lt;=0,L144&lt;=0,H144&lt;0,I144&lt;0,J144&lt;0,K144&lt;0,K144&gt;1,MIN(M144:X144)&lt;0,W144=0,V144&gt;W144,M144&gt;W144-V144,P144&gt;8,Q144&gt;4,R144&gt;12,S144&gt;12,T144&gt;1,AB144&lt;0),"Review quantity / rate",IF(OR(N144&gt;Settings!$C$17,AK144&gt;Settings!$C$19),"Review benefit ceiling","OK"))))))</x:f>
        <x:v>OK</x:v>
      </x:c>
    </x:row>
    <x:row r="145" ht="23" customHeight="1">
      <x:c r="A145" s="8" t="str">
        <x:v>BE-0137</x:v>
      </x:c>
      <x:c r="B145" s="8" t="str">
        <x:v>Customer Operations</x:v>
      </x:c>
      <x:c r="C145" s="8" t="str">
        <x:v>Antwerp</x:v>
      </x:c>
      <x:c r="D145" s="8" t="str">
        <x:v>Senior service specialist</x:v>
      </x:c>
      <x:c r="E145" s="8" t="str">
        <x:v>G3</x:v>
      </x:c>
      <x:c r="F145" s="20" t="n">
        <x:v>1</x:v>
      </x:c>
      <x:c r="G145" s="12" t="n">
        <x:v>4160</x:v>
      </x:c>
      <x:c r="H145" s="21" t="n">
        <x:v>0.08</x:v>
      </x:c>
      <x:c r="I145" s="20" t="n">
        <x:v>1</x:v>
      </x:c>
      <x:c r="J145" s="20" t="n">
        <x:v>1</x:v>
      </x:c>
      <x:c r="K145" s="20" t="n">
        <x:v>1</x:v>
      </x:c>
      <x:c r="L145" s="12" t="n">
        <x:v>4160</x:v>
      </x:c>
      <x:c r="M145" s="8" t="n">
        <x:v>211</x:v>
      </x:c>
      <x:c r="N145" s="12" t="n">
        <x:v>250</x:v>
      </x:c>
      <x:c r="O145" s="8" t="n">
        <x:v>0</x:v>
      </x:c>
      <x:c r="P145" s="8" t="n">
        <x:v>0</x:v>
      </x:c>
      <x:c r="Q145" s="8" t="n">
        <x:v>0</x:v>
      </x:c>
      <x:c r="R145" s="8" t="n">
        <x:v>0</x:v>
      </x:c>
      <x:c r="S145" s="8" t="n">
        <x:v>0</x:v>
      </x:c>
      <x:c r="T145" s="8" t="n">
        <x:v>1</x:v>
      </x:c>
      <x:c r="U145" s="12" t="n">
        <x:v>0</x:v>
      </x:c>
      <x:c r="V145" s="8" t="n">
        <x:v>4</x:v>
      </x:c>
      <x:c r="W145" s="8" t="n">
        <x:v>230</x:v>
      </x:c>
      <x:c r="X145" s="12" t="n">
        <x:v>81500</x:v>
      </x:c>
      <x:c r="Y145" s="21"/>
      <x:c r="Z145" s="24" t="n">
        <x:f>IF($A145="","",INDEX(Settings!$C$29:$C$33,MATCH(E145,Settings!$A$29:$A$33,0)))</x:f>
        <x:v>4200</x:v>
      </x:c>
      <x:c r="AA145" s="22" t="n">
        <x:f>IF($A145="","",G145/Z145)</x:f>
        <x:v>0.9904761904761905</x:v>
      </x:c>
      <x:c r="AB145" s="25" t="n">
        <x:f>IF($A145="","",IF(ISNUMBER(Y145),Y145,Settings!$B$10))</x:f>
        <x:v>0.03</x:v>
      </x:c>
      <x:c r="AC145" s="23" t="n">
        <x:f>IF($A145="","",G145*(1+AB145))</x:f>
        <x:v>4284.8</x:v>
      </x:c>
      <x:c r="AD145" s="23" t="n">
        <x:f>IF($A145="","",G145*F145*12)</x:f>
        <x:v>49920</x:v>
      </x:c>
      <x:c r="AE145" s="23" t="n">
        <x:f>IF($A145="","",G145*F145*J145)</x:f>
        <x:v>4160</x:v>
      </x:c>
      <x:c r="AF145" s="24" t="n">
        <x:f>IF($A145="","",L145*F145*K145*Settings!$B$13)</x:f>
        <x:v>3827.2000000000003</x:v>
      </x:c>
      <x:c r="AG145" s="23" t="n">
        <x:f>IF($A145="","",AD145*H145*I145)</x:f>
        <x:v>3993.6</x:v>
      </x:c>
      <x:c r="AH145" s="24" t="n">
        <x:f>IF($A145="","",SUM(AD145:AE145,AG145)*SUM(Settings!$B$11:$B$12))</x:f>
        <x:v>14518.4</x:v>
      </x:c>
      <x:c r="AI145" s="24" t="n">
        <x:f>IF($A145="","",M145*Settings!$B$16)</x:f>
        <x:v>1880.01</x:v>
      </x:c>
      <x:c r="AJ145" s="24" t="n">
        <x:f>IF($A145="","",M145*Settings!$B$15)</x:f>
        <x:v>229.99</x:v>
      </x:c>
      <x:c r="AK145" s="24" t="n">
        <x:f>IF($A145="","",O145*Settings!$B$18)</x:f>
        <x:v>0</x:v>
      </x:c>
      <x:c r="AL145" s="24" t="n">
        <x:f>IF($A145="","",P145*Settings!$B$20+Q145*Settings!$B$21+R145*Settings!$B$22+S145*Settings!$B$23)</x:f>
        <x:v>0</x:v>
      </x:c>
      <x:c r="AM145" s="24" t="n">
        <x:f>IF($A145="","",T145*Settings!$B$24)</x:f>
        <x:v>40</x:v>
      </x:c>
      <x:c r="AN145" s="23" t="n">
        <x:f>IF($A145="","",SUM(AI145,N145,AK145:AM145,U145))</x:f>
        <x:v>2170.01</x:v>
      </x:c>
      <x:c r="AO145" s="23" t="n">
        <x:f>IF($A145="","",SUM(AD145:AI145,N145,AK145:AM145,U145))</x:f>
        <x:v>78589.20999999999</x:v>
      </x:c>
      <x:c r="AP145" s="24" t="n">
        <x:f>IF($A145="","",G145*F145*AB145*((13-Settings!$B$9)*(1+H145*I145)+J145)*(1+SUM(Settings!$B$11:$B$12)))</x:f>
        <x:v>1672.32</x:v>
      </x:c>
      <x:c r="AQ145" s="23" t="n">
        <x:f>IF($A145="","",SUM(AO145:AP145))</x:f>
        <x:v>80261.53</x:v>
      </x:c>
      <x:c r="AR145" s="23" t="n">
        <x:f>IF($A145="","",AQ145-X145)</x:f>
        <x:v>-1238.4700000000012</x:v>
      </x:c>
      <x:c r="AS145" s="22" t="n">
        <x:f>IF($A145="","",IF(W145=0,"n.a.",V145/W145))</x:f>
        <x:v>0.017391304347826087</x:v>
      </x:c>
      <x:c r="AT145" s="26" t="str">
        <x:f>IF($A145="",IF(COUNTA(B145:Y145)&gt;0,"Missing ID",""),IF(COUNTIFS($A$9:$A$508,A145)&gt;1,"Duplicate ID",IF(OR(B145="",C145="",D145="",E145="",COUNT(F145:X145)&lt;&gt;19),"Missing / text input",IF(OR(COUNTIFS(Settings!$A$59:$A$64,B145)&lt;&gt;1,COUNTIFS(Settings!$A$29:$A$33,E145)&lt;&gt;1),"Unknown department / grade",IF(OR(F145&lt;=0,F145&gt;1,G145&lt;=0,L145&lt;=0,H145&lt;0,I145&lt;0,J145&lt;0,K145&lt;0,K145&gt;1,MIN(M145:X145)&lt;0,W145=0,V145&gt;W145,M145&gt;W145-V145,P145&gt;8,Q145&gt;4,R145&gt;12,S145&gt;12,T145&gt;1,AB145&lt;0),"Review quantity / rate",IF(OR(N145&gt;Settings!$C$17,AK145&gt;Settings!$C$19),"Review benefit ceiling","OK"))))))</x:f>
        <x:v>OK</x:v>
      </x:c>
    </x:row>
    <x:row r="146" ht="23" customHeight="1">
      <x:c r="A146" s="8" t="str">
        <x:v>BE-0138</x:v>
      </x:c>
      <x:c r="B146" s="8" t="str">
        <x:v>Business Support</x:v>
      </x:c>
      <x:c r="C146" s="8" t="str">
        <x:v>Ghent</x:v>
      </x:c>
      <x:c r="D146" s="8" t="str">
        <x:v>Support manager</x:v>
      </x:c>
      <x:c r="E146" s="8" t="str">
        <x:v>G4</x:v>
      </x:c>
      <x:c r="F146" s="20" t="n">
        <x:v>1</x:v>
      </x:c>
      <x:c r="G146" s="12" t="n">
        <x:v>5780</x:v>
      </x:c>
      <x:c r="H146" s="21" t="n">
        <x:v>0.12</x:v>
      </x:c>
      <x:c r="I146" s="20" t="n">
        <x:v>1.1</x:v>
      </x:c>
      <x:c r="J146" s="20" t="n">
        <x:v>1</x:v>
      </x:c>
      <x:c r="K146" s="20" t="n">
        <x:v>1</x:v>
      </x:c>
      <x:c r="L146" s="12" t="n">
        <x:v>5780</x:v>
      </x:c>
      <x:c r="M146" s="8" t="n">
        <x:v>210</x:v>
      </x:c>
      <x:c r="N146" s="12" t="n">
        <x:v>250</x:v>
      </x:c>
      <x:c r="O146" s="8" t="n">
        <x:v>0</x:v>
      </x:c>
      <x:c r="P146" s="8" t="n">
        <x:v>8</x:v>
      </x:c>
      <x:c r="Q146" s="8" t="n">
        <x:v>4</x:v>
      </x:c>
      <x:c r="R146" s="8" t="n">
        <x:v>12</x:v>
      </x:c>
      <x:c r="S146" s="8" t="n">
        <x:v>0</x:v>
      </x:c>
      <x:c r="T146" s="8" t="n">
        <x:v>1</x:v>
      </x:c>
      <x:c r="U146" s="12" t="n">
        <x:v>0</x:v>
      </x:c>
      <x:c r="V146" s="8" t="n">
        <x:v>5</x:v>
      </x:c>
      <x:c r="W146" s="8" t="n">
        <x:v>230</x:v>
      </x:c>
      <x:c r="X146" s="12" t="n">
        <x:v>119200</x:v>
      </x:c>
      <x:c r="Y146" s="21"/>
      <x:c r="Z146" s="24" t="n">
        <x:f>IF($A146="","",INDEX(Settings!$C$29:$C$33,MATCH(E146,Settings!$A$29:$A$33,0)))</x:f>
        <x:v>5400</x:v>
      </x:c>
      <x:c r="AA146" s="22" t="n">
        <x:f>IF($A146="","",G146/Z146)</x:f>
        <x:v>1.0703703703703704</x:v>
      </x:c>
      <x:c r="AB146" s="25" t="n">
        <x:f>IF($A146="","",IF(ISNUMBER(Y146),Y146,Settings!$B$10))</x:f>
        <x:v>0.03</x:v>
      </x:c>
      <x:c r="AC146" s="23" t="n">
        <x:f>IF($A146="","",G146*(1+AB146))</x:f>
        <x:v>5953.400000000001</x:v>
      </x:c>
      <x:c r="AD146" s="23" t="n">
        <x:f>IF($A146="","",G146*F146*12)</x:f>
        <x:v>69360</x:v>
      </x:c>
      <x:c r="AE146" s="23" t="n">
        <x:f>IF($A146="","",G146*F146*J146)</x:f>
        <x:v>5780</x:v>
      </x:c>
      <x:c r="AF146" s="24" t="n">
        <x:f>IF($A146="","",L146*F146*K146*Settings!$B$13)</x:f>
        <x:v>5317.6</x:v>
      </x:c>
      <x:c r="AG146" s="23" t="n">
        <x:f>IF($A146="","",AD146*H146*I146)</x:f>
        <x:v>9155.52</x:v>
      </x:c>
      <x:c r="AH146" s="24" t="n">
        <x:f>IF($A146="","",SUM(AD146:AE146,AG146)*SUM(Settings!$B$11:$B$12))</x:f>
        <x:v>21073.88</x:v>
      </x:c>
      <x:c r="AI146" s="24" t="n">
        <x:f>IF($A146="","",M146*Settings!$B$16)</x:f>
        <x:v>1871.1000000000001</x:v>
      </x:c>
      <x:c r="AJ146" s="24" t="n">
        <x:f>IF($A146="","",M146*Settings!$B$15)</x:f>
        <x:v>228.9</x:v>
      </x:c>
      <x:c r="AK146" s="24" t="n">
        <x:f>IF($A146="","",O146*Settings!$B$18)</x:f>
        <x:v>0</x:v>
      </x:c>
      <x:c r="AL146" s="24" t="n">
        <x:f>IF($A146="","",P146*Settings!$B$20+Q146*Settings!$B$21+R146*Settings!$B$22+S146*Settings!$B$23)</x:f>
        <x:v>2184.76</x:v>
      </x:c>
      <x:c r="AM146" s="24" t="n">
        <x:f>IF($A146="","",T146*Settings!$B$24)</x:f>
        <x:v>40</x:v>
      </x:c>
      <x:c r="AN146" s="23" t="n">
        <x:f>IF($A146="","",SUM(AI146,N146,AK146:AM146,U146))</x:f>
        <x:v>4345.860000000001</x:v>
      </x:c>
      <x:c r="AO146" s="23" t="n">
        <x:f>IF($A146="","",SUM(AD146:AI146,N146,AK146:AM146,U146))</x:f>
        <x:v>115032.86000000002</x:v>
      </x:c>
      <x:c r="AP146" s="24" t="n">
        <x:f>IF($A146="","",G146*F146*AB146*((13-Settings!$B$9)*(1+H146*I146)+J146)*(1+SUM(Settings!$B$11:$B$12)))</x:f>
        <x:v>2424.9990000000003</x:v>
      </x:c>
      <x:c r="AQ146" s="23" t="n">
        <x:f>IF($A146="","",SUM(AO146:AP146))</x:f>
        <x:v>117457.85900000001</x:v>
      </x:c>
      <x:c r="AR146" s="23" t="n">
        <x:f>IF($A146="","",AQ146-X146)</x:f>
        <x:v>-1742.1409999999887</x:v>
      </x:c>
      <x:c r="AS146" s="22" t="n">
        <x:f>IF($A146="","",IF(W146=0,"n.a.",V146/W146))</x:f>
        <x:v>0.021739130434782608</x:v>
      </x:c>
      <x:c r="AT146" s="26" t="str">
        <x:f>IF($A146="",IF(COUNTA(B146:Y146)&gt;0,"Missing ID",""),IF(COUNTIFS($A$9:$A$508,A146)&gt;1,"Duplicate ID",IF(OR(B146="",C146="",D146="",E146="",COUNT(F146:X146)&lt;&gt;19),"Missing / text input",IF(OR(COUNTIFS(Settings!$A$59:$A$64,B146)&lt;&gt;1,COUNTIFS(Settings!$A$29:$A$33,E146)&lt;&gt;1),"Unknown department / grade",IF(OR(F146&lt;=0,F146&gt;1,G146&lt;=0,L146&lt;=0,H146&lt;0,I146&lt;0,J146&lt;0,K146&lt;0,K146&gt;1,MIN(M146:X146)&lt;0,W146=0,V146&gt;W146,M146&gt;W146-V146,P146&gt;8,Q146&gt;4,R146&gt;12,S146&gt;12,T146&gt;1,AB146&lt;0),"Review quantity / rate",IF(OR(N146&gt;Settings!$C$17,AK146&gt;Settings!$C$19),"Review benefit ceiling","OK"))))))</x:f>
        <x:v>OK</x:v>
      </x:c>
    </x:row>
    <x:row r="147" ht="23" customHeight="1">
      <x:c r="A147" s="8" t="str">
        <x:v>BE-0139</x:v>
      </x:c>
      <x:c r="B147" s="8" t="str">
        <x:v>Finance</x:v>
      </x:c>
      <x:c r="C147" s="8" t="str">
        <x:v>Brussels</x:v>
      </x:c>
      <x:c r="D147" s="8" t="str">
        <x:v>Finance manager</x:v>
      </x:c>
      <x:c r="E147" s="8" t="str">
        <x:v>G4</x:v>
      </x:c>
      <x:c r="F147" s="20" t="n">
        <x:v>1</x:v>
      </x:c>
      <x:c r="G147" s="12" t="n">
        <x:v>5720</x:v>
      </x:c>
      <x:c r="H147" s="21" t="n">
        <x:v>0.12</x:v>
      </x:c>
      <x:c r="I147" s="20" t="n">
        <x:v>0.8</x:v>
      </x:c>
      <x:c r="J147" s="20" t="n">
        <x:v>1</x:v>
      </x:c>
      <x:c r="K147" s="20" t="n">
        <x:v>1</x:v>
      </x:c>
      <x:c r="L147" s="12" t="n">
        <x:v>5720</x:v>
      </x:c>
      <x:c r="M147" s="8" t="n">
        <x:v>209</x:v>
      </x:c>
      <x:c r="N147" s="12" t="n">
        <x:v>250</x:v>
      </x:c>
      <x:c r="O147" s="8" t="n">
        <x:v>850</x:v>
      </x:c>
      <x:c r="P147" s="8" t="n">
        <x:v>8</x:v>
      </x:c>
      <x:c r="Q147" s="8" t="n">
        <x:v>4</x:v>
      </x:c>
      <x:c r="R147" s="8" t="n">
        <x:v>12</x:v>
      </x:c>
      <x:c r="S147" s="8" t="n">
        <x:v>0</x:v>
      </x:c>
      <x:c r="T147" s="8" t="n">
        <x:v>1</x:v>
      </x:c>
      <x:c r="U147" s="12" t="n">
        <x:v>0</x:v>
      </x:c>
      <x:c r="V147" s="8" t="n">
        <x:v>6</x:v>
      </x:c>
      <x:c r="W147" s="8" t="n">
        <x:v>230</x:v>
      </x:c>
      <x:c r="X147" s="12" t="n">
        <x:v>115100</x:v>
      </x:c>
      <x:c r="Y147" s="21"/>
      <x:c r="Z147" s="24" t="n">
        <x:f>IF($A147="","",INDEX(Settings!$C$29:$C$33,MATCH(E147,Settings!$A$29:$A$33,0)))</x:f>
        <x:v>5400</x:v>
      </x:c>
      <x:c r="AA147" s="22" t="n">
        <x:f>IF($A147="","",G147/Z147)</x:f>
        <x:v>1.0592592592592593</x:v>
      </x:c>
      <x:c r="AB147" s="25" t="n">
        <x:f>IF($A147="","",IF(ISNUMBER(Y147),Y147,Settings!$B$10))</x:f>
        <x:v>0.03</x:v>
      </x:c>
      <x:c r="AC147" s="23" t="n">
        <x:f>IF($A147="","",G147*(1+AB147))</x:f>
        <x:v>5891.6</x:v>
      </x:c>
      <x:c r="AD147" s="23" t="n">
        <x:f>IF($A147="","",G147*F147*12)</x:f>
        <x:v>68640</x:v>
      </x:c>
      <x:c r="AE147" s="23" t="n">
        <x:f>IF($A147="","",G147*F147*J147)</x:f>
        <x:v>5720</x:v>
      </x:c>
      <x:c r="AF147" s="24" t="n">
        <x:f>IF($A147="","",L147*F147*K147*Settings!$B$13)</x:f>
        <x:v>5262.400000000001</x:v>
      </x:c>
      <x:c r="AG147" s="23" t="n">
        <x:f>IF($A147="","",AD147*H147*I147)</x:f>
        <x:v>6589.44</x:v>
      </x:c>
      <x:c r="AH147" s="24" t="n">
        <x:f>IF($A147="","",SUM(AD147:AE147,AG147)*SUM(Settings!$B$11:$B$12))</x:f>
        <x:v>20237.36</x:v>
      </x:c>
      <x:c r="AI147" s="24" t="n">
        <x:f>IF($A147="","",M147*Settings!$B$16)</x:f>
        <x:v>1862.19</x:v>
      </x:c>
      <x:c r="AJ147" s="24" t="n">
        <x:f>IF($A147="","",M147*Settings!$B$15)</x:f>
        <x:v>227.81000000000003</x:v>
      </x:c>
      <x:c r="AK147" s="24" t="n">
        <x:f>IF($A147="","",O147*Settings!$B$18)</x:f>
        <x:v>314.5</x:v>
      </x:c>
      <x:c r="AL147" s="24" t="n">
        <x:f>IF($A147="","",P147*Settings!$B$20+Q147*Settings!$B$21+R147*Settings!$B$22+S147*Settings!$B$23)</x:f>
        <x:v>2184.76</x:v>
      </x:c>
      <x:c r="AM147" s="24" t="n">
        <x:f>IF($A147="","",T147*Settings!$B$24)</x:f>
        <x:v>40</x:v>
      </x:c>
      <x:c r="AN147" s="23" t="n">
        <x:f>IF($A147="","",SUM(AI147,N147,AK147:AM147,U147))</x:f>
        <x:v>4651.450000000001</x:v>
      </x:c>
      <x:c r="AO147" s="23" t="n">
        <x:f>IF($A147="","",SUM(AD147:AI147,N147,AK147:AM147,U147))</x:f>
        <x:v>111100.65</x:v>
      </x:c>
      <x:c r="AP147" s="24" t="n">
        <x:f>IF($A147="","",G147*F147*AB147*((13-Settings!$B$9)*(1+H147*I147)+J147)*(1+SUM(Settings!$B$11:$B$12)))</x:f>
        <x:v>2330.328</x:v>
      </x:c>
      <x:c r="AQ147" s="23" t="n">
        <x:f>IF($A147="","",SUM(AO147:AP147))</x:f>
        <x:v>113430.97799999999</x:v>
      </x:c>
      <x:c r="AR147" s="23" t="n">
        <x:f>IF($A147="","",AQ147-X147)</x:f>
        <x:v>-1669.0220000000118</x:v>
      </x:c>
      <x:c r="AS147" s="22" t="n">
        <x:f>IF($A147="","",IF(W147=0,"n.a.",V147/W147))</x:f>
        <x:v>0.02608695652173913</x:v>
      </x:c>
      <x:c r="AT147" s="26" t="str">
        <x:f>IF($A147="",IF(COUNTA(B147:Y147)&gt;0,"Missing ID",""),IF(COUNTIFS($A$9:$A$508,A147)&gt;1,"Duplicate ID",IF(OR(B147="",C147="",D147="",E147="",COUNT(F147:X147)&lt;&gt;19),"Missing / text input",IF(OR(COUNTIFS(Settings!$A$59:$A$64,B147)&lt;&gt;1,COUNTIFS(Settings!$A$29:$A$33,E147)&lt;&gt;1),"Unknown department / grade",IF(OR(F147&lt;=0,F147&gt;1,G147&lt;=0,L147&lt;=0,H147&lt;0,I147&lt;0,J147&lt;0,K147&lt;0,K147&gt;1,MIN(M147:X147)&lt;0,W147=0,V147&gt;W147,M147&gt;W147-V147,P147&gt;8,Q147&gt;4,R147&gt;12,S147&gt;12,T147&gt;1,AB147&lt;0),"Review quantity / rate",IF(OR(N147&gt;Settings!$C$17,AK147&gt;Settings!$C$19),"Review benefit ceiling","OK"))))))</x:f>
        <x:v>OK</x:v>
      </x:c>
    </x:row>
    <x:row r="148" ht="23" customHeight="1">
      <x:c r="A148" s="8" t="str">
        <x:v>BE-0140</x:v>
      </x:c>
      <x:c r="B148" s="8" t="str">
        <x:v>People &amp; Culture</x:v>
      </x:c>
      <x:c r="C148" s="8" t="str">
        <x:v>Antwerp</x:v>
      </x:c>
      <x:c r="D148" s="8" t="str">
        <x:v>Head of People</x:v>
      </x:c>
      <x:c r="E148" s="8" t="str">
        <x:v>G5</x:v>
      </x:c>
      <x:c r="F148" s="20" t="n">
        <x:v>1</x:v>
      </x:c>
      <x:c r="G148" s="12" t="n">
        <x:v>7640</x:v>
      </x:c>
      <x:c r="H148" s="21" t="n">
        <x:v>0.18</x:v>
      </x:c>
      <x:c r="I148" s="20" t="n">
        <x:v>1</x:v>
      </x:c>
      <x:c r="J148" s="20" t="n">
        <x:v>1</x:v>
      </x:c>
      <x:c r="K148" s="20" t="n">
        <x:v>1</x:v>
      </x:c>
      <x:c r="L148" s="12" t="n">
        <x:v>7640</x:v>
      </x:c>
      <x:c r="M148" s="8" t="n">
        <x:v>208</x:v>
      </x:c>
      <x:c r="N148" s="12" t="n">
        <x:v>250</x:v>
      </x:c>
      <x:c r="O148" s="8" t="n">
        <x:v>0</x:v>
      </x:c>
      <x:c r="P148" s="8" t="n">
        <x:v>8</x:v>
      </x:c>
      <x:c r="Q148" s="8" t="n">
        <x:v>4</x:v>
      </x:c>
      <x:c r="R148" s="8" t="n">
        <x:v>12</x:v>
      </x:c>
      <x:c r="S148" s="8" t="n">
        <x:v>0</x:v>
      </x:c>
      <x:c r="T148" s="8" t="n">
        <x:v>1</x:v>
      </x:c>
      <x:c r="U148" s="12" t="n">
        <x:v>0</x:v>
      </x:c>
      <x:c r="V148" s="8" t="n">
        <x:v>7</x:v>
      </x:c>
      <x:c r="W148" s="8" t="n">
        <x:v>230</x:v>
      </x:c>
      <x:c r="X148" s="12" t="n">
        <x:v>161900</x:v>
      </x:c>
      <x:c r="Y148" s="21"/>
      <x:c r="Z148" s="24" t="n">
        <x:f>IF($A148="","",INDEX(Settings!$C$29:$C$33,MATCH(E148,Settings!$A$29:$A$33,0)))</x:f>
        <x:v>7500</x:v>
      </x:c>
      <x:c r="AA148" s="22" t="n">
        <x:f>IF($A148="","",G148/Z148)</x:f>
        <x:v>1.0186666666666666</x:v>
      </x:c>
      <x:c r="AB148" s="25" t="n">
        <x:f>IF($A148="","",IF(ISNUMBER(Y148),Y148,Settings!$B$10))</x:f>
        <x:v>0.03</x:v>
      </x:c>
      <x:c r="AC148" s="23" t="n">
        <x:f>IF($A148="","",G148*(1+AB148))</x:f>
        <x:v>7869.2</x:v>
      </x:c>
      <x:c r="AD148" s="23" t="n">
        <x:f>IF($A148="","",G148*F148*12)</x:f>
        <x:v>91680</x:v>
      </x:c>
      <x:c r="AE148" s="23" t="n">
        <x:f>IF($A148="","",G148*F148*J148)</x:f>
        <x:v>7640</x:v>
      </x:c>
      <x:c r="AF148" s="24" t="n">
        <x:f>IF($A148="","",L148*F148*K148*Settings!$B$13)</x:f>
        <x:v>7028.8</x:v>
      </x:c>
      <x:c r="AG148" s="23" t="n">
        <x:f>IF($A148="","",AD148*H148*I148)</x:f>
        <x:v>16502.399999999998</x:v>
      </x:c>
      <x:c r="AH148" s="24" t="n">
        <x:f>IF($A148="","",SUM(AD148:AE148,AG148)*SUM(Settings!$B$11:$B$12))</x:f>
        <x:v>28955.6</x:v>
      </x:c>
      <x:c r="AI148" s="24" t="n">
        <x:f>IF($A148="","",M148*Settings!$B$16)</x:f>
        <x:v>1853.28</x:v>
      </x:c>
      <x:c r="AJ148" s="24" t="n">
        <x:f>IF($A148="","",M148*Settings!$B$15)</x:f>
        <x:v>226.72000000000003</x:v>
      </x:c>
      <x:c r="AK148" s="24" t="n">
        <x:f>IF($A148="","",O148*Settings!$B$18)</x:f>
        <x:v>0</x:v>
      </x:c>
      <x:c r="AL148" s="24" t="n">
        <x:f>IF($A148="","",P148*Settings!$B$20+Q148*Settings!$B$21+R148*Settings!$B$22+S148*Settings!$B$23)</x:f>
        <x:v>2184.76</x:v>
      </x:c>
      <x:c r="AM148" s="24" t="n">
        <x:f>IF($A148="","",T148*Settings!$B$24)</x:f>
        <x:v>40</x:v>
      </x:c>
      <x:c r="AN148" s="23" t="n">
        <x:f>IF($A148="","",SUM(AI148,N148,AK148:AM148,U148))</x:f>
        <x:v>4328.04</x:v>
      </x:c>
      <x:c r="AO148" s="23" t="n">
        <x:f>IF($A148="","",SUM(AD148:AI148,N148,AK148:AM148,U148))</x:f>
        <x:v>156134.84</x:v>
      </x:c>
      <x:c r="AP148" s="24" t="n">
        <x:f>IF($A148="","",G148*F148*AB148*((13-Settings!$B$9)*(1+H148*I148)+J148)*(1+SUM(Settings!$B$11:$B$12)))</x:f>
        <x:v>3329.1299999999997</x:v>
      </x:c>
      <x:c r="AQ148" s="23" t="n">
        <x:f>IF($A148="","",SUM(AO148:AP148))</x:f>
        <x:v>159463.97</x:v>
      </x:c>
      <x:c r="AR148" s="23" t="n">
        <x:f>IF($A148="","",AQ148-X148)</x:f>
        <x:v>-2436.029999999999</x:v>
      </x:c>
      <x:c r="AS148" s="22" t="n">
        <x:f>IF($A148="","",IF(W148=0,"n.a.",V148/W148))</x:f>
        <x:v>0.030434782608695653</x:v>
      </x:c>
      <x:c r="AT148" s="26" t="str">
        <x:f>IF($A148="",IF(COUNTA(B148:Y148)&gt;0,"Missing ID",""),IF(COUNTIFS($A$9:$A$508,A148)&gt;1,"Duplicate ID",IF(OR(B148="",C148="",D148="",E148="",COUNT(F148:X148)&lt;&gt;19),"Missing / text input",IF(OR(COUNTIFS(Settings!$A$59:$A$64,B148)&lt;&gt;1,COUNTIFS(Settings!$A$29:$A$33,E148)&lt;&gt;1),"Unknown department / grade",IF(OR(F148&lt;=0,F148&gt;1,G148&lt;=0,L148&lt;=0,H148&lt;0,I148&lt;0,J148&lt;0,K148&lt;0,K148&gt;1,MIN(M148:X148)&lt;0,W148=0,V148&gt;W148,M148&gt;W148-V148,P148&gt;8,Q148&gt;4,R148&gt;12,S148&gt;12,T148&gt;1,AB148&lt;0),"Review quantity / rate",IF(OR(N148&gt;Settings!$C$17,AK148&gt;Settings!$C$19),"Review benefit ceiling","OK"))))))</x:f>
        <x:v>OK</x:v>
      </x:c>
    </x:row>
    <x:row r="149" ht="23" customHeight="1">
      <x:c r="A149" s="8" t="str">
        <x:v>BE-0141</x:v>
      </x:c>
      <x:c r="B149" s="8" t="str">
        <x:v>Technology</x:v>
      </x:c>
      <x:c r="C149" s="8" t="str">
        <x:v>Ghent</x:v>
      </x:c>
      <x:c r="D149" s="8" t="str">
        <x:v>IT coordinator</x:v>
      </x:c>
      <x:c r="E149" s="8" t="str">
        <x:v>G1</x:v>
      </x:c>
      <x:c r="F149" s="20" t="n">
        <x:v>0.8</x:v>
      </x:c>
      <x:c r="G149" s="12" t="n">
        <x:v>2800</x:v>
      </x:c>
      <x:c r="H149" s="21" t="n">
        <x:v>0.03</x:v>
      </x:c>
      <x:c r="I149" s="20" t="n">
        <x:v>1.1</x:v>
      </x:c>
      <x:c r="J149" s="20" t="n">
        <x:v>1</x:v>
      </x:c>
      <x:c r="K149" s="20" t="n">
        <x:v>1</x:v>
      </x:c>
      <x:c r="L149" s="12" t="n">
        <x:v>2800</x:v>
      </x:c>
      <x:c r="M149" s="8" t="n">
        <x:v>171</x:v>
      </x:c>
      <x:c r="N149" s="12" t="n">
        <x:v>200</x:v>
      </x:c>
      <x:c r="O149" s="8" t="n">
        <x:v>0</x:v>
      </x:c>
      <x:c r="P149" s="8" t="n">
        <x:v>0</x:v>
      </x:c>
      <x:c r="Q149" s="8" t="n">
        <x:v>0</x:v>
      </x:c>
      <x:c r="R149" s="8" t="n">
        <x:v>0</x:v>
      </x:c>
      <x:c r="S149" s="8" t="n">
        <x:v>0</x:v>
      </x:c>
      <x:c r="T149" s="8" t="n">
        <x:v>1</x:v>
      </x:c>
      <x:c r="U149" s="12" t="n">
        <x:v>0</x:v>
      </x:c>
      <x:c r="V149" s="8" t="n">
        <x:v>8</x:v>
      </x:c>
      <x:c r="W149" s="8" t="n">
        <x:v>184</x:v>
      </x:c>
      <x:c r="X149" s="12" t="n">
        <x:v>41600</x:v>
      </x:c>
      <x:c r="Y149" s="21"/>
      <x:c r="Z149" s="24" t="n">
        <x:f>IF($A149="","",INDEX(Settings!$C$29:$C$33,MATCH(E149,Settings!$A$29:$A$33,0)))</x:f>
        <x:v>2700</x:v>
      </x:c>
      <x:c r="AA149" s="22" t="n">
        <x:f>IF($A149="","",G149/Z149)</x:f>
        <x:v>1.037037037037037</x:v>
      </x:c>
      <x:c r="AB149" s="25" t="n">
        <x:f>IF($A149="","",IF(ISNUMBER(Y149),Y149,Settings!$B$10))</x:f>
        <x:v>0.03</x:v>
      </x:c>
      <x:c r="AC149" s="23" t="n">
        <x:f>IF($A149="","",G149*(1+AB149))</x:f>
        <x:v>2884</x:v>
      </x:c>
      <x:c r="AD149" s="23" t="n">
        <x:f>IF($A149="","",G149*F149*12)</x:f>
        <x:v>26880</x:v>
      </x:c>
      <x:c r="AE149" s="23" t="n">
        <x:f>IF($A149="","",G149*F149*J149)</x:f>
        <x:v>2240</x:v>
      </x:c>
      <x:c r="AF149" s="24" t="n">
        <x:f>IF($A149="","",L149*F149*K149*Settings!$B$13)</x:f>
        <x:v>2060.8</x:v>
      </x:c>
      <x:c r="AG149" s="23" t="n">
        <x:f>IF($A149="","",AD149*H149*I149)</x:f>
        <x:v>887.0400000000001</x:v>
      </x:c>
      <x:c r="AH149" s="24" t="n">
        <x:f>IF($A149="","",SUM(AD149:AE149,AG149)*SUM(Settings!$B$11:$B$12))</x:f>
        <x:v>7501.76</x:v>
      </x:c>
      <x:c r="AI149" s="24" t="n">
        <x:f>IF($A149="","",M149*Settings!$B$16)</x:f>
        <x:v>1523.6100000000001</x:v>
      </x:c>
      <x:c r="AJ149" s="24" t="n">
        <x:f>IF($A149="","",M149*Settings!$B$15)</x:f>
        <x:v>186.39000000000001</x:v>
      </x:c>
      <x:c r="AK149" s="24" t="n">
        <x:f>IF($A149="","",O149*Settings!$B$18)</x:f>
        <x:v>0</x:v>
      </x:c>
      <x:c r="AL149" s="24" t="n">
        <x:f>IF($A149="","",P149*Settings!$B$20+Q149*Settings!$B$21+R149*Settings!$B$22+S149*Settings!$B$23)</x:f>
        <x:v>0</x:v>
      </x:c>
      <x:c r="AM149" s="24" t="n">
        <x:f>IF($A149="","",T149*Settings!$B$24)</x:f>
        <x:v>40</x:v>
      </x:c>
      <x:c r="AN149" s="23" t="n">
        <x:f>IF($A149="","",SUM(AI149,N149,AK149:AM149,U149))</x:f>
        <x:v>1763.6100000000001</x:v>
      </x:c>
      <x:c r="AO149" s="23" t="n">
        <x:f>IF($A149="","",SUM(AD149:AI149,N149,AK149:AM149,U149))</x:f>
        <x:v>41333.21</x:v>
      </x:c>
      <x:c r="AP149" s="24" t="n">
        <x:f>IF($A149="","",G149*F149*AB149*((13-Settings!$B$9)*(1+H149*I149)+J149)*(1+SUM(Settings!$B$11:$B$12)))</x:f>
        <x:v>864.948</x:v>
      </x:c>
      <x:c r="AQ149" s="23" t="n">
        <x:f>IF($A149="","",SUM(AO149:AP149))</x:f>
        <x:v>42198.157999999996</x:v>
      </x:c>
      <x:c r="AR149" s="23" t="n">
        <x:f>IF($A149="","",AQ149-X149)</x:f>
        <x:v>598.1579999999958</x:v>
      </x:c>
      <x:c r="AS149" s="22" t="n">
        <x:f>IF($A149="","",IF(W149=0,"n.a.",V149/W149))</x:f>
        <x:v>0.043478260869565216</x:v>
      </x:c>
      <x:c r="AT149" s="26" t="str">
        <x:f>IF($A149="",IF(COUNTA(B149:Y149)&gt;0,"Missing ID",""),IF(COUNTIFS($A$9:$A$508,A149)&gt;1,"Duplicate ID",IF(OR(B149="",C149="",D149="",E149="",COUNT(F149:X149)&lt;&gt;19),"Missing / text input",IF(OR(COUNTIFS(Settings!$A$59:$A$64,B149)&lt;&gt;1,COUNTIFS(Settings!$A$29:$A$33,E149)&lt;&gt;1),"Unknown department / grade",IF(OR(F149&lt;=0,F149&gt;1,G149&lt;=0,L149&lt;=0,H149&lt;0,I149&lt;0,J149&lt;0,K149&lt;0,K149&gt;1,MIN(M149:X149)&lt;0,W149=0,V149&gt;W149,M149&gt;W149-V149,P149&gt;8,Q149&gt;4,R149&gt;12,S149&gt;12,T149&gt;1,AB149&lt;0),"Review quantity / rate",IF(OR(N149&gt;Settings!$C$17,AK149&gt;Settings!$C$19),"Review benefit ceiling","OK"))))))</x:f>
        <x:v>OK</x:v>
      </x:c>
    </x:row>
    <x:row r="150" ht="23" customHeight="1">
      <x:c r="A150" s="8" t="str">
        <x:v>BE-0142</x:v>
      </x:c>
      <x:c r="B150" s="8" t="str">
        <x:v>Sales</x:v>
      </x:c>
      <x:c r="C150" s="8" t="str">
        <x:v>Brussels</x:v>
      </x:c>
      <x:c r="D150" s="8" t="str">
        <x:v>Sales coordinator</x:v>
      </x:c>
      <x:c r="E150" s="8" t="str">
        <x:v>G1</x:v>
      </x:c>
      <x:c r="F150" s="20" t="n">
        <x:v>1</x:v>
      </x:c>
      <x:c r="G150" s="12" t="n">
        <x:v>2920</x:v>
      </x:c>
      <x:c r="H150" s="21" t="n">
        <x:v>0.03</x:v>
      </x:c>
      <x:c r="I150" s="20" t="n">
        <x:v>0.8</x:v>
      </x:c>
      <x:c r="J150" s="20" t="n">
        <x:v>1</x:v>
      </x:c>
      <x:c r="K150" s="20" t="n">
        <x:v>1</x:v>
      </x:c>
      <x:c r="L150" s="12" t="n">
        <x:v>2920</x:v>
      </x:c>
      <x:c r="M150" s="8" t="n">
        <x:v>213</x:v>
      </x:c>
      <x:c r="N150" s="12" t="n">
        <x:v>250</x:v>
      </x:c>
      <x:c r="O150" s="8" t="n">
        <x:v>1180</x:v>
      </x:c>
      <x:c r="P150" s="8" t="n">
        <x:v>8</x:v>
      </x:c>
      <x:c r="Q150" s="8" t="n">
        <x:v>4</x:v>
      </x:c>
      <x:c r="R150" s="8" t="n">
        <x:v>12</x:v>
      </x:c>
      <x:c r="S150" s="8" t="n">
        <x:v>0</x:v>
      </x:c>
      <x:c r="T150" s="8" t="n">
        <x:v>1</x:v>
      </x:c>
      <x:c r="U150" s="12" t="n">
        <x:v>0</x:v>
      </x:c>
      <x:c r="V150" s="8" t="n">
        <x:v>9</x:v>
      </x:c>
      <x:c r="W150" s="8" t="n">
        <x:v>230</x:v>
      </x:c>
      <x:c r="X150" s="12" t="n">
        <x:v>58000</x:v>
      </x:c>
      <x:c r="Y150" s="21"/>
      <x:c r="Z150" s="24" t="n">
        <x:f>IF($A150="","",INDEX(Settings!$C$29:$C$33,MATCH(E150,Settings!$A$29:$A$33,0)))</x:f>
        <x:v>2700</x:v>
      </x:c>
      <x:c r="AA150" s="22" t="n">
        <x:f>IF($A150="","",G150/Z150)</x:f>
        <x:v>1.0814814814814815</x:v>
      </x:c>
      <x:c r="AB150" s="25" t="n">
        <x:f>IF($A150="","",IF(ISNUMBER(Y150),Y150,Settings!$B$10))</x:f>
        <x:v>0.03</x:v>
      </x:c>
      <x:c r="AC150" s="23" t="n">
        <x:f>IF($A150="","",G150*(1+AB150))</x:f>
        <x:v>3007.6</x:v>
      </x:c>
      <x:c r="AD150" s="23" t="n">
        <x:f>IF($A150="","",G150*F150*12)</x:f>
        <x:v>35040</x:v>
      </x:c>
      <x:c r="AE150" s="23" t="n">
        <x:f>IF($A150="","",G150*F150*J150)</x:f>
        <x:v>2920</x:v>
      </x:c>
      <x:c r="AF150" s="24" t="n">
        <x:f>IF($A150="","",L150*F150*K150*Settings!$B$13)</x:f>
        <x:v>2686.4</x:v>
      </x:c>
      <x:c r="AG150" s="23" t="n">
        <x:f>IF($A150="","",AD150*H150*I150)</x:f>
        <x:v>840.96</x:v>
      </x:c>
      <x:c r="AH150" s="24" t="n">
        <x:f>IF($A150="","",SUM(AD150:AE150,AG150)*SUM(Settings!$B$11:$B$12))</x:f>
        <x:v>9700.24</x:v>
      </x:c>
      <x:c r="AI150" s="24" t="n">
        <x:f>IF($A150="","",M150*Settings!$B$16)</x:f>
        <x:v>1897.83</x:v>
      </x:c>
      <x:c r="AJ150" s="24" t="n">
        <x:f>IF($A150="","",M150*Settings!$B$15)</x:f>
        <x:v>232.17000000000002</x:v>
      </x:c>
      <x:c r="AK150" s="24" t="n">
        <x:f>IF($A150="","",O150*Settings!$B$18)</x:f>
        <x:v>436.6</x:v>
      </x:c>
      <x:c r="AL150" s="24" t="n">
        <x:f>IF($A150="","",P150*Settings!$B$20+Q150*Settings!$B$21+R150*Settings!$B$22+S150*Settings!$B$23)</x:f>
        <x:v>2184.76</x:v>
      </x:c>
      <x:c r="AM150" s="24" t="n">
        <x:f>IF($A150="","",T150*Settings!$B$24)</x:f>
        <x:v>40</x:v>
      </x:c>
      <x:c r="AN150" s="23" t="n">
        <x:f>IF($A150="","",SUM(AI150,N150,AK150:AM150,U150))</x:f>
        <x:v>4809.1900000000005</x:v>
      </x:c>
      <x:c r="AO150" s="23" t="n">
        <x:f>IF($A150="","",SUM(AD150:AI150,N150,AK150:AM150,U150))</x:f>
        <x:v>55996.79</x:v>
      </x:c>
      <x:c r="AP150" s="24" t="n">
        <x:f>IF($A150="","",G150*F150*AB150*((13-Settings!$B$9)*(1+H150*I150)+J150)*(1+SUM(Settings!$B$11:$B$12)))</x:f>
        <x:v>1118.652</x:v>
      </x:c>
      <x:c r="AQ150" s="23" t="n">
        <x:f>IF($A150="","",SUM(AO150:AP150))</x:f>
        <x:v>57115.442</x:v>
      </x:c>
      <x:c r="AR150" s="23" t="n">
        <x:f>IF($A150="","",AQ150-X150)</x:f>
        <x:v>-884.5579999999973</x:v>
      </x:c>
      <x:c r="AS150" s="22" t="n">
        <x:f>IF($A150="","",IF(W150=0,"n.a.",V150/W150))</x:f>
        <x:v>0.0391304347826087</x:v>
      </x:c>
      <x:c r="AT150" s="26" t="str">
        <x:f>IF($A150="",IF(COUNTA(B150:Y150)&gt;0,"Missing ID",""),IF(COUNTIFS($A$9:$A$508,A150)&gt;1,"Duplicate ID",IF(OR(B150="",C150="",D150="",E150="",COUNT(F150:X150)&lt;&gt;19),"Missing / text input",IF(OR(COUNTIFS(Settings!$A$59:$A$64,B150)&lt;&gt;1,COUNTIFS(Settings!$A$29:$A$33,E150)&lt;&gt;1),"Unknown department / grade",IF(OR(F150&lt;=0,F150&gt;1,G150&lt;=0,L150&lt;=0,H150&lt;0,I150&lt;0,J150&lt;0,K150&lt;0,K150&gt;1,MIN(M150:X150)&lt;0,W150=0,V150&gt;W150,M150&gt;W150-V150,P150&gt;8,Q150&gt;4,R150&gt;12,S150&gt;12,T150&gt;1,AB150&lt;0),"Review quantity / rate",IF(OR(N150&gt;Settings!$C$17,AK150&gt;Settings!$C$19),"Review benefit ceiling","OK"))))))</x:f>
        <x:v>OK</x:v>
      </x:c>
    </x:row>
    <x:row r="151" ht="23" customHeight="1">
      <x:c r="A151" s="8" t="str">
        <x:v>BE-0143</x:v>
      </x:c>
      <x:c r="B151" s="8" t="str">
        <x:v>Customer Operations</x:v>
      </x:c>
      <x:c r="C151" s="8" t="str">
        <x:v>Antwerp</x:v>
      </x:c>
      <x:c r="D151" s="8" t="str">
        <x:v>Service administrator</x:v>
      </x:c>
      <x:c r="E151" s="8" t="str">
        <x:v>G1</x:v>
      </x:c>
      <x:c r="F151" s="20" t="n">
        <x:v>1</x:v>
      </x:c>
      <x:c r="G151" s="12" t="n">
        <x:v>2960</x:v>
      </x:c>
      <x:c r="H151" s="21" t="n">
        <x:v>0.03</x:v>
      </x:c>
      <x:c r="I151" s="20" t="n">
        <x:v>1</x:v>
      </x:c>
      <x:c r="J151" s="20" t="n">
        <x:v>1</x:v>
      </x:c>
      <x:c r="K151" s="20" t="n">
        <x:v>1</x:v>
      </x:c>
      <x:c r="L151" s="12" t="n">
        <x:v>2960</x:v>
      </x:c>
      <x:c r="M151" s="8" t="n">
        <x:v>212</x:v>
      </x:c>
      <x:c r="N151" s="12" t="n">
        <x:v>250</x:v>
      </x:c>
      <x:c r="O151" s="8" t="n">
        <x:v>0</x:v>
      </x:c>
      <x:c r="P151" s="8" t="n">
        <x:v>8</x:v>
      </x:c>
      <x:c r="Q151" s="8" t="n">
        <x:v>4</x:v>
      </x:c>
      <x:c r="R151" s="8" t="n">
        <x:v>12</x:v>
      </x:c>
      <x:c r="S151" s="8" t="n">
        <x:v>0</x:v>
      </x:c>
      <x:c r="T151" s="8" t="n">
        <x:v>1</x:v>
      </x:c>
      <x:c r="U151" s="12" t="n">
        <x:v>0</x:v>
      </x:c>
      <x:c r="V151" s="8" t="n">
        <x:v>10</x:v>
      </x:c>
      <x:c r="W151" s="8" t="n">
        <x:v>230</x:v>
      </x:c>
      <x:c r="X151" s="12" t="n">
        <x:v>58500</x:v>
      </x:c>
      <x:c r="Y151" s="21"/>
      <x:c r="Z151" s="24" t="n">
        <x:f>IF($A151="","",INDEX(Settings!$C$29:$C$33,MATCH(E151,Settings!$A$29:$A$33,0)))</x:f>
        <x:v>2700</x:v>
      </x:c>
      <x:c r="AA151" s="22" t="n">
        <x:f>IF($A151="","",G151/Z151)</x:f>
        <x:v>1.0962962962962963</x:v>
      </x:c>
      <x:c r="AB151" s="25" t="n">
        <x:f>IF($A151="","",IF(ISNUMBER(Y151),Y151,Settings!$B$10))</x:f>
        <x:v>0.03</x:v>
      </x:c>
      <x:c r="AC151" s="23" t="n">
        <x:f>IF($A151="","",G151*(1+AB151))</x:f>
        <x:v>3048.8</x:v>
      </x:c>
      <x:c r="AD151" s="23" t="n">
        <x:f>IF($A151="","",G151*F151*12)</x:f>
        <x:v>35520</x:v>
      </x:c>
      <x:c r="AE151" s="23" t="n">
        <x:f>IF($A151="","",G151*F151*J151)</x:f>
        <x:v>2960</x:v>
      </x:c>
      <x:c r="AF151" s="24" t="n">
        <x:f>IF($A151="","",L151*F151*K151*Settings!$B$13)</x:f>
        <x:v>2723.2000000000003</x:v>
      </x:c>
      <x:c r="AG151" s="23" t="n">
        <x:f>IF($A151="","",AD151*H151*I151)</x:f>
        <x:v>1065.6</x:v>
      </x:c>
      <x:c r="AH151" s="24" t="n">
        <x:f>IF($A151="","",SUM(AD151:AE151,AG151)*SUM(Settings!$B$11:$B$12))</x:f>
        <x:v>9886.4</x:v>
      </x:c>
      <x:c r="AI151" s="24" t="n">
        <x:f>IF($A151="","",M151*Settings!$B$16)</x:f>
        <x:v>1888.92</x:v>
      </x:c>
      <x:c r="AJ151" s="24" t="n">
        <x:f>IF($A151="","",M151*Settings!$B$15)</x:f>
        <x:v>231.08</x:v>
      </x:c>
      <x:c r="AK151" s="24" t="n">
        <x:f>IF($A151="","",O151*Settings!$B$18)</x:f>
        <x:v>0</x:v>
      </x:c>
      <x:c r="AL151" s="24" t="n">
        <x:f>IF($A151="","",P151*Settings!$B$20+Q151*Settings!$B$21+R151*Settings!$B$22+S151*Settings!$B$23)</x:f>
        <x:v>2184.76</x:v>
      </x:c>
      <x:c r="AM151" s="24" t="n">
        <x:f>IF($A151="","",T151*Settings!$B$24)</x:f>
        <x:v>40</x:v>
      </x:c>
      <x:c r="AN151" s="23" t="n">
        <x:f>IF($A151="","",SUM(AI151,N151,AK151:AM151,U151))</x:f>
        <x:v>4363.68</x:v>
      </x:c>
      <x:c r="AO151" s="23" t="n">
        <x:f>IF($A151="","",SUM(AD151:AI151,N151,AK151:AM151,U151))</x:f>
        <x:v>56518.88</x:v>
      </x:c>
      <x:c r="AP151" s="24" t="n">
        <x:f>IF($A151="","",G151*F151*AB151*((13-Settings!$B$9)*(1+H151*I151)+J151)*(1+SUM(Settings!$B$11:$B$12)))</x:f>
        <x:v>1139.9699999999998</x:v>
      </x:c>
      <x:c r="AQ151" s="23" t="n">
        <x:f>IF($A151="","",SUM(AO151:AP151))</x:f>
        <x:v>57658.85</x:v>
      </x:c>
      <x:c r="AR151" s="23" t="n">
        <x:f>IF($A151="","",AQ151-X151)</x:f>
        <x:v>-841.1500000000015</x:v>
      </x:c>
      <x:c r="AS151" s="22" t="n">
        <x:f>IF($A151="","",IF(W151=0,"n.a.",V151/W151))</x:f>
        <x:v>0.043478260869565216</x:v>
      </x:c>
      <x:c r="AT151" s="26" t="str">
        <x:f>IF($A151="",IF(COUNTA(B151:Y151)&gt;0,"Missing ID",""),IF(COUNTIFS($A$9:$A$508,A151)&gt;1,"Duplicate ID",IF(OR(B151="",C151="",D151="",E151="",COUNT(F151:X151)&lt;&gt;19),"Missing / text input",IF(OR(COUNTIFS(Settings!$A$59:$A$64,B151)&lt;&gt;1,COUNTIFS(Settings!$A$29:$A$33,E151)&lt;&gt;1),"Unknown department / grade",IF(OR(F151&lt;=0,F151&gt;1,G151&lt;=0,L151&lt;=0,H151&lt;0,I151&lt;0,J151&lt;0,K151&lt;0,K151&gt;1,MIN(M151:X151)&lt;0,W151=0,V151&gt;W151,M151&gt;W151-V151,P151&gt;8,Q151&gt;4,R151&gt;12,S151&gt;12,T151&gt;1,AB151&lt;0),"Review quantity / rate",IF(OR(N151&gt;Settings!$C$17,AK151&gt;Settings!$C$19),"Review benefit ceiling","OK"))))))</x:f>
        <x:v>OK</x:v>
      </x:c>
    </x:row>
    <x:row r="152" ht="23" customHeight="1">
      <x:c r="A152" s="8" t="str">
        <x:v>BE-0144</x:v>
      </x:c>
      <x:c r="B152" s="8" t="str">
        <x:v>Business Support</x:v>
      </x:c>
      <x:c r="C152" s="8" t="str">
        <x:v>Ghent</x:v>
      </x:c>
      <x:c r="D152" s="8" t="str">
        <x:v>Office administrator</x:v>
      </x:c>
      <x:c r="E152" s="8" t="str">
        <x:v>G1</x:v>
      </x:c>
      <x:c r="F152" s="20" t="n">
        <x:v>1</x:v>
      </x:c>
      <x:c r="G152" s="12" t="n">
        <x:v>2880</x:v>
      </x:c>
      <x:c r="H152" s="21" t="n">
        <x:v>0.03</x:v>
      </x:c>
      <x:c r="I152" s="20" t="n">
        <x:v>1.1</x:v>
      </x:c>
      <x:c r="J152" s="20" t="n">
        <x:v>1</x:v>
      </x:c>
      <x:c r="K152" s="20" t="n">
        <x:v>1</x:v>
      </x:c>
      <x:c r="L152" s="12" t="n">
        <x:v>2880</x:v>
      </x:c>
      <x:c r="M152" s="8" t="n">
        <x:v>211</x:v>
      </x:c>
      <x:c r="N152" s="12" t="n">
        <x:v>250</x:v>
      </x:c>
      <x:c r="O152" s="8" t="n">
        <x:v>0</x:v>
      </x:c>
      <x:c r="P152" s="8" t="n">
        <x:v>8</x:v>
      </x:c>
      <x:c r="Q152" s="8" t="n">
        <x:v>4</x:v>
      </x:c>
      <x:c r="R152" s="8" t="n">
        <x:v>12</x:v>
      </x:c>
      <x:c r="S152" s="8" t="n">
        <x:v>0</x:v>
      </x:c>
      <x:c r="T152" s="8" t="n">
        <x:v>1</x:v>
      </x:c>
      <x:c r="U152" s="12" t="n">
        <x:v>0</x:v>
      </x:c>
      <x:c r="V152" s="8" t="n">
        <x:v>11</x:v>
      </x:c>
      <x:c r="W152" s="8" t="n">
        <x:v>230</x:v>
      </x:c>
      <x:c r="X152" s="12" t="n">
        <x:v>56100</x:v>
      </x:c>
      <x:c r="Y152" s="21" t="n">
        <x:v>0</x:v>
      </x:c>
      <x:c r="Z152" s="24" t="n">
        <x:f>IF($A152="","",INDEX(Settings!$C$29:$C$33,MATCH(E152,Settings!$A$29:$A$33,0)))</x:f>
        <x:v>2700</x:v>
      </x:c>
      <x:c r="AA152" s="22" t="n">
        <x:f>IF($A152="","",G152/Z152)</x:f>
        <x:v>1.0666666666666667</x:v>
      </x:c>
      <x:c r="AB152" s="25" t="n">
        <x:f>IF($A152="","",IF(ISNUMBER(Y152),Y152,Settings!$B$10))</x:f>
        <x:v>0</x:v>
      </x:c>
      <x:c r="AC152" s="23" t="n">
        <x:f>IF($A152="","",G152*(1+AB152))</x:f>
        <x:v>2880</x:v>
      </x:c>
      <x:c r="AD152" s="23" t="n">
        <x:f>IF($A152="","",G152*F152*12)</x:f>
        <x:v>34560</x:v>
      </x:c>
      <x:c r="AE152" s="23" t="n">
        <x:f>IF($A152="","",G152*F152*J152)</x:f>
        <x:v>2880</x:v>
      </x:c>
      <x:c r="AF152" s="24" t="n">
        <x:f>IF($A152="","",L152*F152*K152*Settings!$B$13)</x:f>
        <x:v>2649.6</x:v>
      </x:c>
      <x:c r="AG152" s="23" t="n">
        <x:f>IF($A152="","",AD152*H152*I152)</x:f>
        <x:v>1140.48</x:v>
      </x:c>
      <x:c r="AH152" s="24" t="n">
        <x:f>IF($A152="","",SUM(AD152:AE152,AG152)*SUM(Settings!$B$11:$B$12))</x:f>
        <x:v>9645.12</x:v>
      </x:c>
      <x:c r="AI152" s="24" t="n">
        <x:f>IF($A152="","",M152*Settings!$B$16)</x:f>
        <x:v>1880.01</x:v>
      </x:c>
      <x:c r="AJ152" s="24" t="n">
        <x:f>IF($A152="","",M152*Settings!$B$15)</x:f>
        <x:v>229.99</x:v>
      </x:c>
      <x:c r="AK152" s="24" t="n">
        <x:f>IF($A152="","",O152*Settings!$B$18)</x:f>
        <x:v>0</x:v>
      </x:c>
      <x:c r="AL152" s="24" t="n">
        <x:f>IF($A152="","",P152*Settings!$B$20+Q152*Settings!$B$21+R152*Settings!$B$22+S152*Settings!$B$23)</x:f>
        <x:v>2184.76</x:v>
      </x:c>
      <x:c r="AM152" s="24" t="n">
        <x:f>IF($A152="","",T152*Settings!$B$24)</x:f>
        <x:v>40</x:v>
      </x:c>
      <x:c r="AN152" s="23" t="n">
        <x:f>IF($A152="","",SUM(AI152,N152,AK152:AM152,U152))</x:f>
        <x:v>4354.77</x:v>
      </x:c>
      <x:c r="AO152" s="23" t="n">
        <x:f>IF($A152="","",SUM(AD152:AI152,N152,AK152:AM152,U152))</x:f>
        <x:v>55229.97000000001</x:v>
      </x:c>
      <x:c r="AP152" s="24" t="n">
        <x:f>IF($A152="","",G152*F152*AB152*((13-Settings!$B$9)*(1+H152*I152)+J152)*(1+SUM(Settings!$B$11:$B$12)))</x:f>
        <x:v>0</x:v>
      </x:c>
      <x:c r="AQ152" s="23" t="n">
        <x:f>IF($A152="","",SUM(AO152:AP152))</x:f>
        <x:v>55229.97000000001</x:v>
      </x:c>
      <x:c r="AR152" s="23" t="n">
        <x:f>IF($A152="","",AQ152-X152)</x:f>
        <x:v>-870.0299999999916</x:v>
      </x:c>
      <x:c r="AS152" s="22" t="n">
        <x:f>IF($A152="","",IF(W152=0,"n.a.",V152/W152))</x:f>
        <x:v>0.04782608695652174</x:v>
      </x:c>
      <x:c r="AT152" s="26" t="str">
        <x:f>IF($A152="",IF(COUNTA(B152:Y152)&gt;0,"Missing ID",""),IF(COUNTIFS($A$9:$A$508,A152)&gt;1,"Duplicate ID",IF(OR(B152="",C152="",D152="",E152="",COUNT(F152:X152)&lt;&gt;19),"Missing / text input",IF(OR(COUNTIFS(Settings!$A$59:$A$64,B152)&lt;&gt;1,COUNTIFS(Settings!$A$29:$A$33,E152)&lt;&gt;1),"Unknown department / grade",IF(OR(F152&lt;=0,F152&gt;1,G152&lt;=0,L152&lt;=0,H152&lt;0,I152&lt;0,J152&lt;0,K152&lt;0,K152&gt;1,MIN(M152:X152)&lt;0,W152=0,V152&gt;W152,M152&gt;W152-V152,P152&gt;8,Q152&gt;4,R152&gt;12,S152&gt;12,T152&gt;1,AB152&lt;0),"Review quantity / rate",IF(OR(N152&gt;Settings!$C$17,AK152&gt;Settings!$C$19),"Review benefit ceiling","OK"))))))</x:f>
        <x:v>OK</x:v>
      </x:c>
    </x:row>
    <x:row r="153" ht="23" customHeight="1">
      <x:c r="A153" s="8" t="str">
        <x:v>BE-0145</x:v>
      </x:c>
      <x:c r="B153" s="8" t="str">
        <x:v>Finance</x:v>
      </x:c>
      <x:c r="C153" s="8" t="str">
        <x:v>Brussels</x:v>
      </x:c>
      <x:c r="D153" s="8" t="str">
        <x:v>Finance administrator</x:v>
      </x:c>
      <x:c r="E153" s="8" t="str">
        <x:v>G1</x:v>
      </x:c>
      <x:c r="F153" s="20" t="n">
        <x:v>0.6</x:v>
      </x:c>
      <x:c r="G153" s="12" t="n">
        <x:v>2960</x:v>
      </x:c>
      <x:c r="H153" s="21" t="n">
        <x:v>0.03</x:v>
      </x:c>
      <x:c r="I153" s="20" t="n">
        <x:v>0.8</x:v>
      </x:c>
      <x:c r="J153" s="20" t="n">
        <x:v>1</x:v>
      </x:c>
      <x:c r="K153" s="20" t="n">
        <x:v>1</x:v>
      </x:c>
      <x:c r="L153" s="12" t="n">
        <x:v>2960</x:v>
      </x:c>
      <x:c r="M153" s="8" t="n">
        <x:v>124</x:v>
      </x:c>
      <x:c r="N153" s="12" t="n">
        <x:v>150</x:v>
      </x:c>
      <x:c r="O153" s="8" t="n">
        <x:v>1510</x:v>
      </x:c>
      <x:c r="P153" s="8" t="n">
        <x:v>0</x:v>
      </x:c>
      <x:c r="Q153" s="8" t="n">
        <x:v>0</x:v>
      </x:c>
      <x:c r="R153" s="8" t="n">
        <x:v>0</x:v>
      </x:c>
      <x:c r="S153" s="8" t="n">
        <x:v>0</x:v>
      </x:c>
      <x:c r="T153" s="8" t="n">
        <x:v>1</x:v>
      </x:c>
      <x:c r="U153" s="12" t="n">
        <x:v>0</x:v>
      </x:c>
      <x:c r="V153" s="8" t="n">
        <x:v>0</x:v>
      </x:c>
      <x:c r="W153" s="8" t="n">
        <x:v>138</x:v>
      </x:c>
      <x:c r="X153" s="12" t="n">
        <x:v>34200</x:v>
      </x:c>
      <x:c r="Y153" s="21"/>
      <x:c r="Z153" s="24" t="n">
        <x:f>IF($A153="","",INDEX(Settings!$C$29:$C$33,MATCH(E153,Settings!$A$29:$A$33,0)))</x:f>
        <x:v>2700</x:v>
      </x:c>
      <x:c r="AA153" s="22" t="n">
        <x:f>IF($A153="","",G153/Z153)</x:f>
        <x:v>1.0962962962962963</x:v>
      </x:c>
      <x:c r="AB153" s="25" t="n">
        <x:f>IF($A153="","",IF(ISNUMBER(Y153),Y153,Settings!$B$10))</x:f>
        <x:v>0.03</x:v>
      </x:c>
      <x:c r="AC153" s="23" t="n">
        <x:f>IF($A153="","",G153*(1+AB153))</x:f>
        <x:v>3048.8</x:v>
      </x:c>
      <x:c r="AD153" s="23" t="n">
        <x:f>IF($A153="","",G153*F153*12)</x:f>
        <x:v>21312</x:v>
      </x:c>
      <x:c r="AE153" s="23" t="n">
        <x:f>IF($A153="","",G153*F153*J153)</x:f>
        <x:v>1776</x:v>
      </x:c>
      <x:c r="AF153" s="24" t="n">
        <x:f>IF($A153="","",L153*F153*K153*Settings!$B$13)</x:f>
        <x:v>1633.92</x:v>
      </x:c>
      <x:c r="AG153" s="23" t="n">
        <x:f>IF($A153="","",AD153*H153*I153)</x:f>
        <x:v>511.48800000000006</x:v>
      </x:c>
      <x:c r="AH153" s="24" t="n">
        <x:f>IF($A153="","",SUM(AD153:AE153,AG153)*SUM(Settings!$B$11:$B$12))</x:f>
        <x:v>5899.872</x:v>
      </x:c>
      <x:c r="AI153" s="24" t="n">
        <x:f>IF($A153="","",M153*Settings!$B$16)</x:f>
        <x:v>1104.84</x:v>
      </x:c>
      <x:c r="AJ153" s="24" t="n">
        <x:f>IF($A153="","",M153*Settings!$B$15)</x:f>
        <x:v>135.16</x:v>
      </x:c>
      <x:c r="AK153" s="24" t="n">
        <x:f>IF($A153="","",O153*Settings!$B$18)</x:f>
        <x:v>558.7</x:v>
      </x:c>
      <x:c r="AL153" s="24" t="n">
        <x:f>IF($A153="","",P153*Settings!$B$20+Q153*Settings!$B$21+R153*Settings!$B$22+S153*Settings!$B$23)</x:f>
        <x:v>0</x:v>
      </x:c>
      <x:c r="AM153" s="24" t="n">
        <x:f>IF($A153="","",T153*Settings!$B$24)</x:f>
        <x:v>40</x:v>
      </x:c>
      <x:c r="AN153" s="23" t="n">
        <x:f>IF($A153="","",SUM(AI153,N153,AK153:AM153,U153))</x:f>
        <x:v>1853.54</x:v>
      </x:c>
      <x:c r="AO153" s="23" t="n">
        <x:f>IF($A153="","",SUM(AD153:AI153,N153,AK153:AM153,U153))</x:f>
        <x:v>32986.82</x:v>
      </x:c>
      <x:c r="AP153" s="24" t="n">
        <x:f>IF($A153="","",G153*F153*AB153*((13-Settings!$B$9)*(1+H153*I153)+J153)*(1+SUM(Settings!$B$11:$B$12)))</x:f>
        <x:v>680.3856000000001</x:v>
      </x:c>
      <x:c r="AQ153" s="23" t="n">
        <x:f>IF($A153="","",SUM(AO153:AP153))</x:f>
        <x:v>33667.2056</x:v>
      </x:c>
      <x:c r="AR153" s="23" t="n">
        <x:f>IF($A153="","",AQ153-X153)</x:f>
        <x:v>-532.7943999999989</x:v>
      </x:c>
      <x:c r="AS153" s="22" t="n">
        <x:f>IF($A153="","",IF(W153=0,"n.a.",V153/W153))</x:f>
        <x:v>0</x:v>
      </x:c>
      <x:c r="AT153" s="26" t="str">
        <x:f>IF($A153="",IF(COUNTA(B153:Y153)&gt;0,"Missing ID",""),IF(COUNTIFS($A$9:$A$508,A153)&gt;1,"Duplicate ID",IF(OR(B153="",C153="",D153="",E153="",COUNT(F153:X153)&lt;&gt;19),"Missing / text input",IF(OR(COUNTIFS(Settings!$A$59:$A$64,B153)&lt;&gt;1,COUNTIFS(Settings!$A$29:$A$33,E153)&lt;&gt;1),"Unknown department / grade",IF(OR(F153&lt;=0,F153&gt;1,G153&lt;=0,L153&lt;=0,H153&lt;0,I153&lt;0,J153&lt;0,K153&lt;0,K153&gt;1,MIN(M153:X153)&lt;0,W153=0,V153&gt;W153,M153&gt;W153-V153,P153&gt;8,Q153&gt;4,R153&gt;12,S153&gt;12,T153&gt;1,AB153&lt;0),"Review quantity / rate",IF(OR(N153&gt;Settings!$C$17,AK153&gt;Settings!$C$19),"Review benefit ceiling","OK"))))))</x:f>
        <x:v>OK</x:v>
      </x:c>
    </x:row>
    <x:row r="154" ht="23" customHeight="1">
      <x:c r="A154" s="8" t="str">
        <x:v>BE-0146</x:v>
      </x:c>
      <x:c r="B154" s="8" t="str">
        <x:v>People &amp; Culture</x:v>
      </x:c>
      <x:c r="C154" s="8" t="str">
        <x:v>Antwerp</x:v>
      </x:c>
      <x:c r="D154" s="8" t="str">
        <x:v>HR specialist</x:v>
      </x:c>
      <x:c r="E154" s="8" t="str">
        <x:v>G2</x:v>
      </x:c>
      <x:c r="F154" s="20" t="n">
        <x:v>1</x:v>
      </x:c>
      <x:c r="G154" s="12" t="n">
        <x:v>3550</x:v>
      </x:c>
      <x:c r="H154" s="21" t="n">
        <x:v>0.05</x:v>
      </x:c>
      <x:c r="I154" s="20" t="n">
        <x:v>1</x:v>
      </x:c>
      <x:c r="J154" s="20" t="n">
        <x:v>1</x:v>
      </x:c>
      <x:c r="K154" s="20" t="n">
        <x:v>1</x:v>
      </x:c>
      <x:c r="L154" s="12" t="n">
        <x:v>3550</x:v>
      </x:c>
      <x:c r="M154" s="8" t="n">
        <x:v>209</x:v>
      </x:c>
      <x:c r="N154" s="12" t="n">
        <x:v>250</x:v>
      </x:c>
      <x:c r="O154" s="8" t="n">
        <x:v>0</x:v>
      </x:c>
      <x:c r="P154" s="8" t="n">
        <x:v>8</x:v>
      </x:c>
      <x:c r="Q154" s="8" t="n">
        <x:v>4</x:v>
      </x:c>
      <x:c r="R154" s="8" t="n">
        <x:v>12</x:v>
      </x:c>
      <x:c r="S154" s="8" t="n">
        <x:v>12</x:v>
      </x:c>
      <x:c r="T154" s="8" t="n">
        <x:v>1</x:v>
      </x:c>
      <x:c r="U154" s="12" t="n">
        <x:v>0</x:v>
      </x:c>
      <x:c r="V154" s="8" t="n">
        <x:v>1</x:v>
      </x:c>
      <x:c r="W154" s="8" t="n">
        <x:v>230</x:v>
      </x:c>
      <x:c r="X154" s="12" t="n">
        <x:v>68500</x:v>
      </x:c>
      <x:c r="Y154" s="21"/>
      <x:c r="Z154" s="24" t="n">
        <x:f>IF($A154="","",INDEX(Settings!$C$29:$C$33,MATCH(E154,Settings!$A$29:$A$33,0)))</x:f>
        <x:v>3300</x:v>
      </x:c>
      <x:c r="AA154" s="22" t="n">
        <x:f>IF($A154="","",G154/Z154)</x:f>
        <x:v>1.0757575757575757</x:v>
      </x:c>
      <x:c r="AB154" s="25" t="n">
        <x:f>IF($A154="","",IF(ISNUMBER(Y154),Y154,Settings!$B$10))</x:f>
        <x:v>0.03</x:v>
      </x:c>
      <x:c r="AC154" s="23" t="n">
        <x:f>IF($A154="","",G154*(1+AB154))</x:f>
        <x:v>3656.5</x:v>
      </x:c>
      <x:c r="AD154" s="23" t="n">
        <x:f>IF($A154="","",G154*F154*12)</x:f>
        <x:v>42600</x:v>
      </x:c>
      <x:c r="AE154" s="23" t="n">
        <x:f>IF($A154="","",G154*F154*J154)</x:f>
        <x:v>3550</x:v>
      </x:c>
      <x:c r="AF154" s="24" t="n">
        <x:f>IF($A154="","",L154*F154*K154*Settings!$B$13)</x:f>
        <x:v>3266</x:v>
      </x:c>
      <x:c r="AG154" s="23" t="n">
        <x:f>IF($A154="","",AD154*H154*I154)</x:f>
        <x:v>2130</x:v>
      </x:c>
      <x:c r="AH154" s="24" t="n">
        <x:f>IF($A154="","",SUM(AD154:AE154,AG154)*SUM(Settings!$B$11:$B$12))</x:f>
        <x:v>12070</x:v>
      </x:c>
      <x:c r="AI154" s="24" t="n">
        <x:f>IF($A154="","",M154*Settings!$B$16)</x:f>
        <x:v>1862.19</x:v>
      </x:c>
      <x:c r="AJ154" s="24" t="n">
        <x:f>IF($A154="","",M154*Settings!$B$15)</x:f>
        <x:v>227.81000000000003</x:v>
      </x:c>
      <x:c r="AK154" s="24" t="n">
        <x:f>IF($A154="","",O154*Settings!$B$18)</x:f>
        <x:v>0</x:v>
      </x:c>
      <x:c r="AL154" s="24" t="n">
        <x:f>IF($A154="","",P154*Settings!$B$20+Q154*Settings!$B$21+R154*Settings!$B$22+S154*Settings!$B$23)</x:f>
        <x:v>2424.76</x:v>
      </x:c>
      <x:c r="AM154" s="24" t="n">
        <x:f>IF($A154="","",T154*Settings!$B$24)</x:f>
        <x:v>40</x:v>
      </x:c>
      <x:c r="AN154" s="23" t="n">
        <x:f>IF($A154="","",SUM(AI154,N154,AK154:AM154,U154))</x:f>
        <x:v>4576.950000000001</x:v>
      </x:c>
      <x:c r="AO154" s="23" t="n">
        <x:f>IF($A154="","",SUM(AD154:AI154,N154,AK154:AM154,U154))</x:f>
        <x:v>68192.95</x:v>
      </x:c>
      <x:c r="AP154" s="24" t="n">
        <x:f>IF($A154="","",G154*F154*AB154*((13-Settings!$B$9)*(1+H154*I154)+J154)*(1+SUM(Settings!$B$11:$B$12)))</x:f>
        <x:v>1391.1562500000002</x:v>
      </x:c>
      <x:c r="AQ154" s="23" t="n">
        <x:f>IF($A154="","",SUM(AO154:AP154))</x:f>
        <x:v>69584.10625</x:v>
      </x:c>
      <x:c r="AR154" s="23" t="n">
        <x:f>IF($A154="","",AQ154-X154)</x:f>
        <x:v>1084.106249999997</x:v>
      </x:c>
      <x:c r="AS154" s="22" t="n">
        <x:f>IF($A154="","",IF(W154=0,"n.a.",V154/W154))</x:f>
        <x:v>0.004347826086956522</x:v>
      </x:c>
      <x:c r="AT154" s="26" t="str">
        <x:f>IF($A154="",IF(COUNTA(B154:Y154)&gt;0,"Missing ID",""),IF(COUNTIFS($A$9:$A$508,A154)&gt;1,"Duplicate ID",IF(OR(B154="",C154="",D154="",E154="",COUNT(F154:X154)&lt;&gt;19),"Missing / text input",IF(OR(COUNTIFS(Settings!$A$59:$A$64,B154)&lt;&gt;1,COUNTIFS(Settings!$A$29:$A$33,E154)&lt;&gt;1),"Unknown department / grade",IF(OR(F154&lt;=0,F154&gt;1,G154&lt;=0,L154&lt;=0,H154&lt;0,I154&lt;0,J154&lt;0,K154&lt;0,K154&gt;1,MIN(M154:X154)&lt;0,W154=0,V154&gt;W154,M154&gt;W154-V154,P154&gt;8,Q154&gt;4,R154&gt;12,S154&gt;12,T154&gt;1,AB154&lt;0),"Review quantity / rate",IF(OR(N154&gt;Settings!$C$17,AK154&gt;Settings!$C$19),"Review benefit ceiling","OK"))))))</x:f>
        <x:v>OK</x:v>
      </x:c>
    </x:row>
    <x:row r="155" ht="23" customHeight="1">
      <x:c r="A155" s="8" t="str">
        <x:v>BE-0147</x:v>
      </x:c>
      <x:c r="B155" s="8" t="str">
        <x:v>Technology</x:v>
      </x:c>
      <x:c r="C155" s="8" t="str">
        <x:v>Ghent</x:v>
      </x:c>
      <x:c r="D155" s="8" t="str">
        <x:v>Developer</x:v>
      </x:c>
      <x:c r="E155" s="8" t="str">
        <x:v>G2</x:v>
      </x:c>
      <x:c r="F155" s="20" t="n">
        <x:v>1</x:v>
      </x:c>
      <x:c r="G155" s="12" t="n">
        <x:v>3060</x:v>
      </x:c>
      <x:c r="H155" s="21" t="n">
        <x:v>0.05</x:v>
      </x:c>
      <x:c r="I155" s="20" t="n">
        <x:v>1.1</x:v>
      </x:c>
      <x:c r="J155" s="20" t="n">
        <x:v>1</x:v>
      </x:c>
      <x:c r="K155" s="20" t="n">
        <x:v>1</x:v>
      </x:c>
      <x:c r="L155" s="12" t="n">
        <x:v>3060</x:v>
      </x:c>
      <x:c r="M155" s="8" t="n">
        <x:v>208</x:v>
      </x:c>
      <x:c r="N155" s="12" t="n">
        <x:v>250</x:v>
      </x:c>
      <x:c r="O155" s="8" t="n">
        <x:v>0</x:v>
      </x:c>
      <x:c r="P155" s="8" t="n">
        <x:v>8</x:v>
      </x:c>
      <x:c r="Q155" s="8" t="n">
        <x:v>4</x:v>
      </x:c>
      <x:c r="R155" s="8" t="n">
        <x:v>12</x:v>
      </x:c>
      <x:c r="S155" s="8" t="n">
        <x:v>0</x:v>
      </x:c>
      <x:c r="T155" s="8" t="n">
        <x:v>1</x:v>
      </x:c>
      <x:c r="U155" s="12" t="n">
        <x:v>0</x:v>
      </x:c>
      <x:c r="V155" s="8" t="n">
        <x:v>2</x:v>
      </x:c>
      <x:c r="W155" s="8" t="n">
        <x:v>230</x:v>
      </x:c>
      <x:c r="X155" s="12" t="n">
        <x:v>61500</x:v>
      </x:c>
      <x:c r="Y155" s="21"/>
      <x:c r="Z155" s="24" t="n">
        <x:f>IF($A155="","",INDEX(Settings!$C$29:$C$33,MATCH(E155,Settings!$A$29:$A$33,0)))</x:f>
        <x:v>3300</x:v>
      </x:c>
      <x:c r="AA155" s="22" t="n">
        <x:f>IF($A155="","",G155/Z155)</x:f>
        <x:v>0.9272727272727272</x:v>
      </x:c>
      <x:c r="AB155" s="25" t="n">
        <x:f>IF($A155="","",IF(ISNUMBER(Y155),Y155,Settings!$B$10))</x:f>
        <x:v>0.03</x:v>
      </x:c>
      <x:c r="AC155" s="23" t="n">
        <x:f>IF($A155="","",G155*(1+AB155))</x:f>
        <x:v>3151.8</x:v>
      </x:c>
      <x:c r="AD155" s="23" t="n">
        <x:f>IF($A155="","",G155*F155*12)</x:f>
        <x:v>36720</x:v>
      </x:c>
      <x:c r="AE155" s="23" t="n">
        <x:f>IF($A155="","",G155*F155*J155)</x:f>
        <x:v>3060</x:v>
      </x:c>
      <x:c r="AF155" s="24" t="n">
        <x:f>IF($A155="","",L155*F155*K155*Settings!$B$13)</x:f>
        <x:v>2815.2000000000003</x:v>
      </x:c>
      <x:c r="AG155" s="23" t="n">
        <x:f>IF($A155="","",AD155*H155*I155)</x:f>
        <x:v>2019.6000000000001</x:v>
      </x:c>
      <x:c r="AH155" s="24" t="n">
        <x:f>IF($A155="","",SUM(AD155:AE155,AG155)*SUM(Settings!$B$11:$B$12))</x:f>
        <x:v>10449.9</x:v>
      </x:c>
      <x:c r="AI155" s="24" t="n">
        <x:f>IF($A155="","",M155*Settings!$B$16)</x:f>
        <x:v>1853.28</x:v>
      </x:c>
      <x:c r="AJ155" s="24" t="n">
        <x:f>IF($A155="","",M155*Settings!$B$15)</x:f>
        <x:v>226.72000000000003</x:v>
      </x:c>
      <x:c r="AK155" s="24" t="n">
        <x:f>IF($A155="","",O155*Settings!$B$18)</x:f>
        <x:v>0</x:v>
      </x:c>
      <x:c r="AL155" s="24" t="n">
        <x:f>IF($A155="","",P155*Settings!$B$20+Q155*Settings!$B$21+R155*Settings!$B$22+S155*Settings!$B$23)</x:f>
        <x:v>2184.76</x:v>
      </x:c>
      <x:c r="AM155" s="24" t="n">
        <x:f>IF($A155="","",T155*Settings!$B$24)</x:f>
        <x:v>40</x:v>
      </x:c>
      <x:c r="AN155" s="23" t="n">
        <x:f>IF($A155="","",SUM(AI155,N155,AK155:AM155,U155))</x:f>
        <x:v>4328.04</x:v>
      </x:c>
      <x:c r="AO155" s="23" t="n">
        <x:f>IF($A155="","",SUM(AD155:AI155,N155,AK155:AM155,U155))</x:f>
        <x:v>59392.74</x:v>
      </x:c>
      <x:c r="AP155" s="24" t="n">
        <x:f>IF($A155="","",G155*F155*AB155*((13-Settings!$B$9)*(1+H155*I155)+J155)*(1+SUM(Settings!$B$11:$B$12)))</x:f>
        <x:v>1204.30125</x:v>
      </x:c>
      <x:c r="AQ155" s="23" t="n">
        <x:f>IF($A155="","",SUM(AO155:AP155))</x:f>
        <x:v>60597.041249999995</x:v>
      </x:c>
      <x:c r="AR155" s="23" t="n">
        <x:f>IF($A155="","",AQ155-X155)</x:f>
        <x:v>-902.9587500000052</x:v>
      </x:c>
      <x:c r="AS155" s="22" t="n">
        <x:f>IF($A155="","",IF(W155=0,"n.a.",V155/W155))</x:f>
        <x:v>0.008695652173913044</x:v>
      </x:c>
      <x:c r="AT155" s="26" t="str">
        <x:f>IF($A155="",IF(COUNTA(B155:Y155)&gt;0,"Missing ID",""),IF(COUNTIFS($A$9:$A$508,A155)&gt;1,"Duplicate ID",IF(OR(B155="",C155="",D155="",E155="",COUNT(F155:X155)&lt;&gt;19),"Missing / text input",IF(OR(COUNTIFS(Settings!$A$59:$A$64,B155)&lt;&gt;1,COUNTIFS(Settings!$A$29:$A$33,E155)&lt;&gt;1),"Unknown department / grade",IF(OR(F155&lt;=0,F155&gt;1,G155&lt;=0,L155&lt;=0,H155&lt;0,I155&lt;0,J155&lt;0,K155&lt;0,K155&gt;1,MIN(M155:X155)&lt;0,W155=0,V155&gt;W155,M155&gt;W155-V155,P155&gt;8,Q155&gt;4,R155&gt;12,S155&gt;12,T155&gt;1,AB155&lt;0),"Review quantity / rate",IF(OR(N155&gt;Settings!$C$17,AK155&gt;Settings!$C$19),"Review benefit ceiling","OK"))))))</x:f>
        <x:v>OK</x:v>
      </x:c>
    </x:row>
    <x:row r="156" ht="23" customHeight="1">
      <x:c r="A156" s="8" t="str">
        <x:v>BE-0148</x:v>
      </x:c>
      <x:c r="B156" s="8" t="str">
        <x:v>Sales</x:v>
      </x:c>
      <x:c r="C156" s="8" t="str">
        <x:v>Brussels</x:v>
      </x:c>
      <x:c r="D156" s="8" t="str">
        <x:v>Account manager</x:v>
      </x:c>
      <x:c r="E156" s="8" t="str">
        <x:v>G2</x:v>
      </x:c>
      <x:c r="F156" s="20" t="n">
        <x:v>0.8</x:v>
      </x:c>
      <x:c r="G156" s="12" t="n">
        <x:v>3000</x:v>
      </x:c>
      <x:c r="H156" s="21" t="n">
        <x:v>0.05</x:v>
      </x:c>
      <x:c r="I156" s="20" t="n">
        <x:v>0.8</x:v>
      </x:c>
      <x:c r="J156" s="20" t="n">
        <x:v>1</x:v>
      </x:c>
      <x:c r="K156" s="20" t="n">
        <x:v>1</x:v>
      </x:c>
      <x:c r="L156" s="12" t="n">
        <x:v>3000</x:v>
      </x:c>
      <x:c r="M156" s="8" t="n">
        <x:v>171</x:v>
      </x:c>
      <x:c r="N156" s="12" t="n">
        <x:v>200</x:v>
      </x:c>
      <x:c r="O156" s="8" t="n">
        <x:v>1840</x:v>
      </x:c>
      <x:c r="P156" s="8" t="n">
        <x:v>8</x:v>
      </x:c>
      <x:c r="Q156" s="8" t="n">
        <x:v>4</x:v>
      </x:c>
      <x:c r="R156" s="8" t="n">
        <x:v>12</x:v>
      </x:c>
      <x:c r="S156" s="8" t="n">
        <x:v>0</x:v>
      </x:c>
      <x:c r="T156" s="8" t="n">
        <x:v>1</x:v>
      </x:c>
      <x:c r="U156" s="12" t="n">
        <x:v>0</x:v>
      </x:c>
      <x:c r="V156" s="8" t="n">
        <x:v>3</x:v>
      </x:c>
      <x:c r="W156" s="8" t="n">
        <x:v>184</x:v>
      </x:c>
      <x:c r="X156" s="12" t="n">
        <x:v>48900</x:v>
      </x:c>
      <x:c r="Y156" s="21"/>
      <x:c r="Z156" s="24" t="n">
        <x:f>IF($A156="","",INDEX(Settings!$C$29:$C$33,MATCH(E156,Settings!$A$29:$A$33,0)))</x:f>
        <x:v>3300</x:v>
      </x:c>
      <x:c r="AA156" s="22" t="n">
        <x:f>IF($A156="","",G156/Z156)</x:f>
        <x:v>0.9090909090909091</x:v>
      </x:c>
      <x:c r="AB156" s="25" t="n">
        <x:f>IF($A156="","",IF(ISNUMBER(Y156),Y156,Settings!$B$10))</x:f>
        <x:v>0.03</x:v>
      </x:c>
      <x:c r="AC156" s="23" t="n">
        <x:f>IF($A156="","",G156*(1+AB156))</x:f>
        <x:v>3090</x:v>
      </x:c>
      <x:c r="AD156" s="23" t="n">
        <x:f>IF($A156="","",G156*F156*12)</x:f>
        <x:v>28800</x:v>
      </x:c>
      <x:c r="AE156" s="23" t="n">
        <x:f>IF($A156="","",G156*F156*J156)</x:f>
        <x:v>2400</x:v>
      </x:c>
      <x:c r="AF156" s="24" t="n">
        <x:f>IF($A156="","",L156*F156*K156*Settings!$B$13)</x:f>
        <x:v>2208</x:v>
      </x:c>
      <x:c r="AG156" s="23" t="n">
        <x:f>IF($A156="","",AD156*H156*I156)</x:f>
        <x:v>1152</x:v>
      </x:c>
      <x:c r="AH156" s="24" t="n">
        <x:f>IF($A156="","",SUM(AD156:AE156,AG156)*SUM(Settings!$B$11:$B$12))</x:f>
        <x:v>8088</x:v>
      </x:c>
      <x:c r="AI156" s="24" t="n">
        <x:f>IF($A156="","",M156*Settings!$B$16)</x:f>
        <x:v>1523.6100000000001</x:v>
      </x:c>
      <x:c r="AJ156" s="24" t="n">
        <x:f>IF($A156="","",M156*Settings!$B$15)</x:f>
        <x:v>186.39000000000001</x:v>
      </x:c>
      <x:c r="AK156" s="24" t="n">
        <x:f>IF($A156="","",O156*Settings!$B$18)</x:f>
        <x:v>680.8</x:v>
      </x:c>
      <x:c r="AL156" s="24" t="n">
        <x:f>IF($A156="","",P156*Settings!$B$20+Q156*Settings!$B$21+R156*Settings!$B$22+S156*Settings!$B$23)</x:f>
        <x:v>2184.76</x:v>
      </x:c>
      <x:c r="AM156" s="24" t="n">
        <x:f>IF($A156="","",T156*Settings!$B$24)</x:f>
        <x:v>40</x:v>
      </x:c>
      <x:c r="AN156" s="23" t="n">
        <x:f>IF($A156="","",SUM(AI156,N156,AK156:AM156,U156))</x:f>
        <x:v>4629.17</x:v>
      </x:c>
      <x:c r="AO156" s="23" t="n">
        <x:f>IF($A156="","",SUM(AD156:AI156,N156,AK156:AM156,U156))</x:f>
        <x:v>47277.17</x:v>
      </x:c>
      <x:c r="AP156" s="24" t="n">
        <x:f>IF($A156="","",G156*F156*AB156*((13-Settings!$B$9)*(1+H156*I156)+J156)*(1+SUM(Settings!$B$11:$B$12)))</x:f>
        <x:v>932.4</x:v>
      </x:c>
      <x:c r="AQ156" s="23" t="n">
        <x:f>IF($A156="","",SUM(AO156:AP156))</x:f>
        <x:v>48209.57</x:v>
      </x:c>
      <x:c r="AR156" s="23" t="n">
        <x:f>IF($A156="","",AQ156-X156)</x:f>
        <x:v>-690.4300000000003</x:v>
      </x:c>
      <x:c r="AS156" s="22" t="n">
        <x:f>IF($A156="","",IF(W156=0,"n.a.",V156/W156))</x:f>
        <x:v>0.016304347826086956</x:v>
      </x:c>
      <x:c r="AT156" s="26" t="str">
        <x:f>IF($A156="",IF(COUNTA(B156:Y156)&gt;0,"Missing ID",""),IF(COUNTIFS($A$9:$A$508,A156)&gt;1,"Duplicate ID",IF(OR(B156="",C156="",D156="",E156="",COUNT(F156:X156)&lt;&gt;19),"Missing / text input",IF(OR(COUNTIFS(Settings!$A$59:$A$64,B156)&lt;&gt;1,COUNTIFS(Settings!$A$29:$A$33,E156)&lt;&gt;1),"Unknown department / grade",IF(OR(F156&lt;=0,F156&gt;1,G156&lt;=0,L156&lt;=0,H156&lt;0,I156&lt;0,J156&lt;0,K156&lt;0,K156&gt;1,MIN(M156:X156)&lt;0,W156=0,V156&gt;W156,M156&gt;W156-V156,P156&gt;8,Q156&gt;4,R156&gt;12,S156&gt;12,T156&gt;1,AB156&lt;0),"Review quantity / rate",IF(OR(N156&gt;Settings!$C$17,AK156&gt;Settings!$C$19),"Review benefit ceiling","OK"))))))</x:f>
        <x:v>OK</x:v>
      </x:c>
    </x:row>
    <x:row r="157" ht="23" customHeight="1">
      <x:c r="A157" s="8" t="str">
        <x:v>BE-0149</x:v>
      </x:c>
      <x:c r="B157" s="8" t="str">
        <x:v>Customer Operations</x:v>
      </x:c>
      <x:c r="C157" s="8" t="str">
        <x:v>Antwerp</x:v>
      </x:c>
      <x:c r="D157" s="8" t="str">
        <x:v>Service specialist</x:v>
      </x:c>
      <x:c r="E157" s="8" t="str">
        <x:v>G2</x:v>
      </x:c>
      <x:c r="F157" s="20" t="n">
        <x:v>1</x:v>
      </x:c>
      <x:c r="G157" s="12" t="n">
        <x:v>3400</x:v>
      </x:c>
      <x:c r="H157" s="21" t="n">
        <x:v>0.05</x:v>
      </x:c>
      <x:c r="I157" s="20" t="n">
        <x:v>1</x:v>
      </x:c>
      <x:c r="J157" s="20" t="n">
        <x:v>1</x:v>
      </x:c>
      <x:c r="K157" s="20" t="n">
        <x:v>1</x:v>
      </x:c>
      <x:c r="L157" s="12" t="n">
        <x:v>3400</x:v>
      </x:c>
      <x:c r="M157" s="8" t="n">
        <x:v>213</x:v>
      </x:c>
      <x:c r="N157" s="12" t="n">
        <x:v>250</x:v>
      </x:c>
      <x:c r="O157" s="8" t="n">
        <x:v>0</x:v>
      </x:c>
      <x:c r="P157" s="8" t="n">
        <x:v>0</x:v>
      </x:c>
      <x:c r="Q157" s="8" t="n">
        <x:v>0</x:v>
      </x:c>
      <x:c r="R157" s="8" t="n">
        <x:v>0</x:v>
      </x:c>
      <x:c r="S157" s="8" t="n">
        <x:v>0</x:v>
      </x:c>
      <x:c r="T157" s="8" t="n">
        <x:v>1</x:v>
      </x:c>
      <x:c r="U157" s="12" t="n">
        <x:v>0</x:v>
      </x:c>
      <x:c r="V157" s="8" t="n">
        <x:v>4</x:v>
      </x:c>
      <x:c r="W157" s="8" t="n">
        <x:v>230</x:v>
      </x:c>
      <x:c r="X157" s="12" t="n">
        <x:v>65400</x:v>
      </x:c>
      <x:c r="Y157" s="21"/>
      <x:c r="Z157" s="24" t="n">
        <x:f>IF($A157="","",INDEX(Settings!$C$29:$C$33,MATCH(E157,Settings!$A$29:$A$33,0)))</x:f>
        <x:v>3300</x:v>
      </x:c>
      <x:c r="AA157" s="22" t="n">
        <x:f>IF($A157="","",G157/Z157)</x:f>
        <x:v>1.0303030303030303</x:v>
      </x:c>
      <x:c r="AB157" s="25" t="n">
        <x:f>IF($A157="","",IF(ISNUMBER(Y157),Y157,Settings!$B$10))</x:f>
        <x:v>0.03</x:v>
      </x:c>
      <x:c r="AC157" s="23" t="n">
        <x:f>IF($A157="","",G157*(1+AB157))</x:f>
        <x:v>3502</x:v>
      </x:c>
      <x:c r="AD157" s="23" t="n">
        <x:f>IF($A157="","",G157*F157*12)</x:f>
        <x:v>40800</x:v>
      </x:c>
      <x:c r="AE157" s="23" t="n">
        <x:f>IF($A157="","",G157*F157*J157)</x:f>
        <x:v>3400</x:v>
      </x:c>
      <x:c r="AF157" s="24" t="n">
        <x:f>IF($A157="","",L157*F157*K157*Settings!$B$13)</x:f>
        <x:v>3128</x:v>
      </x:c>
      <x:c r="AG157" s="23" t="n">
        <x:f>IF($A157="","",AD157*H157*I157)</x:f>
        <x:v>2040</x:v>
      </x:c>
      <x:c r="AH157" s="24" t="n">
        <x:f>IF($A157="","",SUM(AD157:AE157,AG157)*SUM(Settings!$B$11:$B$12))</x:f>
        <x:v>11560</x:v>
      </x:c>
      <x:c r="AI157" s="24" t="n">
        <x:f>IF($A157="","",M157*Settings!$B$16)</x:f>
        <x:v>1897.83</x:v>
      </x:c>
      <x:c r="AJ157" s="24" t="n">
        <x:f>IF($A157="","",M157*Settings!$B$15)</x:f>
        <x:v>232.17000000000002</x:v>
      </x:c>
      <x:c r="AK157" s="24" t="n">
        <x:f>IF($A157="","",O157*Settings!$B$18)</x:f>
        <x:v>0</x:v>
      </x:c>
      <x:c r="AL157" s="24" t="n">
        <x:f>IF($A157="","",P157*Settings!$B$20+Q157*Settings!$B$21+R157*Settings!$B$22+S157*Settings!$B$23)</x:f>
        <x:v>0</x:v>
      </x:c>
      <x:c r="AM157" s="24" t="n">
        <x:f>IF($A157="","",T157*Settings!$B$24)</x:f>
        <x:v>40</x:v>
      </x:c>
      <x:c r="AN157" s="23" t="n">
        <x:f>IF($A157="","",SUM(AI157,N157,AK157:AM157,U157))</x:f>
        <x:v>2187.83</x:v>
      </x:c>
      <x:c r="AO157" s="23" t="n">
        <x:f>IF($A157="","",SUM(AD157:AI157,N157,AK157:AM157,U157))</x:f>
        <x:v>63115.83</x:v>
      </x:c>
      <x:c r="AP157" s="24" t="n">
        <x:f>IF($A157="","",G157*F157*AB157*((13-Settings!$B$9)*(1+H157*I157)+J157)*(1+SUM(Settings!$B$11:$B$12)))</x:f>
        <x:v>1332.375</x:v>
      </x:c>
      <x:c r="AQ157" s="23" t="n">
        <x:f>IF($A157="","",SUM(AO157:AP157))</x:f>
        <x:v>64448.205</x:v>
      </x:c>
      <x:c r="AR157" s="23" t="n">
        <x:f>IF($A157="","",AQ157-X157)</x:f>
        <x:v>-951.7949999999983</x:v>
      </x:c>
      <x:c r="AS157" s="22" t="n">
        <x:f>IF($A157="","",IF(W157=0,"n.a.",V157/W157))</x:f>
        <x:v>0.017391304347826087</x:v>
      </x:c>
      <x:c r="AT157" s="26" t="str">
        <x:f>IF($A157="",IF(COUNTA(B157:Y157)&gt;0,"Missing ID",""),IF(COUNTIFS($A$9:$A$508,A157)&gt;1,"Duplicate ID",IF(OR(B157="",C157="",D157="",E157="",COUNT(F157:X157)&lt;&gt;19),"Missing / text input",IF(OR(COUNTIFS(Settings!$A$59:$A$64,B157)&lt;&gt;1,COUNTIFS(Settings!$A$29:$A$33,E157)&lt;&gt;1),"Unknown department / grade",IF(OR(F157&lt;=0,F157&gt;1,G157&lt;=0,L157&lt;=0,H157&lt;0,I157&lt;0,J157&lt;0,K157&lt;0,K157&gt;1,MIN(M157:X157)&lt;0,W157=0,V157&gt;W157,M157&gt;W157-V157,P157&gt;8,Q157&gt;4,R157&gt;12,S157&gt;12,T157&gt;1,AB157&lt;0),"Review quantity / rate",IF(OR(N157&gt;Settings!$C$17,AK157&gt;Settings!$C$19),"Review benefit ceiling","OK"))))))</x:f>
        <x:v>OK</x:v>
      </x:c>
    </x:row>
    <x:row r="158" ht="23" customHeight="1">
      <x:c r="A158" s="8" t="str">
        <x:v>BE-0150</x:v>
      </x:c>
      <x:c r="B158" s="8" t="str">
        <x:v>Business Support</x:v>
      </x:c>
      <x:c r="C158" s="8" t="str">
        <x:v>Ghent</x:v>
      </x:c>
      <x:c r="D158" s="8" t="str">
        <x:v>Business specialist</x:v>
      </x:c>
      <x:c r="E158" s="8" t="str">
        <x:v>G2</x:v>
      </x:c>
      <x:c r="F158" s="20" t="n">
        <x:v>1</x:v>
      </x:c>
      <x:c r="G158" s="12" t="n">
        <x:v>3500</x:v>
      </x:c>
      <x:c r="H158" s="21" t="n">
        <x:v>0.05</x:v>
      </x:c>
      <x:c r="I158" s="20" t="n">
        <x:v>1.1</x:v>
      </x:c>
      <x:c r="J158" s="20" t="n">
        <x:v>1</x:v>
      </x:c>
      <x:c r="K158" s="20" t="n">
        <x:v>1</x:v>
      </x:c>
      <x:c r="L158" s="12" t="n">
        <x:v>3500</x:v>
      </x:c>
      <x:c r="M158" s="8" t="n">
        <x:v>212</x:v>
      </x:c>
      <x:c r="N158" s="12" t="n">
        <x:v>250</x:v>
      </x:c>
      <x:c r="O158" s="8" t="n">
        <x:v>0</x:v>
      </x:c>
      <x:c r="P158" s="8" t="n">
        <x:v>8</x:v>
      </x:c>
      <x:c r="Q158" s="8" t="n">
        <x:v>4</x:v>
      </x:c>
      <x:c r="R158" s="8" t="n">
        <x:v>12</x:v>
      </x:c>
      <x:c r="S158" s="8" t="n">
        <x:v>0</x:v>
      </x:c>
      <x:c r="T158" s="8" t="n">
        <x:v>1</x:v>
      </x:c>
      <x:c r="U158" s="12" t="n">
        <x:v>0</x:v>
      </x:c>
      <x:c r="V158" s="8" t="n">
        <x:v>5</x:v>
      </x:c>
      <x:c r="W158" s="8" t="n">
        <x:v>230</x:v>
      </x:c>
      <x:c r="X158" s="12" t="n">
        <x:v>69800</x:v>
      </x:c>
      <x:c r="Y158" s="21"/>
      <x:c r="Z158" s="24" t="n">
        <x:f>IF($A158="","",INDEX(Settings!$C$29:$C$33,MATCH(E158,Settings!$A$29:$A$33,0)))</x:f>
        <x:v>3300</x:v>
      </x:c>
      <x:c r="AA158" s="22" t="n">
        <x:f>IF($A158="","",G158/Z158)</x:f>
        <x:v>1.0606060606060606</x:v>
      </x:c>
      <x:c r="AB158" s="25" t="n">
        <x:f>IF($A158="","",IF(ISNUMBER(Y158),Y158,Settings!$B$10))</x:f>
        <x:v>0.03</x:v>
      </x:c>
      <x:c r="AC158" s="23" t="n">
        <x:f>IF($A158="","",G158*(1+AB158))</x:f>
        <x:v>3605</x:v>
      </x:c>
      <x:c r="AD158" s="23" t="n">
        <x:f>IF($A158="","",G158*F158*12)</x:f>
        <x:v>42000</x:v>
      </x:c>
      <x:c r="AE158" s="23" t="n">
        <x:f>IF($A158="","",G158*F158*J158)</x:f>
        <x:v>3500</x:v>
      </x:c>
      <x:c r="AF158" s="24" t="n">
        <x:f>IF($A158="","",L158*F158*K158*Settings!$B$13)</x:f>
        <x:v>3220</x:v>
      </x:c>
      <x:c r="AG158" s="23" t="n">
        <x:f>IF($A158="","",AD158*H158*I158)</x:f>
        <x:v>2310</x:v>
      </x:c>
      <x:c r="AH158" s="24" t="n">
        <x:f>IF($A158="","",SUM(AD158:AE158,AG158)*SUM(Settings!$B$11:$B$12))</x:f>
        <x:v>11952.5</x:v>
      </x:c>
      <x:c r="AI158" s="24" t="n">
        <x:f>IF($A158="","",M158*Settings!$B$16)</x:f>
        <x:v>1888.92</x:v>
      </x:c>
      <x:c r="AJ158" s="24" t="n">
        <x:f>IF($A158="","",M158*Settings!$B$15)</x:f>
        <x:v>231.08</x:v>
      </x:c>
      <x:c r="AK158" s="24" t="n">
        <x:f>IF($A158="","",O158*Settings!$B$18)</x:f>
        <x:v>0</x:v>
      </x:c>
      <x:c r="AL158" s="24" t="n">
        <x:f>IF($A158="","",P158*Settings!$B$20+Q158*Settings!$B$21+R158*Settings!$B$22+S158*Settings!$B$23)</x:f>
        <x:v>2184.76</x:v>
      </x:c>
      <x:c r="AM158" s="24" t="n">
        <x:f>IF($A158="","",T158*Settings!$B$24)</x:f>
        <x:v>40</x:v>
      </x:c>
      <x:c r="AN158" s="23" t="n">
        <x:f>IF($A158="","",SUM(AI158,N158,AK158:AM158,U158))</x:f>
        <x:v>4363.68</x:v>
      </x:c>
      <x:c r="AO158" s="23" t="n">
        <x:f>IF($A158="","",SUM(AD158:AI158,N158,AK158:AM158,U158))</x:f>
        <x:v>67346.18</x:v>
      </x:c>
      <x:c r="AP158" s="24" t="n">
        <x:f>IF($A158="","",G158*F158*AB158*((13-Settings!$B$9)*(1+H158*I158)+J158)*(1+SUM(Settings!$B$11:$B$12)))</x:f>
        <x:v>1377.46875</x:v>
      </x:c>
      <x:c r="AQ158" s="23" t="n">
        <x:f>IF($A158="","",SUM(AO158:AP158))</x:f>
        <x:v>68723.64875</x:v>
      </x:c>
      <x:c r="AR158" s="23" t="n">
        <x:f>IF($A158="","",AQ158-X158)</x:f>
        <x:v>-1076.351250000007</x:v>
      </x:c>
      <x:c r="AS158" s="22" t="n">
        <x:f>IF($A158="","",IF(W158=0,"n.a.",V158/W158))</x:f>
        <x:v>0.021739130434782608</x:v>
      </x:c>
      <x:c r="AT158" s="26" t="str">
        <x:f>IF($A158="",IF(COUNTA(B158:Y158)&gt;0,"Missing ID",""),IF(COUNTIFS($A$9:$A$508,A158)&gt;1,"Duplicate ID",IF(OR(B158="",C158="",D158="",E158="",COUNT(F158:X158)&lt;&gt;19),"Missing / text input",IF(OR(COUNTIFS(Settings!$A$59:$A$64,B158)&lt;&gt;1,COUNTIFS(Settings!$A$29:$A$33,E158)&lt;&gt;1),"Unknown department / grade",IF(OR(F158&lt;=0,F158&gt;1,G158&lt;=0,L158&lt;=0,H158&lt;0,I158&lt;0,J158&lt;0,K158&lt;0,K158&gt;1,MIN(M158:X158)&lt;0,W158=0,V158&gt;W158,M158&gt;W158-V158,P158&gt;8,Q158&gt;4,R158&gt;12,S158&gt;12,T158&gt;1,AB158&lt;0),"Review quantity / rate",IF(OR(N158&gt;Settings!$C$17,AK158&gt;Settings!$C$19),"Review benefit ceiling","OK"))))))</x:f>
        <x:v>OK</x:v>
      </x:c>
    </x:row>
    <x:row r="159" ht="23" customHeight="1">
      <x:c r="A159" s="8" t="str">
        <x:v>BE-0151</x:v>
      </x:c>
      <x:c r="B159" s="8" t="str">
        <x:v>Finance</x:v>
      </x:c>
      <x:c r="C159" s="8" t="str">
        <x:v>Brussels</x:v>
      </x:c>
      <x:c r="D159" s="8" t="str">
        <x:v>Accountant</x:v>
      </x:c>
      <x:c r="E159" s="8" t="str">
        <x:v>G2</x:v>
      </x:c>
      <x:c r="F159" s="20" t="n">
        <x:v>1</x:v>
      </x:c>
      <x:c r="G159" s="12" t="n">
        <x:v>3270</x:v>
      </x:c>
      <x:c r="H159" s="21" t="n">
        <x:v>0.05</x:v>
      </x:c>
      <x:c r="I159" s="20" t="n">
        <x:v>0.8</x:v>
      </x:c>
      <x:c r="J159" s="20" t="n">
        <x:v>1</x:v>
      </x:c>
      <x:c r="K159" s="20" t="n">
        <x:v>1</x:v>
      </x:c>
      <x:c r="L159" s="12" t="n">
        <x:v>3270</x:v>
      </x:c>
      <x:c r="M159" s="8" t="n">
        <x:v>211</x:v>
      </x:c>
      <x:c r="N159" s="12" t="n">
        <x:v>250</x:v>
      </x:c>
      <x:c r="O159" s="8" t="n">
        <x:v>2170</x:v>
      </x:c>
      <x:c r="P159" s="8" t="n">
        <x:v>8</x:v>
      </x:c>
      <x:c r="Q159" s="8" t="n">
        <x:v>4</x:v>
      </x:c>
      <x:c r="R159" s="8" t="n">
        <x:v>12</x:v>
      </x:c>
      <x:c r="S159" s="8" t="n">
        <x:v>12</x:v>
      </x:c>
      <x:c r="T159" s="8" t="n">
        <x:v>1</x:v>
      </x:c>
      <x:c r="U159" s="12" t="n">
        <x:v>0</x:v>
      </x:c>
      <x:c r="V159" s="8" t="n">
        <x:v>6</x:v>
      </x:c>
      <x:c r="W159" s="8" t="n">
        <x:v>230</x:v>
      </x:c>
      <x:c r="X159" s="12" t="n">
        <x:v>63800</x:v>
      </x:c>
      <x:c r="Y159" s="21"/>
      <x:c r="Z159" s="24" t="n">
        <x:f>IF($A159="","",INDEX(Settings!$C$29:$C$33,MATCH(E159,Settings!$A$29:$A$33,0)))</x:f>
        <x:v>3300</x:v>
      </x:c>
      <x:c r="AA159" s="22" t="n">
        <x:f>IF($A159="","",G159/Z159)</x:f>
        <x:v>0.990909090909091</x:v>
      </x:c>
      <x:c r="AB159" s="25" t="n">
        <x:f>IF($A159="","",IF(ISNUMBER(Y159),Y159,Settings!$B$10))</x:f>
        <x:v>0.03</x:v>
      </x:c>
      <x:c r="AC159" s="23" t="n">
        <x:f>IF($A159="","",G159*(1+AB159))</x:f>
        <x:v>3368.1</x:v>
      </x:c>
      <x:c r="AD159" s="23" t="n">
        <x:f>IF($A159="","",G159*F159*12)</x:f>
        <x:v>39240</x:v>
      </x:c>
      <x:c r="AE159" s="23" t="n">
        <x:f>IF($A159="","",G159*F159*J159)</x:f>
        <x:v>3270</x:v>
      </x:c>
      <x:c r="AF159" s="24" t="n">
        <x:f>IF($A159="","",L159*F159*K159*Settings!$B$13)</x:f>
        <x:v>3008.4</x:v>
      </x:c>
      <x:c r="AG159" s="23" t="n">
        <x:f>IF($A159="","",AD159*H159*I159)</x:f>
        <x:v>1569.6000000000001</x:v>
      </x:c>
      <x:c r="AH159" s="24" t="n">
        <x:f>IF($A159="","",SUM(AD159:AE159,AG159)*SUM(Settings!$B$11:$B$12))</x:f>
        <x:v>11019.9</x:v>
      </x:c>
      <x:c r="AI159" s="24" t="n">
        <x:f>IF($A159="","",M159*Settings!$B$16)</x:f>
        <x:v>1880.01</x:v>
      </x:c>
      <x:c r="AJ159" s="24" t="n">
        <x:f>IF($A159="","",M159*Settings!$B$15)</x:f>
        <x:v>229.99</x:v>
      </x:c>
      <x:c r="AK159" s="24" t="n">
        <x:f>IF($A159="","",O159*Settings!$B$18)</x:f>
        <x:v>802.9</x:v>
      </x:c>
      <x:c r="AL159" s="24" t="n">
        <x:f>IF($A159="","",P159*Settings!$B$20+Q159*Settings!$B$21+R159*Settings!$B$22+S159*Settings!$B$23)</x:f>
        <x:v>2424.76</x:v>
      </x:c>
      <x:c r="AM159" s="24" t="n">
        <x:f>IF($A159="","",T159*Settings!$B$24)</x:f>
        <x:v>40</x:v>
      </x:c>
      <x:c r="AN159" s="23" t="n">
        <x:f>IF($A159="","",SUM(AI159,N159,AK159:AM159,U159))</x:f>
        <x:v>5397.67</x:v>
      </x:c>
      <x:c r="AO159" s="23" t="n">
        <x:f>IF($A159="","",SUM(AD159:AI159,N159,AK159:AM159,U159))</x:f>
        <x:v>63505.57000000001</x:v>
      </x:c>
      <x:c r="AP159" s="24" t="n">
        <x:f>IF($A159="","",G159*F159*AB159*((13-Settings!$B$9)*(1+H159*I159)+J159)*(1+SUM(Settings!$B$11:$B$12)))</x:f>
        <x:v>1270.395</x:v>
      </x:c>
      <x:c r="AQ159" s="23" t="n">
        <x:f>IF($A159="","",SUM(AO159:AP159))</x:f>
        <x:v>64775.965000000004</x:v>
      </x:c>
      <x:c r="AR159" s="23" t="n">
        <x:f>IF($A159="","",AQ159-X159)</x:f>
        <x:v>975.9650000000038</x:v>
      </x:c>
      <x:c r="AS159" s="22" t="n">
        <x:f>IF($A159="","",IF(W159=0,"n.a.",V159/W159))</x:f>
        <x:v>0.02608695652173913</x:v>
      </x:c>
      <x:c r="AT159" s="26" t="str">
        <x:f>IF($A159="",IF(COUNTA(B159:Y159)&gt;0,"Missing ID",""),IF(COUNTIFS($A$9:$A$508,A159)&gt;1,"Duplicate ID",IF(OR(B159="",C159="",D159="",E159="",COUNT(F159:X159)&lt;&gt;19),"Missing / text input",IF(OR(COUNTIFS(Settings!$A$59:$A$64,B159)&lt;&gt;1,COUNTIFS(Settings!$A$29:$A$33,E159)&lt;&gt;1),"Unknown department / grade",IF(OR(F159&lt;=0,F159&gt;1,G159&lt;=0,L159&lt;=0,H159&lt;0,I159&lt;0,J159&lt;0,K159&lt;0,K159&gt;1,MIN(M159:X159)&lt;0,W159=0,V159&gt;W159,M159&gt;W159-V159,P159&gt;8,Q159&gt;4,R159&gt;12,S159&gt;12,T159&gt;1,AB159&lt;0),"Review quantity / rate",IF(OR(N159&gt;Settings!$C$17,AK159&gt;Settings!$C$19),"Review benefit ceiling","OK"))))))</x:f>
        <x:v>OK</x:v>
      </x:c>
    </x:row>
    <x:row r="160" ht="23" customHeight="1">
      <x:c r="A160" s="8" t="str">
        <x:v>BE-0152</x:v>
      </x:c>
      <x:c r="B160" s="8" t="str">
        <x:v>People &amp; Culture</x:v>
      </x:c>
      <x:c r="C160" s="8" t="str">
        <x:v>Antwerp</x:v>
      </x:c>
      <x:c r="D160" s="8" t="str">
        <x:v>HR specialist</x:v>
      </x:c>
      <x:c r="E160" s="8" t="str">
        <x:v>G2</x:v>
      </x:c>
      <x:c r="F160" s="20" t="n">
        <x:v>1</x:v>
      </x:c>
      <x:c r="G160" s="12" t="n">
        <x:v>3040</x:v>
      </x:c>
      <x:c r="H160" s="21" t="n">
        <x:v>0.05</x:v>
      </x:c>
      <x:c r="I160" s="20" t="n">
        <x:v>1</x:v>
      </x:c>
      <x:c r="J160" s="20" t="n">
        <x:v>1</x:v>
      </x:c>
      <x:c r="K160" s="20" t="n">
        <x:v>1</x:v>
      </x:c>
      <x:c r="L160" s="12" t="n">
        <x:v>3040</x:v>
      </x:c>
      <x:c r="M160" s="8" t="n">
        <x:v>210</x:v>
      </x:c>
      <x:c r="N160" s="12" t="n">
        <x:v>250</x:v>
      </x:c>
      <x:c r="O160" s="8" t="n">
        <x:v>0</x:v>
      </x:c>
      <x:c r="P160" s="8" t="n">
        <x:v>8</x:v>
      </x:c>
      <x:c r="Q160" s="8" t="n">
        <x:v>4</x:v>
      </x:c>
      <x:c r="R160" s="8" t="n">
        <x:v>12</x:v>
      </x:c>
      <x:c r="S160" s="8" t="n">
        <x:v>0</x:v>
      </x:c>
      <x:c r="T160" s="8" t="n">
        <x:v>1</x:v>
      </x:c>
      <x:c r="U160" s="12" t="n">
        <x:v>0</x:v>
      </x:c>
      <x:c r="V160" s="8" t="n">
        <x:v>7</x:v>
      </x:c>
      <x:c r="W160" s="8" t="n">
        <x:v>230</x:v>
      </x:c>
      <x:c r="X160" s="12" t="n">
        <x:v>60900</x:v>
      </x:c>
      <x:c r="Y160" s="21"/>
      <x:c r="Z160" s="24" t="n">
        <x:f>IF($A160="","",INDEX(Settings!$C$29:$C$33,MATCH(E160,Settings!$A$29:$A$33,0)))</x:f>
        <x:v>3300</x:v>
      </x:c>
      <x:c r="AA160" s="22" t="n">
        <x:f>IF($A160="","",G160/Z160)</x:f>
        <x:v>0.9212121212121213</x:v>
      </x:c>
      <x:c r="AB160" s="25" t="n">
        <x:f>IF($A160="","",IF(ISNUMBER(Y160),Y160,Settings!$B$10))</x:f>
        <x:v>0.03</x:v>
      </x:c>
      <x:c r="AC160" s="23" t="n">
        <x:f>IF($A160="","",G160*(1+AB160))</x:f>
        <x:v>3131.2000000000003</x:v>
      </x:c>
      <x:c r="AD160" s="23" t="n">
        <x:f>IF($A160="","",G160*F160*12)</x:f>
        <x:v>36480</x:v>
      </x:c>
      <x:c r="AE160" s="23" t="n">
        <x:f>IF($A160="","",G160*F160*J160)</x:f>
        <x:v>3040</x:v>
      </x:c>
      <x:c r="AF160" s="24" t="n">
        <x:f>IF($A160="","",L160*F160*K160*Settings!$B$13)</x:f>
        <x:v>2796.8</x:v>
      </x:c>
      <x:c r="AG160" s="23" t="n">
        <x:f>IF($A160="","",AD160*H160*I160)</x:f>
        <x:v>1824</x:v>
      </x:c>
      <x:c r="AH160" s="24" t="n">
        <x:f>IF($A160="","",SUM(AD160:AE160,AG160)*SUM(Settings!$B$11:$B$12))</x:f>
        <x:v>10336</x:v>
      </x:c>
      <x:c r="AI160" s="24" t="n">
        <x:f>IF($A160="","",M160*Settings!$B$16)</x:f>
        <x:v>1871.1000000000001</x:v>
      </x:c>
      <x:c r="AJ160" s="24" t="n">
        <x:f>IF($A160="","",M160*Settings!$B$15)</x:f>
        <x:v>228.9</x:v>
      </x:c>
      <x:c r="AK160" s="24" t="n">
        <x:f>IF($A160="","",O160*Settings!$B$18)</x:f>
        <x:v>0</x:v>
      </x:c>
      <x:c r="AL160" s="24" t="n">
        <x:f>IF($A160="","",P160*Settings!$B$20+Q160*Settings!$B$21+R160*Settings!$B$22+S160*Settings!$B$23)</x:f>
        <x:v>2184.76</x:v>
      </x:c>
      <x:c r="AM160" s="24" t="n">
        <x:f>IF($A160="","",T160*Settings!$B$24)</x:f>
        <x:v>40</x:v>
      </x:c>
      <x:c r="AN160" s="23" t="n">
        <x:f>IF($A160="","",SUM(AI160,N160,AK160:AM160,U160))</x:f>
        <x:v>4345.860000000001</x:v>
      </x:c>
      <x:c r="AO160" s="23" t="n">
        <x:f>IF($A160="","",SUM(AD160:AI160,N160,AK160:AM160,U160))</x:f>
        <x:v>58822.66</x:v>
      </x:c>
      <x:c r="AP160" s="24" t="n">
        <x:f>IF($A160="","",G160*F160*AB160*((13-Settings!$B$9)*(1+H160*I160)+J160)*(1+SUM(Settings!$B$11:$B$12)))</x:f>
        <x:v>1191.3000000000002</x:v>
      </x:c>
      <x:c r="AQ160" s="23" t="n">
        <x:f>IF($A160="","",SUM(AO160:AP160))</x:f>
        <x:v>60013.96000000001</x:v>
      </x:c>
      <x:c r="AR160" s="23" t="n">
        <x:f>IF($A160="","",AQ160-X160)</x:f>
        <x:v>-886.0399999999936</x:v>
      </x:c>
      <x:c r="AS160" s="22" t="n">
        <x:f>IF($A160="","",IF(W160=0,"n.a.",V160/W160))</x:f>
        <x:v>0.030434782608695653</x:v>
      </x:c>
      <x:c r="AT160" s="26" t="str">
        <x:f>IF($A160="",IF(COUNTA(B160:Y160)&gt;0,"Missing ID",""),IF(COUNTIFS($A$9:$A$508,A160)&gt;1,"Duplicate ID",IF(OR(B160="",C160="",D160="",E160="",COUNT(F160:X160)&lt;&gt;19),"Missing / text input",IF(OR(COUNTIFS(Settings!$A$59:$A$64,B160)&lt;&gt;1,COUNTIFS(Settings!$A$29:$A$33,E160)&lt;&gt;1),"Unknown department / grade",IF(OR(F160&lt;=0,F160&gt;1,G160&lt;=0,L160&lt;=0,H160&lt;0,I160&lt;0,J160&lt;0,K160&lt;0,K160&gt;1,MIN(M160:X160)&lt;0,W160=0,V160&gt;W160,M160&gt;W160-V160,P160&gt;8,Q160&gt;4,R160&gt;12,S160&gt;12,T160&gt;1,AB160&lt;0),"Review quantity / rate",IF(OR(N160&gt;Settings!$C$17,AK160&gt;Settings!$C$19),"Review benefit ceiling","OK"))))))</x:f>
        <x:v>OK</x:v>
      </x:c>
    </x:row>
    <x:row r="161" ht="23" customHeight="1">
      <x:c r="A161" s="8" t="str">
        <x:v>BE-0153</x:v>
      </x:c>
      <x:c r="B161" s="8" t="str">
        <x:v>Technology</x:v>
      </x:c>
      <x:c r="C161" s="8" t="str">
        <x:v>Ghent</x:v>
      </x:c>
      <x:c r="D161" s="8" t="str">
        <x:v>Senior engineer</x:v>
      </x:c>
      <x:c r="E161" s="8" t="str">
        <x:v>G3</x:v>
      </x:c>
      <x:c r="F161" s="20" t="n">
        <x:v>1</x:v>
      </x:c>
      <x:c r="G161" s="12" t="n">
        <x:v>4040</x:v>
      </x:c>
      <x:c r="H161" s="21" t="n">
        <x:v>0.08</x:v>
      </x:c>
      <x:c r="I161" s="20" t="n">
        <x:v>1.1</x:v>
      </x:c>
      <x:c r="J161" s="20" t="n">
        <x:v>1</x:v>
      </x:c>
      <x:c r="K161" s="20" t="n">
        <x:v>1</x:v>
      </x:c>
      <x:c r="L161" s="12" t="n">
        <x:v>4040</x:v>
      </x:c>
      <x:c r="M161" s="8" t="n">
        <x:v>209</x:v>
      </x:c>
      <x:c r="N161" s="12" t="n">
        <x:v>250</x:v>
      </x:c>
      <x:c r="O161" s="8" t="n">
        <x:v>0</x:v>
      </x:c>
      <x:c r="P161" s="8" t="n">
        <x:v>0</x:v>
      </x:c>
      <x:c r="Q161" s="8" t="n">
        <x:v>0</x:v>
      </x:c>
      <x:c r="R161" s="8" t="n">
        <x:v>0</x:v>
      </x:c>
      <x:c r="S161" s="8" t="n">
        <x:v>0</x:v>
      </x:c>
      <x:c r="T161" s="8" t="n">
        <x:v>1</x:v>
      </x:c>
      <x:c r="U161" s="12" t="n">
        <x:v>0</x:v>
      </x:c>
      <x:c r="V161" s="8" t="n">
        <x:v>8</x:v>
      </x:c>
      <x:c r="W161" s="8" t="n">
        <x:v>230</x:v>
      </x:c>
      <x:c r="X161" s="12" t="n">
        <x:v>79700</x:v>
      </x:c>
      <x:c r="Y161" s="21"/>
      <x:c r="Z161" s="24" t="n">
        <x:f>IF($A161="","",INDEX(Settings!$C$29:$C$33,MATCH(E161,Settings!$A$29:$A$33,0)))</x:f>
        <x:v>4200</x:v>
      </x:c>
      <x:c r="AA161" s="22" t="n">
        <x:f>IF($A161="","",G161/Z161)</x:f>
        <x:v>0.9619047619047619</x:v>
      </x:c>
      <x:c r="AB161" s="25" t="n">
        <x:f>IF($A161="","",IF(ISNUMBER(Y161),Y161,Settings!$B$10))</x:f>
        <x:v>0.03</x:v>
      </x:c>
      <x:c r="AC161" s="23" t="n">
        <x:f>IF($A161="","",G161*(1+AB161))</x:f>
        <x:v>4161.2</x:v>
      </x:c>
      <x:c r="AD161" s="23" t="n">
        <x:f>IF($A161="","",G161*F161*12)</x:f>
        <x:v>48480</x:v>
      </x:c>
      <x:c r="AE161" s="23" t="n">
        <x:f>IF($A161="","",G161*F161*J161)</x:f>
        <x:v>4040</x:v>
      </x:c>
      <x:c r="AF161" s="24" t="n">
        <x:f>IF($A161="","",L161*F161*K161*Settings!$B$13)</x:f>
        <x:v>3716.8</x:v>
      </x:c>
      <x:c r="AG161" s="23" t="n">
        <x:f>IF($A161="","",AD161*H161*I161)</x:f>
        <x:v>4266.240000000001</x:v>
      </x:c>
      <x:c r="AH161" s="24" t="n">
        <x:f>IF($A161="","",SUM(AD161:AE161,AG161)*SUM(Settings!$B$11:$B$12))</x:f>
        <x:v>14196.56</x:v>
      </x:c>
      <x:c r="AI161" s="24" t="n">
        <x:f>IF($A161="","",M161*Settings!$B$16)</x:f>
        <x:v>1862.19</x:v>
      </x:c>
      <x:c r="AJ161" s="24" t="n">
        <x:f>IF($A161="","",M161*Settings!$B$15)</x:f>
        <x:v>227.81000000000003</x:v>
      </x:c>
      <x:c r="AK161" s="24" t="n">
        <x:f>IF($A161="","",O161*Settings!$B$18)</x:f>
        <x:v>0</x:v>
      </x:c>
      <x:c r="AL161" s="24" t="n">
        <x:f>IF($A161="","",P161*Settings!$B$20+Q161*Settings!$B$21+R161*Settings!$B$22+S161*Settings!$B$23)</x:f>
        <x:v>0</x:v>
      </x:c>
      <x:c r="AM161" s="24" t="n">
        <x:f>IF($A161="","",T161*Settings!$B$24)</x:f>
        <x:v>40</x:v>
      </x:c>
      <x:c r="AN161" s="23" t="n">
        <x:f>IF($A161="","",SUM(AI161,N161,AK161:AM161,U161))</x:f>
        <x:v>2152.19</x:v>
      </x:c>
      <x:c r="AO161" s="23" t="n">
        <x:f>IF($A161="","",SUM(AD161:AI161,N161,AK161:AM161,U161))</x:f>
        <x:v>76851.79000000001</x:v>
      </x:c>
      <x:c r="AP161" s="24" t="n">
        <x:f>IF($A161="","",G161*F161*AB161*((13-Settings!$B$9)*(1+H161*I161)+J161)*(1+SUM(Settings!$B$11:$B$12)))</x:f>
        <x:v>1634.9880000000003</x:v>
      </x:c>
      <x:c r="AQ161" s="23" t="n">
        <x:f>IF($A161="","",SUM(AO161:AP161))</x:f>
        <x:v>78486.778</x:v>
      </x:c>
      <x:c r="AR161" s="23" t="n">
        <x:f>IF($A161="","",AQ161-X161)</x:f>
        <x:v>-1213.2219999999943</x:v>
      </x:c>
      <x:c r="AS161" s="22" t="n">
        <x:f>IF($A161="","",IF(W161=0,"n.a.",V161/W161))</x:f>
        <x:v>0.034782608695652174</x:v>
      </x:c>
      <x:c r="AT161" s="26" t="str">
        <x:f>IF($A161="",IF(COUNTA(B161:Y161)&gt;0,"Missing ID",""),IF(COUNTIFS($A$9:$A$508,A161)&gt;1,"Duplicate ID",IF(OR(B161="",C161="",D161="",E161="",COUNT(F161:X161)&lt;&gt;19),"Missing / text input",IF(OR(COUNTIFS(Settings!$A$59:$A$64,B161)&lt;&gt;1,COUNTIFS(Settings!$A$29:$A$33,E161)&lt;&gt;1),"Unknown department / grade",IF(OR(F161&lt;=0,F161&gt;1,G161&lt;=0,L161&lt;=0,H161&lt;0,I161&lt;0,J161&lt;0,K161&lt;0,K161&gt;1,MIN(M161:X161)&lt;0,W161=0,V161&gt;W161,M161&gt;W161-V161,P161&gt;8,Q161&gt;4,R161&gt;12,S161&gt;12,T161&gt;1,AB161&lt;0),"Review quantity / rate",IF(OR(N161&gt;Settings!$C$17,AK161&gt;Settings!$C$19),"Review benefit ceiling","OK"))))))</x:f>
        <x:v>OK</x:v>
      </x:c>
    </x:row>
    <x:row r="162" ht="23" customHeight="1">
      <x:c r="A162" s="8" t="str">
        <x:v>BE-0154</x:v>
      </x:c>
      <x:c r="B162" s="8" t="str">
        <x:v>Sales</x:v>
      </x:c>
      <x:c r="C162" s="8" t="str">
        <x:v>Brussels</x:v>
      </x:c>
      <x:c r="D162" s="8" t="str">
        <x:v>Senior account manager</x:v>
      </x:c>
      <x:c r="E162" s="8" t="str">
        <x:v>G3</x:v>
      </x:c>
      <x:c r="F162" s="20" t="n">
        <x:v>0.6</x:v>
      </x:c>
      <x:c r="G162" s="12" t="n">
        <x:v>4510</x:v>
      </x:c>
      <x:c r="H162" s="21" t="n">
        <x:v>0.08</x:v>
      </x:c>
      <x:c r="I162" s="20" t="n">
        <x:v>0.8</x:v>
      </x:c>
      <x:c r="J162" s="20" t="n">
        <x:v>1</x:v>
      </x:c>
      <x:c r="K162" s="20" t="n">
        <x:v>1</x:v>
      </x:c>
      <x:c r="L162" s="12" t="n">
        <x:v>4510</x:v>
      </x:c>
      <x:c r="M162" s="8" t="n">
        <x:v>122</x:v>
      </x:c>
      <x:c r="N162" s="12" t="n">
        <x:v>150</x:v>
      </x:c>
      <x:c r="O162" s="8" t="n">
        <x:v>410</x:v>
      </x:c>
      <x:c r="P162" s="8" t="n">
        <x:v>8</x:v>
      </x:c>
      <x:c r="Q162" s="8" t="n">
        <x:v>4</x:v>
      </x:c>
      <x:c r="R162" s="8" t="n">
        <x:v>12</x:v>
      </x:c>
      <x:c r="S162" s="8" t="n">
        <x:v>0</x:v>
      </x:c>
      <x:c r="T162" s="8" t="n">
        <x:v>1</x:v>
      </x:c>
      <x:c r="U162" s="12" t="n">
        <x:v>0</x:v>
      </x:c>
      <x:c r="V162" s="8" t="n">
        <x:v>9</x:v>
      </x:c>
      <x:c r="W162" s="8" t="n">
        <x:v>138</x:v>
      </x:c>
      <x:c r="X162" s="12" t="n">
        <x:v>54600</x:v>
      </x:c>
      <x:c r="Y162" s="21"/>
      <x:c r="Z162" s="24" t="n">
        <x:f>IF($A162="","",INDEX(Settings!$C$29:$C$33,MATCH(E162,Settings!$A$29:$A$33,0)))</x:f>
        <x:v>4200</x:v>
      </x:c>
      <x:c r="AA162" s="22" t="n">
        <x:f>IF($A162="","",G162/Z162)</x:f>
        <x:v>1.0738095238095238</x:v>
      </x:c>
      <x:c r="AB162" s="25" t="n">
        <x:f>IF($A162="","",IF(ISNUMBER(Y162),Y162,Settings!$B$10))</x:f>
        <x:v>0.03</x:v>
      </x:c>
      <x:c r="AC162" s="23" t="n">
        <x:f>IF($A162="","",G162*(1+AB162))</x:f>
        <x:v>4645.3</x:v>
      </x:c>
      <x:c r="AD162" s="23" t="n">
        <x:f>IF($A162="","",G162*F162*12)</x:f>
        <x:v>32472</x:v>
      </x:c>
      <x:c r="AE162" s="23" t="n">
        <x:f>IF($A162="","",G162*F162*J162)</x:f>
        <x:v>2706</x:v>
      </x:c>
      <x:c r="AF162" s="24" t="n">
        <x:f>IF($A162="","",L162*F162*K162*Settings!$B$13)</x:f>
        <x:v>2489.52</x:v>
      </x:c>
      <x:c r="AG162" s="23" t="n">
        <x:f>IF($A162="","",AD162*H162*I162)</x:f>
        <x:v>2078.208</x:v>
      </x:c>
      <x:c r="AH162" s="24" t="n">
        <x:f>IF($A162="","",SUM(AD162:AE162,AG162)*SUM(Settings!$B$11:$B$12))</x:f>
        <x:v>9314.052</x:v>
      </x:c>
      <x:c r="AI162" s="24" t="n">
        <x:f>IF($A162="","",M162*Settings!$B$16)</x:f>
        <x:v>1087.02</x:v>
      </x:c>
      <x:c r="AJ162" s="24" t="n">
        <x:f>IF($A162="","",M162*Settings!$B$15)</x:f>
        <x:v>132.98000000000002</x:v>
      </x:c>
      <x:c r="AK162" s="24" t="n">
        <x:f>IF($A162="","",O162*Settings!$B$18)</x:f>
        <x:v>151.7</x:v>
      </x:c>
      <x:c r="AL162" s="24" t="n">
        <x:f>IF($A162="","",P162*Settings!$B$20+Q162*Settings!$B$21+R162*Settings!$B$22+S162*Settings!$B$23)</x:f>
        <x:v>2184.76</x:v>
      </x:c>
      <x:c r="AM162" s="24" t="n">
        <x:f>IF($A162="","",T162*Settings!$B$24)</x:f>
        <x:v>40</x:v>
      </x:c>
      <x:c r="AN162" s="23" t="n">
        <x:f>IF($A162="","",SUM(AI162,N162,AK162:AM162,U162))</x:f>
        <x:v>3613.48</x:v>
      </x:c>
      <x:c r="AO162" s="23" t="n">
        <x:f>IF($A162="","",SUM(AD162:AI162,N162,AK162:AM162,U162))</x:f>
        <x:v>52673.259999999995</x:v>
      </x:c>
      <x:c r="AP162" s="24" t="n">
        <x:f>IF($A162="","",G162*F162*AB162*((13-Settings!$B$9)*(1+H162*I162)+J162)*(1+SUM(Settings!$B$11:$B$12)))</x:f>
        <x:v>1073.1996</x:v>
      </x:c>
      <x:c r="AQ162" s="23" t="n">
        <x:f>IF($A162="","",SUM(AO162:AP162))</x:f>
        <x:v>53746.459599999995</x:v>
      </x:c>
      <x:c r="AR162" s="23" t="n">
        <x:f>IF($A162="","",AQ162-X162)</x:f>
        <x:v>-853.5404000000053</x:v>
      </x:c>
      <x:c r="AS162" s="22" t="n">
        <x:f>IF($A162="","",IF(W162=0,"n.a.",V162/W162))</x:f>
        <x:v>0.06521739130434782</x:v>
      </x:c>
      <x:c r="AT162" s="26" t="str">
        <x:f>IF($A162="",IF(COUNTA(B162:Y162)&gt;0,"Missing ID",""),IF(COUNTIFS($A$9:$A$508,A162)&gt;1,"Duplicate ID",IF(OR(B162="",C162="",D162="",E162="",COUNT(F162:X162)&lt;&gt;19),"Missing / text input",IF(OR(COUNTIFS(Settings!$A$59:$A$64,B162)&lt;&gt;1,COUNTIFS(Settings!$A$29:$A$33,E162)&lt;&gt;1),"Unknown department / grade",IF(OR(F162&lt;=0,F162&gt;1,G162&lt;=0,L162&lt;=0,H162&lt;0,I162&lt;0,J162&lt;0,K162&lt;0,K162&gt;1,MIN(M162:X162)&lt;0,W162=0,V162&gt;W162,M162&gt;W162-V162,P162&gt;8,Q162&gt;4,R162&gt;12,S162&gt;12,T162&gt;1,AB162&lt;0),"Review quantity / rate",IF(OR(N162&gt;Settings!$C$17,AK162&gt;Settings!$C$19),"Review benefit ceiling","OK"))))))</x:f>
        <x:v>OK</x:v>
      </x:c>
    </x:row>
    <x:row r="163" ht="23" customHeight="1">
      <x:c r="A163" s="8" t="str">
        <x:v>BE-0155</x:v>
      </x:c>
      <x:c r="B163" s="8" t="str">
        <x:v>Customer Operations</x:v>
      </x:c>
      <x:c r="C163" s="8" t="str">
        <x:v>Antwerp</x:v>
      </x:c>
      <x:c r="D163" s="8" t="str">
        <x:v>Senior service specialist</x:v>
      </x:c>
      <x:c r="E163" s="8" t="str">
        <x:v>G3</x:v>
      </x:c>
      <x:c r="F163" s="20" t="n">
        <x:v>0.8</x:v>
      </x:c>
      <x:c r="G163" s="12" t="n">
        <x:v>4500</x:v>
      </x:c>
      <x:c r="H163" s="21" t="n">
        <x:v>0.08</x:v>
      </x:c>
      <x:c r="I163" s="20" t="n">
        <x:v>1</x:v>
      </x:c>
      <x:c r="J163" s="20" t="n">
        <x:v>1</x:v>
      </x:c>
      <x:c r="K163" s="20" t="n">
        <x:v>1</x:v>
      </x:c>
      <x:c r="L163" s="12" t="n">
        <x:v>4500</x:v>
      </x:c>
      <x:c r="M163" s="8" t="n">
        <x:v>171</x:v>
      </x:c>
      <x:c r="N163" s="12" t="n">
        <x:v>200</x:v>
      </x:c>
      <x:c r="O163" s="8" t="n">
        <x:v>0</x:v>
      </x:c>
      <x:c r="P163" s="8" t="n">
        <x:v>8</x:v>
      </x:c>
      <x:c r="Q163" s="8" t="n">
        <x:v>4</x:v>
      </x:c>
      <x:c r="R163" s="8" t="n">
        <x:v>12</x:v>
      </x:c>
      <x:c r="S163" s="8" t="n">
        <x:v>0</x:v>
      </x:c>
      <x:c r="T163" s="8" t="n">
        <x:v>1</x:v>
      </x:c>
      <x:c r="U163" s="12" t="n">
        <x:v>0</x:v>
      </x:c>
      <x:c r="V163" s="8" t="n">
        <x:v>10</x:v>
      </x:c>
      <x:c r="W163" s="8" t="n">
        <x:v>184</x:v>
      </x:c>
      <x:c r="X163" s="12" t="n">
        <x:v>71100</x:v>
      </x:c>
      <x:c r="Y163" s="21" t="n">
        <x:v>0</x:v>
      </x:c>
      <x:c r="Z163" s="24" t="n">
        <x:f>IF($A163="","",INDEX(Settings!$C$29:$C$33,MATCH(E163,Settings!$A$29:$A$33,0)))</x:f>
        <x:v>4200</x:v>
      </x:c>
      <x:c r="AA163" s="22" t="n">
        <x:f>IF($A163="","",G163/Z163)</x:f>
        <x:v>1.0714285714285714</x:v>
      </x:c>
      <x:c r="AB163" s="25" t="n">
        <x:f>IF($A163="","",IF(ISNUMBER(Y163),Y163,Settings!$B$10))</x:f>
        <x:v>0</x:v>
      </x:c>
      <x:c r="AC163" s="23" t="n">
        <x:f>IF($A163="","",G163*(1+AB163))</x:f>
        <x:v>4500</x:v>
      </x:c>
      <x:c r="AD163" s="23" t="n">
        <x:f>IF($A163="","",G163*F163*12)</x:f>
        <x:v>43200</x:v>
      </x:c>
      <x:c r="AE163" s="23" t="n">
        <x:f>IF($A163="","",G163*F163*J163)</x:f>
        <x:v>3600</x:v>
      </x:c>
      <x:c r="AF163" s="24" t="n">
        <x:f>IF($A163="","",L163*F163*K163*Settings!$B$13)</x:f>
        <x:v>3312</x:v>
      </x:c>
      <x:c r="AG163" s="23" t="n">
        <x:f>IF($A163="","",AD163*H163*I163)</x:f>
        <x:v>3456</x:v>
      </x:c>
      <x:c r="AH163" s="24" t="n">
        <x:f>IF($A163="","",SUM(AD163:AE163,AG163)*SUM(Settings!$B$11:$B$12))</x:f>
        <x:v>12564</x:v>
      </x:c>
      <x:c r="AI163" s="24" t="n">
        <x:f>IF($A163="","",M163*Settings!$B$16)</x:f>
        <x:v>1523.6100000000001</x:v>
      </x:c>
      <x:c r="AJ163" s="24" t="n">
        <x:f>IF($A163="","",M163*Settings!$B$15)</x:f>
        <x:v>186.39000000000001</x:v>
      </x:c>
      <x:c r="AK163" s="24" t="n">
        <x:f>IF($A163="","",O163*Settings!$B$18)</x:f>
        <x:v>0</x:v>
      </x:c>
      <x:c r="AL163" s="24" t="n">
        <x:f>IF($A163="","",P163*Settings!$B$20+Q163*Settings!$B$21+R163*Settings!$B$22+S163*Settings!$B$23)</x:f>
        <x:v>2184.76</x:v>
      </x:c>
      <x:c r="AM163" s="24" t="n">
        <x:f>IF($A163="","",T163*Settings!$B$24)</x:f>
        <x:v>40</x:v>
      </x:c>
      <x:c r="AN163" s="23" t="n">
        <x:f>IF($A163="","",SUM(AI163,N163,AK163:AM163,U163))</x:f>
        <x:v>3948.3700000000003</x:v>
      </x:c>
      <x:c r="AO163" s="23" t="n">
        <x:f>IF($A163="","",SUM(AD163:AI163,N163,AK163:AM163,U163))</x:f>
        <x:v>70080.37</x:v>
      </x:c>
      <x:c r="AP163" s="24" t="n">
        <x:f>IF($A163="","",G163*F163*AB163*((13-Settings!$B$9)*(1+H163*I163)+J163)*(1+SUM(Settings!$B$11:$B$12)))</x:f>
        <x:v>0</x:v>
      </x:c>
      <x:c r="AQ163" s="23" t="n">
        <x:f>IF($A163="","",SUM(AO163:AP163))</x:f>
        <x:v>70080.37</x:v>
      </x:c>
      <x:c r="AR163" s="23" t="n">
        <x:f>IF($A163="","",AQ163-X163)</x:f>
        <x:v>-1019.6300000000047</x:v>
      </x:c>
      <x:c r="AS163" s="22" t="n">
        <x:f>IF($A163="","",IF(W163=0,"n.a.",V163/W163))</x:f>
        <x:v>0.05434782608695652</x:v>
      </x:c>
      <x:c r="AT163" s="26" t="str">
        <x:f>IF($A163="",IF(COUNTA(B163:Y163)&gt;0,"Missing ID",""),IF(COUNTIFS($A$9:$A$508,A163)&gt;1,"Duplicate ID",IF(OR(B163="",C163="",D163="",E163="",COUNT(F163:X163)&lt;&gt;19),"Missing / text input",IF(OR(COUNTIFS(Settings!$A$59:$A$64,B163)&lt;&gt;1,COUNTIFS(Settings!$A$29:$A$33,E163)&lt;&gt;1),"Unknown department / grade",IF(OR(F163&lt;=0,F163&gt;1,G163&lt;=0,L163&lt;=0,H163&lt;0,I163&lt;0,J163&lt;0,K163&lt;0,K163&gt;1,MIN(M163:X163)&lt;0,W163=0,V163&gt;W163,M163&gt;W163-V163,P163&gt;8,Q163&gt;4,R163&gt;12,S163&gt;12,T163&gt;1,AB163&lt;0),"Review quantity / rate",IF(OR(N163&gt;Settings!$C$17,AK163&gt;Settings!$C$19),"Review benefit ceiling","OK"))))))</x:f>
        <x:v>OK</x:v>
      </x:c>
    </x:row>
    <x:row r="164" ht="23" customHeight="1">
      <x:c r="A164" s="8" t="str">
        <x:v>BE-0156</x:v>
      </x:c>
      <x:c r="B164" s="8" t="str">
        <x:v>Business Support</x:v>
      </x:c>
      <x:c r="C164" s="8" t="str">
        <x:v>Ghent</x:v>
      </x:c>
      <x:c r="D164" s="8" t="str">
        <x:v>Senior business analyst</x:v>
      </x:c>
      <x:c r="E164" s="8" t="str">
        <x:v>G3</x:v>
      </x:c>
      <x:c r="F164" s="20" t="n">
        <x:v>1</x:v>
      </x:c>
      <x:c r="G164" s="12" t="n">
        <x:v>4280</x:v>
      </x:c>
      <x:c r="H164" s="21" t="n">
        <x:v>0.08</x:v>
      </x:c>
      <x:c r="I164" s="20" t="n">
        <x:v>1.1</x:v>
      </x:c>
      <x:c r="J164" s="20" t="n">
        <x:v>1</x:v>
      </x:c>
      <x:c r="K164" s="20" t="n">
        <x:v>1</x:v>
      </x:c>
      <x:c r="L164" s="12" t="n">
        <x:v>4280</x:v>
      </x:c>
      <x:c r="M164" s="8" t="n">
        <x:v>213</x:v>
      </x:c>
      <x:c r="N164" s="12" t="n">
        <x:v>250</x:v>
      </x:c>
      <x:c r="O164" s="8" t="n">
        <x:v>0</x:v>
      </x:c>
      <x:c r="P164" s="8" t="n">
        <x:v>8</x:v>
      </x:c>
      <x:c r="Q164" s="8" t="n">
        <x:v>4</x:v>
      </x:c>
      <x:c r="R164" s="8" t="n">
        <x:v>12</x:v>
      </x:c>
      <x:c r="S164" s="8" t="n">
        <x:v>12</x:v>
      </x:c>
      <x:c r="T164" s="8" t="n">
        <x:v>1</x:v>
      </x:c>
      <x:c r="U164" s="12" t="n">
        <x:v>0</x:v>
      </x:c>
      <x:c r="V164" s="8" t="n">
        <x:v>11</x:v>
      </x:c>
      <x:c r="W164" s="8" t="n">
        <x:v>230</x:v>
      </x:c>
      <x:c r="X164" s="12" t="n">
        <x:v>84200</x:v>
      </x:c>
      <x:c r="Y164" s="21"/>
      <x:c r="Z164" s="24" t="n">
        <x:f>IF($A164="","",INDEX(Settings!$C$29:$C$33,MATCH(E164,Settings!$A$29:$A$33,0)))</x:f>
        <x:v>4200</x:v>
      </x:c>
      <x:c r="AA164" s="22" t="n">
        <x:f>IF($A164="","",G164/Z164)</x:f>
        <x:v>1.019047619047619</x:v>
      </x:c>
      <x:c r="AB164" s="25" t="n">
        <x:f>IF($A164="","",IF(ISNUMBER(Y164),Y164,Settings!$B$10))</x:f>
        <x:v>0.03</x:v>
      </x:c>
      <x:c r="AC164" s="23" t="n">
        <x:f>IF($A164="","",G164*(1+AB164))</x:f>
        <x:v>4408.400000000001</x:v>
      </x:c>
      <x:c r="AD164" s="23" t="n">
        <x:f>IF($A164="","",G164*F164*12)</x:f>
        <x:v>51360</x:v>
      </x:c>
      <x:c r="AE164" s="23" t="n">
        <x:f>IF($A164="","",G164*F164*J164)</x:f>
        <x:v>4280</x:v>
      </x:c>
      <x:c r="AF164" s="24" t="n">
        <x:f>IF($A164="","",L164*F164*K164*Settings!$B$13)</x:f>
        <x:v>3937.6000000000004</x:v>
      </x:c>
      <x:c r="AG164" s="23" t="n">
        <x:f>IF($A164="","",AD164*H164*I164)</x:f>
        <x:v>4519.68</x:v>
      </x:c>
      <x:c r="AH164" s="24" t="n">
        <x:f>IF($A164="","",SUM(AD164:AE164,AG164)*SUM(Settings!$B$11:$B$12))</x:f>
        <x:v>15039.92</x:v>
      </x:c>
      <x:c r="AI164" s="24" t="n">
        <x:f>IF($A164="","",M164*Settings!$B$16)</x:f>
        <x:v>1897.83</x:v>
      </x:c>
      <x:c r="AJ164" s="24" t="n">
        <x:f>IF($A164="","",M164*Settings!$B$15)</x:f>
        <x:v>232.17000000000002</x:v>
      </x:c>
      <x:c r="AK164" s="24" t="n">
        <x:f>IF($A164="","",O164*Settings!$B$18)</x:f>
        <x:v>0</x:v>
      </x:c>
      <x:c r="AL164" s="24" t="n">
        <x:f>IF($A164="","",P164*Settings!$B$20+Q164*Settings!$B$21+R164*Settings!$B$22+S164*Settings!$B$23)</x:f>
        <x:v>2424.76</x:v>
      </x:c>
      <x:c r="AM164" s="24" t="n">
        <x:f>IF($A164="","",T164*Settings!$B$24)</x:f>
        <x:v>40</x:v>
      </x:c>
      <x:c r="AN164" s="23" t="n">
        <x:f>IF($A164="","",SUM(AI164,N164,AK164:AM164,U164))</x:f>
        <x:v>4612.59</x:v>
      </x:c>
      <x:c r="AO164" s="23" t="n">
        <x:f>IF($A164="","",SUM(AD164:AI164,N164,AK164:AM164,U164))</x:f>
        <x:v>83749.79</x:v>
      </x:c>
      <x:c r="AP164" s="24" t="n">
        <x:f>IF($A164="","",G164*F164*AB164*((13-Settings!$B$9)*(1+H164*I164)+J164)*(1+SUM(Settings!$B$11:$B$12)))</x:f>
        <x:v>1732.1160000000004</x:v>
      </x:c>
      <x:c r="AQ164" s="23" t="n">
        <x:f>IF($A164="","",SUM(AO164:AP164))</x:f>
        <x:v>85481.90599999999</x:v>
      </x:c>
      <x:c r="AR164" s="23" t="n">
        <x:f>IF($A164="","",AQ164-X164)</x:f>
        <x:v>1281.9059999999881</x:v>
      </x:c>
      <x:c r="AS164" s="22" t="n">
        <x:f>IF($A164="","",IF(W164=0,"n.a.",V164/W164))</x:f>
        <x:v>0.04782608695652174</x:v>
      </x:c>
      <x:c r="AT164" s="26" t="str">
        <x:f>IF($A164="",IF(COUNTA(B164:Y164)&gt;0,"Missing ID",""),IF(COUNTIFS($A$9:$A$508,A164)&gt;1,"Duplicate ID",IF(OR(B164="",C164="",D164="",E164="",COUNT(F164:X164)&lt;&gt;19),"Missing / text input",IF(OR(COUNTIFS(Settings!$A$59:$A$64,B164)&lt;&gt;1,COUNTIFS(Settings!$A$29:$A$33,E164)&lt;&gt;1),"Unknown department / grade",IF(OR(F164&lt;=0,F164&gt;1,G164&lt;=0,L164&lt;=0,H164&lt;0,I164&lt;0,J164&lt;0,K164&lt;0,K164&gt;1,MIN(M164:X164)&lt;0,W164=0,V164&gt;W164,M164&gt;W164-V164,P164&gt;8,Q164&gt;4,R164&gt;12,S164&gt;12,T164&gt;1,AB164&lt;0),"Review quantity / rate",IF(OR(N164&gt;Settings!$C$17,AK164&gt;Settings!$C$19),"Review benefit ceiling","OK"))))))</x:f>
        <x:v>OK</x:v>
      </x:c>
    </x:row>
    <x:row r="165" ht="23" customHeight="1">
      <x:c r="A165" s="8" t="str">
        <x:v>BE-0157</x:v>
      </x:c>
      <x:c r="B165" s="8" t="str">
        <x:v>Finance</x:v>
      </x:c>
      <x:c r="C165" s="8" t="str">
        <x:v>Brussels</x:v>
      </x:c>
      <x:c r="D165" s="8" t="str">
        <x:v>Senior analyst</x:v>
      </x:c>
      <x:c r="E165" s="8" t="str">
        <x:v>G3</x:v>
      </x:c>
      <x:c r="F165" s="20" t="n">
        <x:v>1</x:v>
      </x:c>
      <x:c r="G165" s="12" t="n">
        <x:v>3840</x:v>
      </x:c>
      <x:c r="H165" s="21" t="n">
        <x:v>0.08</x:v>
      </x:c>
      <x:c r="I165" s="20" t="n">
        <x:v>0.8</x:v>
      </x:c>
      <x:c r="J165" s="20" t="n">
        <x:v>1</x:v>
      </x:c>
      <x:c r="K165" s="20" t="n">
        <x:v>1</x:v>
      </x:c>
      <x:c r="L165" s="12" t="n">
        <x:v>3840</x:v>
      </x:c>
      <x:c r="M165" s="8" t="n">
        <x:v>212</x:v>
      </x:c>
      <x:c r="N165" s="12" t="n">
        <x:v>250</x:v>
      </x:c>
      <x:c r="O165" s="8" t="n">
        <x:v>740</x:v>
      </x:c>
      <x:c r="P165" s="8" t="n">
        <x:v>0</x:v>
      </x:c>
      <x:c r="Q165" s="8" t="n">
        <x:v>0</x:v>
      </x:c>
      <x:c r="R165" s="8" t="n">
        <x:v>0</x:v>
      </x:c>
      <x:c r="S165" s="8" t="n">
        <x:v>0</x:v>
      </x:c>
      <x:c r="T165" s="8" t="n">
        <x:v>1</x:v>
      </x:c>
      <x:c r="U165" s="12" t="n">
        <x:v>0</x:v>
      </x:c>
      <x:c r="V165" s="8" t="n">
        <x:v>0</x:v>
      </x:c>
      <x:c r="W165" s="8" t="n">
        <x:v>230</x:v>
      </x:c>
      <x:c r="X165" s="12" t="n">
        <x:v>74700</x:v>
      </x:c>
      <x:c r="Y165" s="21"/>
      <x:c r="Z165" s="24" t="n">
        <x:f>IF($A165="","",INDEX(Settings!$C$29:$C$33,MATCH(E165,Settings!$A$29:$A$33,0)))</x:f>
        <x:v>4200</x:v>
      </x:c>
      <x:c r="AA165" s="22" t="n">
        <x:f>IF($A165="","",G165/Z165)</x:f>
        <x:v>0.9142857142857143</x:v>
      </x:c>
      <x:c r="AB165" s="25" t="n">
        <x:f>IF($A165="","",IF(ISNUMBER(Y165),Y165,Settings!$B$10))</x:f>
        <x:v>0.03</x:v>
      </x:c>
      <x:c r="AC165" s="23" t="n">
        <x:f>IF($A165="","",G165*(1+AB165))</x:f>
        <x:v>3955.2000000000003</x:v>
      </x:c>
      <x:c r="AD165" s="23" t="n">
        <x:f>IF($A165="","",G165*F165*12)</x:f>
        <x:v>46080</x:v>
      </x:c>
      <x:c r="AE165" s="23" t="n">
        <x:f>IF($A165="","",G165*F165*J165)</x:f>
        <x:v>3840</x:v>
      </x:c>
      <x:c r="AF165" s="24" t="n">
        <x:f>IF($A165="","",L165*F165*K165*Settings!$B$13)</x:f>
        <x:v>3532.8</x:v>
      </x:c>
      <x:c r="AG165" s="23" t="n">
        <x:f>IF($A165="","",AD165*H165*I165)</x:f>
        <x:v>2949.1200000000003</x:v>
      </x:c>
      <x:c r="AH165" s="24" t="n">
        <x:f>IF($A165="","",SUM(AD165:AE165,AG165)*SUM(Settings!$B$11:$B$12))</x:f>
        <x:v>13217.28</x:v>
      </x:c>
      <x:c r="AI165" s="24" t="n">
        <x:f>IF($A165="","",M165*Settings!$B$16)</x:f>
        <x:v>1888.92</x:v>
      </x:c>
      <x:c r="AJ165" s="24" t="n">
        <x:f>IF($A165="","",M165*Settings!$B$15)</x:f>
        <x:v>231.08</x:v>
      </x:c>
      <x:c r="AK165" s="24" t="n">
        <x:f>IF($A165="","",O165*Settings!$B$18)</x:f>
        <x:v>273.8</x:v>
      </x:c>
      <x:c r="AL165" s="24" t="n">
        <x:f>IF($A165="","",P165*Settings!$B$20+Q165*Settings!$B$21+R165*Settings!$B$22+S165*Settings!$B$23)</x:f>
        <x:v>0</x:v>
      </x:c>
      <x:c r="AM165" s="24" t="n">
        <x:f>IF($A165="","",T165*Settings!$B$24)</x:f>
        <x:v>40</x:v>
      </x:c>
      <x:c r="AN165" s="23" t="n">
        <x:f>IF($A165="","",SUM(AI165,N165,AK165:AM165,U165))</x:f>
        <x:v>2452.7200000000003</x:v>
      </x:c>
      <x:c r="AO165" s="23" t="n">
        <x:f>IF($A165="","",SUM(AD165:AI165,N165,AK165:AM165,U165))</x:f>
        <x:v>72071.92000000001</x:v>
      </x:c>
      <x:c r="AP165" s="24" t="n">
        <x:f>IF($A165="","",G165*F165*AB165*((13-Settings!$B$9)*(1+H165*I165)+J165)*(1+SUM(Settings!$B$11:$B$12)))</x:f>
        <x:v>1522.944</x:v>
      </x:c>
      <x:c r="AQ165" s="23" t="n">
        <x:f>IF($A165="","",SUM(AO165:AP165))</x:f>
        <x:v>73594.86400000002</x:v>
      </x:c>
      <x:c r="AR165" s="23" t="n">
        <x:f>IF($A165="","",AQ165-X165)</x:f>
        <x:v>-1105.135999999984</x:v>
      </x:c>
      <x:c r="AS165" s="22" t="n">
        <x:f>IF($A165="","",IF(W165=0,"n.a.",V165/W165))</x:f>
        <x:v>0</x:v>
      </x:c>
      <x:c r="AT165" s="26" t="str">
        <x:f>IF($A165="",IF(COUNTA(B165:Y165)&gt;0,"Missing ID",""),IF(COUNTIFS($A$9:$A$508,A165)&gt;1,"Duplicate ID",IF(OR(B165="",C165="",D165="",E165="",COUNT(F165:X165)&lt;&gt;19),"Missing / text input",IF(OR(COUNTIFS(Settings!$A$59:$A$64,B165)&lt;&gt;1,COUNTIFS(Settings!$A$29:$A$33,E165)&lt;&gt;1),"Unknown department / grade",IF(OR(F165&lt;=0,F165&gt;1,G165&lt;=0,L165&lt;=0,H165&lt;0,I165&lt;0,J165&lt;0,K165&lt;0,K165&gt;1,MIN(M165:X165)&lt;0,W165=0,V165&gt;W165,M165&gt;W165-V165,P165&gt;8,Q165&gt;4,R165&gt;12,S165&gt;12,T165&gt;1,AB165&lt;0),"Review quantity / rate",IF(OR(N165&gt;Settings!$C$17,AK165&gt;Settings!$C$19),"Review benefit ceiling","OK"))))))</x:f>
        <x:v>OK</x:v>
      </x:c>
    </x:row>
    <x:row r="166" ht="23" customHeight="1">
      <x:c r="A166" s="8" t="str">
        <x:v>BE-0158</x:v>
      </x:c>
      <x:c r="B166" s="8" t="str">
        <x:v>People &amp; Culture</x:v>
      </x:c>
      <x:c r="C166" s="8" t="str">
        <x:v>Antwerp</x:v>
      </x:c>
      <x:c r="D166" s="8" t="str">
        <x:v>People manager</x:v>
      </x:c>
      <x:c r="E166" s="8" t="str">
        <x:v>G4</x:v>
      </x:c>
      <x:c r="F166" s="20" t="n">
        <x:v>1</x:v>
      </x:c>
      <x:c r="G166" s="12" t="n">
        <x:v>4860</x:v>
      </x:c>
      <x:c r="H166" s="21" t="n">
        <x:v>0.12</x:v>
      </x:c>
      <x:c r="I166" s="20" t="n">
        <x:v>1</x:v>
      </x:c>
      <x:c r="J166" s="20" t="n">
        <x:v>1</x:v>
      </x:c>
      <x:c r="K166" s="20" t="n">
        <x:v>1</x:v>
      </x:c>
      <x:c r="L166" s="12" t="n">
        <x:v>4860</x:v>
      </x:c>
      <x:c r="M166" s="8" t="n">
        <x:v>211</x:v>
      </x:c>
      <x:c r="N166" s="12" t="n">
        <x:v>250</x:v>
      </x:c>
      <x:c r="O166" s="8" t="n">
        <x:v>0</x:v>
      </x:c>
      <x:c r="P166" s="8" t="n">
        <x:v>8</x:v>
      </x:c>
      <x:c r="Q166" s="8" t="n">
        <x:v>4</x:v>
      </x:c>
      <x:c r="R166" s="8" t="n">
        <x:v>12</x:v>
      </x:c>
      <x:c r="S166" s="8" t="n">
        <x:v>0</x:v>
      </x:c>
      <x:c r="T166" s="8" t="n">
        <x:v>1</x:v>
      </x:c>
      <x:c r="U166" s="12" t="n">
        <x:v>0</x:v>
      </x:c>
      <x:c r="V166" s="8" t="n">
        <x:v>1</x:v>
      </x:c>
      <x:c r="W166" s="8" t="n">
        <x:v>230</x:v>
      </x:c>
      <x:c r="X166" s="12" t="n">
        <x:v>100000</x:v>
      </x:c>
      <x:c r="Y166" s="21"/>
      <x:c r="Z166" s="24" t="n">
        <x:f>IF($A166="","",INDEX(Settings!$C$29:$C$33,MATCH(E166,Settings!$A$29:$A$33,0)))</x:f>
        <x:v>5400</x:v>
      </x:c>
      <x:c r="AA166" s="22" t="n">
        <x:f>IF($A166="","",G166/Z166)</x:f>
        <x:v>0.9</x:v>
      </x:c>
      <x:c r="AB166" s="25" t="n">
        <x:f>IF($A166="","",IF(ISNUMBER(Y166),Y166,Settings!$B$10))</x:f>
        <x:v>0.03</x:v>
      </x:c>
      <x:c r="AC166" s="23" t="n">
        <x:f>IF($A166="","",G166*(1+AB166))</x:f>
        <x:v>5005.8</x:v>
      </x:c>
      <x:c r="AD166" s="23" t="n">
        <x:f>IF($A166="","",G166*F166*12)</x:f>
        <x:v>58320</x:v>
      </x:c>
      <x:c r="AE166" s="23" t="n">
        <x:f>IF($A166="","",G166*F166*J166)</x:f>
        <x:v>4860</x:v>
      </x:c>
      <x:c r="AF166" s="24" t="n">
        <x:f>IF($A166="","",L166*F166*K166*Settings!$B$13)</x:f>
        <x:v>4471.2</x:v>
      </x:c>
      <x:c r="AG166" s="23" t="n">
        <x:f>IF($A166="","",AD166*H166*I166)</x:f>
        <x:v>6998.4</x:v>
      </x:c>
      <x:c r="AH166" s="24" t="n">
        <x:f>IF($A166="","",SUM(AD166:AE166,AG166)*SUM(Settings!$B$11:$B$12))</x:f>
        <x:v>17544.6</x:v>
      </x:c>
      <x:c r="AI166" s="24" t="n">
        <x:f>IF($A166="","",M166*Settings!$B$16)</x:f>
        <x:v>1880.01</x:v>
      </x:c>
      <x:c r="AJ166" s="24" t="n">
        <x:f>IF($A166="","",M166*Settings!$B$15)</x:f>
        <x:v>229.99</x:v>
      </x:c>
      <x:c r="AK166" s="24" t="n">
        <x:f>IF($A166="","",O166*Settings!$B$18)</x:f>
        <x:v>0</x:v>
      </x:c>
      <x:c r="AL166" s="24" t="n">
        <x:f>IF($A166="","",P166*Settings!$B$20+Q166*Settings!$B$21+R166*Settings!$B$22+S166*Settings!$B$23)</x:f>
        <x:v>2184.76</x:v>
      </x:c>
      <x:c r="AM166" s="24" t="n">
        <x:f>IF($A166="","",T166*Settings!$B$24)</x:f>
        <x:v>40</x:v>
      </x:c>
      <x:c r="AN166" s="23" t="n">
        <x:f>IF($A166="","",SUM(AI166,N166,AK166:AM166,U166))</x:f>
        <x:v>4354.77</x:v>
      </x:c>
      <x:c r="AO166" s="23" t="n">
        <x:f>IF($A166="","",SUM(AD166:AI166,N166,AK166:AM166,U166))</x:f>
        <x:v>96548.96999999997</x:v>
      </x:c>
      <x:c r="AP166" s="24" t="n">
        <x:f>IF($A166="","",G166*F166*AB166*((13-Settings!$B$9)*(1+H166*I166)+J166)*(1+SUM(Settings!$B$11:$B$12)))</x:f>
        <x:v>2019.3300000000002</x:v>
      </x:c>
      <x:c r="AQ166" s="23" t="n">
        <x:f>IF($A166="","",SUM(AO166:AP166))</x:f>
        <x:v>98568.29999999997</x:v>
      </x:c>
      <x:c r="AR166" s="23" t="n">
        <x:f>IF($A166="","",AQ166-X166)</x:f>
        <x:v>-1431.7000000000262</x:v>
      </x:c>
      <x:c r="AS166" s="22" t="n">
        <x:f>IF($A166="","",IF(W166=0,"n.a.",V166/W166))</x:f>
        <x:v>0.004347826086956522</x:v>
      </x:c>
      <x:c r="AT166" s="26" t="str">
        <x:f>IF($A166="",IF(COUNTA(B166:Y166)&gt;0,"Missing ID",""),IF(COUNTIFS($A$9:$A$508,A166)&gt;1,"Duplicate ID",IF(OR(B166="",C166="",D166="",E166="",COUNT(F166:X166)&lt;&gt;19),"Missing / text input",IF(OR(COUNTIFS(Settings!$A$59:$A$64,B166)&lt;&gt;1,COUNTIFS(Settings!$A$29:$A$33,E166)&lt;&gt;1),"Unknown department / grade",IF(OR(F166&lt;=0,F166&gt;1,G166&lt;=0,L166&lt;=0,H166&lt;0,I166&lt;0,J166&lt;0,K166&lt;0,K166&gt;1,MIN(M166:X166)&lt;0,W166=0,V166&gt;W166,M166&gt;W166-V166,P166&gt;8,Q166&gt;4,R166&gt;12,S166&gt;12,T166&gt;1,AB166&lt;0),"Review quantity / rate",IF(OR(N166&gt;Settings!$C$17,AK166&gt;Settings!$C$19),"Review benefit ceiling","OK"))))))</x:f>
        <x:v>OK</x:v>
      </x:c>
    </x:row>
    <x:row r="167" ht="23" customHeight="1">
      <x:c r="A167" s="8" t="str">
        <x:v>BE-0159</x:v>
      </x:c>
      <x:c r="B167" s="8" t="str">
        <x:v>Technology</x:v>
      </x:c>
      <x:c r="C167" s="8" t="str">
        <x:v>Ghent</x:v>
      </x:c>
      <x:c r="D167" s="8" t="str">
        <x:v>IT manager</x:v>
      </x:c>
      <x:c r="E167" s="8" t="str">
        <x:v>G4</x:v>
      </x:c>
      <x:c r="F167" s="20" t="n">
        <x:v>1</x:v>
      </x:c>
      <x:c r="G167" s="12" t="n">
        <x:v>5470</x:v>
      </x:c>
      <x:c r="H167" s="21" t="n">
        <x:v>0.12</x:v>
      </x:c>
      <x:c r="I167" s="20" t="n">
        <x:v>1.1</x:v>
      </x:c>
      <x:c r="J167" s="20" t="n">
        <x:v>1</x:v>
      </x:c>
      <x:c r="K167" s="20" t="n">
        <x:v>1</x:v>
      </x:c>
      <x:c r="L167" s="12" t="n">
        <x:v>5470</x:v>
      </x:c>
      <x:c r="M167" s="8" t="n">
        <x:v>210</x:v>
      </x:c>
      <x:c r="N167" s="12" t="n">
        <x:v>250</x:v>
      </x:c>
      <x:c r="O167" s="8" t="n">
        <x:v>0</x:v>
      </x:c>
      <x:c r="P167" s="8" t="n">
        <x:v>8</x:v>
      </x:c>
      <x:c r="Q167" s="8" t="n">
        <x:v>4</x:v>
      </x:c>
      <x:c r="R167" s="8" t="n">
        <x:v>12</x:v>
      </x:c>
      <x:c r="S167" s="8" t="n">
        <x:v>0</x:v>
      </x:c>
      <x:c r="T167" s="8" t="n">
        <x:v>1</x:v>
      </x:c>
      <x:c r="U167" s="12" t="n">
        <x:v>0</x:v>
      </x:c>
      <x:c r="V167" s="8" t="n">
        <x:v>2</x:v>
      </x:c>
      <x:c r="W167" s="8" t="n">
        <x:v>230</x:v>
      </x:c>
      <x:c r="X167" s="12" t="n">
        <x:v>113100</x:v>
      </x:c>
      <x:c r="Y167" s="21"/>
      <x:c r="Z167" s="24" t="n">
        <x:f>IF($A167="","",INDEX(Settings!$C$29:$C$33,MATCH(E167,Settings!$A$29:$A$33,0)))</x:f>
        <x:v>5400</x:v>
      </x:c>
      <x:c r="AA167" s="22" t="n">
        <x:f>IF($A167="","",G167/Z167)</x:f>
        <x:v>1.012962962962963</x:v>
      </x:c>
      <x:c r="AB167" s="25" t="n">
        <x:f>IF($A167="","",IF(ISNUMBER(Y167),Y167,Settings!$B$10))</x:f>
        <x:v>0.03</x:v>
      </x:c>
      <x:c r="AC167" s="23" t="n">
        <x:f>IF($A167="","",G167*(1+AB167))</x:f>
        <x:v>5634.1</x:v>
      </x:c>
      <x:c r="AD167" s="23" t="n">
        <x:f>IF($A167="","",G167*F167*12)</x:f>
        <x:v>65640</x:v>
      </x:c>
      <x:c r="AE167" s="23" t="n">
        <x:f>IF($A167="","",G167*F167*J167)</x:f>
        <x:v>5470</x:v>
      </x:c>
      <x:c r="AF167" s="24" t="n">
        <x:f>IF($A167="","",L167*F167*K167*Settings!$B$13)</x:f>
        <x:v>5032.400000000001</x:v>
      </x:c>
      <x:c r="AG167" s="23" t="n">
        <x:f>IF($A167="","",AD167*H167*I167)</x:f>
        <x:v>8664.48</x:v>
      </x:c>
      <x:c r="AH167" s="24" t="n">
        <x:f>IF($A167="","",SUM(AD167:AE167,AG167)*SUM(Settings!$B$11:$B$12))</x:f>
        <x:v>19943.62</x:v>
      </x:c>
      <x:c r="AI167" s="24" t="n">
        <x:f>IF($A167="","",M167*Settings!$B$16)</x:f>
        <x:v>1871.1000000000001</x:v>
      </x:c>
      <x:c r="AJ167" s="24" t="n">
        <x:f>IF($A167="","",M167*Settings!$B$15)</x:f>
        <x:v>228.9</x:v>
      </x:c>
      <x:c r="AK167" s="24" t="n">
        <x:f>IF($A167="","",O167*Settings!$B$18)</x:f>
        <x:v>0</x:v>
      </x:c>
      <x:c r="AL167" s="24" t="n">
        <x:f>IF($A167="","",P167*Settings!$B$20+Q167*Settings!$B$21+R167*Settings!$B$22+S167*Settings!$B$23)</x:f>
        <x:v>2184.76</x:v>
      </x:c>
      <x:c r="AM167" s="24" t="n">
        <x:f>IF($A167="","",T167*Settings!$B$24)</x:f>
        <x:v>40</x:v>
      </x:c>
      <x:c r="AN167" s="23" t="n">
        <x:f>IF($A167="","",SUM(AI167,N167,AK167:AM167,U167))</x:f>
        <x:v>4345.860000000001</x:v>
      </x:c>
      <x:c r="AO167" s="23" t="n">
        <x:f>IF($A167="","",SUM(AD167:AI167,N167,AK167:AM167,U167))</x:f>
        <x:v>109096.35999999999</x:v>
      </x:c>
      <x:c r="AP167" s="24" t="n">
        <x:f>IF($A167="","",G167*F167*AB167*((13-Settings!$B$9)*(1+H167*I167)+J167)*(1+SUM(Settings!$B$11:$B$12)))</x:f>
        <x:v>2294.9385</x:v>
      </x:c>
      <x:c r="AQ167" s="23" t="n">
        <x:f>IF($A167="","",SUM(AO167:AP167))</x:f>
        <x:v>111391.29849999999</x:v>
      </x:c>
      <x:c r="AR167" s="23" t="n">
        <x:f>IF($A167="","",AQ167-X167)</x:f>
        <x:v>-1708.7015000000101</x:v>
      </x:c>
      <x:c r="AS167" s="22" t="n">
        <x:f>IF($A167="","",IF(W167=0,"n.a.",V167/W167))</x:f>
        <x:v>0.008695652173913044</x:v>
      </x:c>
      <x:c r="AT167" s="26" t="str">
        <x:f>IF($A167="",IF(COUNTA(B167:Y167)&gt;0,"Missing ID",""),IF(COUNTIFS($A$9:$A$508,A167)&gt;1,"Duplicate ID",IF(OR(B167="",C167="",D167="",E167="",COUNT(F167:X167)&lt;&gt;19),"Missing / text input",IF(OR(COUNTIFS(Settings!$A$59:$A$64,B167)&lt;&gt;1,COUNTIFS(Settings!$A$29:$A$33,E167)&lt;&gt;1),"Unknown department / grade",IF(OR(F167&lt;=0,F167&gt;1,G167&lt;=0,L167&lt;=0,H167&lt;0,I167&lt;0,J167&lt;0,K167&lt;0,K167&gt;1,MIN(M167:X167)&lt;0,W167=0,V167&gt;W167,M167&gt;W167-V167,P167&gt;8,Q167&gt;4,R167&gt;12,S167&gt;12,T167&gt;1,AB167&lt;0),"Review quantity / rate",IF(OR(N167&gt;Settings!$C$17,AK167&gt;Settings!$C$19),"Review benefit ceiling","OK"))))))</x:f>
        <x:v>OK</x:v>
      </x:c>
    </x:row>
    <x:row r="168" ht="23" customHeight="1">
      <x:c r="A168" s="8" t="str">
        <x:v>BE-0160</x:v>
      </x:c>
      <x:c r="B168" s="8" t="str">
        <x:v>Sales</x:v>
      </x:c>
      <x:c r="C168" s="8" t="str">
        <x:v>Brussels</x:v>
      </x:c>
      <x:c r="D168" s="8" t="str">
        <x:v>Head of Sales</x:v>
      </x:c>
      <x:c r="E168" s="8" t="str">
        <x:v>G5</x:v>
      </x:c>
      <x:c r="F168" s="20" t="n">
        <x:v>1</x:v>
      </x:c>
      <x:c r="G168" s="12" t="n">
        <x:v>7080</x:v>
      </x:c>
      <x:c r="H168" s="21" t="n">
        <x:v>0.18</x:v>
      </x:c>
      <x:c r="I168" s="20" t="n">
        <x:v>0.8</x:v>
      </x:c>
      <x:c r="J168" s="20" t="n">
        <x:v>1</x:v>
      </x:c>
      <x:c r="K168" s="20" t="n">
        <x:v>1</x:v>
      </x:c>
      <x:c r="L168" s="12" t="n">
        <x:v>7080</x:v>
      </x:c>
      <x:c r="M168" s="8" t="n">
        <x:v>209</x:v>
      </x:c>
      <x:c r="N168" s="12" t="n">
        <x:v>250</x:v>
      </x:c>
      <x:c r="O168" s="8" t="n">
        <x:v>1070</x:v>
      </x:c>
      <x:c r="P168" s="8" t="n">
        <x:v>8</x:v>
      </x:c>
      <x:c r="Q168" s="8" t="n">
        <x:v>4</x:v>
      </x:c>
      <x:c r="R168" s="8" t="n">
        <x:v>12</x:v>
      </x:c>
      <x:c r="S168" s="8" t="n">
        <x:v>0</x:v>
      </x:c>
      <x:c r="T168" s="8" t="n">
        <x:v>1</x:v>
      </x:c>
      <x:c r="U168" s="12" t="n">
        <x:v>0</x:v>
      </x:c>
      <x:c r="V168" s="8" t="n">
        <x:v>3</x:v>
      </x:c>
      <x:c r="W168" s="8" t="n">
        <x:v>230</x:v>
      </x:c>
      <x:c r="X168" s="12" t="n">
        <x:v>146800</x:v>
      </x:c>
      <x:c r="Y168" s="21"/>
      <x:c r="Z168" s="24" t="n">
        <x:f>IF($A168="","",INDEX(Settings!$C$29:$C$33,MATCH(E168,Settings!$A$29:$A$33,0)))</x:f>
        <x:v>7500</x:v>
      </x:c>
      <x:c r="AA168" s="22" t="n">
        <x:f>IF($A168="","",G168/Z168)</x:f>
        <x:v>0.944</x:v>
      </x:c>
      <x:c r="AB168" s="25" t="n">
        <x:f>IF($A168="","",IF(ISNUMBER(Y168),Y168,Settings!$B$10))</x:f>
        <x:v>0.03</x:v>
      </x:c>
      <x:c r="AC168" s="23" t="n">
        <x:f>IF($A168="","",G168*(1+AB168))</x:f>
        <x:v>7292.400000000001</x:v>
      </x:c>
      <x:c r="AD168" s="23" t="n">
        <x:f>IF($A168="","",G168*F168*12)</x:f>
        <x:v>84960</x:v>
      </x:c>
      <x:c r="AE168" s="23" t="n">
        <x:f>IF($A168="","",G168*F168*J168)</x:f>
        <x:v>7080</x:v>
      </x:c>
      <x:c r="AF168" s="24" t="n">
        <x:f>IF($A168="","",L168*F168*K168*Settings!$B$13)</x:f>
        <x:v>6513.6</x:v>
      </x:c>
      <x:c r="AG168" s="23" t="n">
        <x:f>IF($A168="","",AD168*H168*I168)</x:f>
        <x:v>12234.24</x:v>
      </x:c>
      <x:c r="AH168" s="24" t="n">
        <x:f>IF($A168="","",SUM(AD168:AE168,AG168)*SUM(Settings!$B$11:$B$12))</x:f>
        <x:v>26068.56</x:v>
      </x:c>
      <x:c r="AI168" s="24" t="n">
        <x:f>IF($A168="","",M168*Settings!$B$16)</x:f>
        <x:v>1862.19</x:v>
      </x:c>
      <x:c r="AJ168" s="24" t="n">
        <x:f>IF($A168="","",M168*Settings!$B$15)</x:f>
        <x:v>227.81000000000003</x:v>
      </x:c>
      <x:c r="AK168" s="24" t="n">
        <x:f>IF($A168="","",O168*Settings!$B$18)</x:f>
        <x:v>395.9</x:v>
      </x:c>
      <x:c r="AL168" s="24" t="n">
        <x:f>IF($A168="","",P168*Settings!$B$20+Q168*Settings!$B$21+R168*Settings!$B$22+S168*Settings!$B$23)</x:f>
        <x:v>2184.76</x:v>
      </x:c>
      <x:c r="AM168" s="24" t="n">
        <x:f>IF($A168="","",T168*Settings!$B$24)</x:f>
        <x:v>40</x:v>
      </x:c>
      <x:c r="AN168" s="23" t="n">
        <x:f>IF($A168="","",SUM(AI168,N168,AK168:AM168,U168))</x:f>
        <x:v>4732.85</x:v>
      </x:c>
      <x:c r="AO168" s="23" t="n">
        <x:f>IF($A168="","",SUM(AD168:AI168,N168,AK168:AM168,U168))</x:f>
        <x:v>141589.25000000003</x:v>
      </x:c>
      <x:c r="AP168" s="24" t="n">
        <x:f>IF($A168="","",G168*F168*AB168*((13-Settings!$B$9)*(1+H168*I168)+J168)*(1+SUM(Settings!$B$11:$B$12)))</x:f>
        <x:v>2999.0879999999997</x:v>
      </x:c>
      <x:c r="AQ168" s="23" t="n">
        <x:f>IF($A168="","",SUM(AO168:AP168))</x:f>
        <x:v>144588.33800000002</x:v>
      </x:c>
      <x:c r="AR168" s="23" t="n">
        <x:f>IF($A168="","",AQ168-X168)</x:f>
        <x:v>-2211.661999999982</x:v>
      </x:c>
      <x:c r="AS168" s="22" t="n">
        <x:f>IF($A168="","",IF(W168=0,"n.a.",V168/W168))</x:f>
        <x:v>0.013043478260869565</x:v>
      </x:c>
      <x:c r="AT168" s="26" t="str">
        <x:f>IF($A168="",IF(COUNTA(B168:Y168)&gt;0,"Missing ID",""),IF(COUNTIFS($A$9:$A$508,A168)&gt;1,"Duplicate ID",IF(OR(B168="",C168="",D168="",E168="",COUNT(F168:X168)&lt;&gt;19),"Missing / text input",IF(OR(COUNTIFS(Settings!$A$59:$A$64,B168)&lt;&gt;1,COUNTIFS(Settings!$A$29:$A$33,E168)&lt;&gt;1),"Unknown department / grade",IF(OR(F168&lt;=0,F168&gt;1,G168&lt;=0,L168&lt;=0,H168&lt;0,I168&lt;0,J168&lt;0,K168&lt;0,K168&gt;1,MIN(M168:X168)&lt;0,W168=0,V168&gt;W168,M168&gt;W168-V168,P168&gt;8,Q168&gt;4,R168&gt;12,S168&gt;12,T168&gt;1,AB168&lt;0),"Review quantity / rate",IF(OR(N168&gt;Settings!$C$17,AK168&gt;Settings!$C$19),"Review benefit ceiling","OK"))))))</x:f>
        <x:v>OK</x:v>
      </x:c>
    </x:row>
    <x:row r="169" ht="23" customHeight="1">
      <x:c r="A169" s="8" t="str">
        <x:v>BE-0161</x:v>
      </x:c>
      <x:c r="B169" s="8" t="str">
        <x:v>Customer Operations</x:v>
      </x:c>
      <x:c r="C169" s="8" t="str">
        <x:v>Antwerp</x:v>
      </x:c>
      <x:c r="D169" s="8" t="str">
        <x:v>Service administrator</x:v>
      </x:c>
      <x:c r="E169" s="8" t="str">
        <x:v>G1</x:v>
      </x:c>
      <x:c r="F169" s="20" t="n">
        <x:v>1</x:v>
      </x:c>
      <x:c r="G169" s="12" t="n">
        <x:v>2630</x:v>
      </x:c>
      <x:c r="H169" s="21" t="n">
        <x:v>0.03</x:v>
      </x:c>
      <x:c r="I169" s="20" t="n">
        <x:v>1</x:v>
      </x:c>
      <x:c r="J169" s="20" t="n">
        <x:v>1</x:v>
      </x:c>
      <x:c r="K169" s="20" t="n">
        <x:v>1</x:v>
      </x:c>
      <x:c r="L169" s="12" t="n">
        <x:v>2630</x:v>
      </x:c>
      <x:c r="M169" s="8" t="n">
        <x:v>208</x:v>
      </x:c>
      <x:c r="N169" s="12" t="n">
        <x:v>250</x:v>
      </x:c>
      <x:c r="O169" s="8" t="n">
        <x:v>0</x:v>
      </x:c>
      <x:c r="P169" s="8" t="n">
        <x:v>0</x:v>
      </x:c>
      <x:c r="Q169" s="8" t="n">
        <x:v>0</x:v>
      </x:c>
      <x:c r="R169" s="8" t="n">
        <x:v>0</x:v>
      </x:c>
      <x:c r="S169" s="8" t="n">
        <x:v>0</x:v>
      </x:c>
      <x:c r="T169" s="8" t="n">
        <x:v>1</x:v>
      </x:c>
      <x:c r="U169" s="12" t="n">
        <x:v>0</x:v>
      </x:c>
      <x:c r="V169" s="8" t="n">
        <x:v>4</x:v>
      </x:c>
      <x:c r="W169" s="8" t="n">
        <x:v>230</x:v>
      </x:c>
      <x:c r="X169" s="12" t="n">
        <x:v>48800</x:v>
      </x:c>
      <x:c r="Y169" s="21"/>
      <x:c r="Z169" s="24" t="n">
        <x:f>IF($A169="","",INDEX(Settings!$C$29:$C$33,MATCH(E169,Settings!$A$29:$A$33,0)))</x:f>
        <x:v>2700</x:v>
      </x:c>
      <x:c r="AA169" s="22" t="n">
        <x:f>IF($A169="","",G169/Z169)</x:f>
        <x:v>0.9740740740740741</x:v>
      </x:c>
      <x:c r="AB169" s="25" t="n">
        <x:f>IF($A169="","",IF(ISNUMBER(Y169),Y169,Settings!$B$10))</x:f>
        <x:v>0.03</x:v>
      </x:c>
      <x:c r="AC169" s="23" t="n">
        <x:f>IF($A169="","",G169*(1+AB169))</x:f>
        <x:v>2708.9</x:v>
      </x:c>
      <x:c r="AD169" s="23" t="n">
        <x:f>IF($A169="","",G169*F169*12)</x:f>
        <x:v>31560</x:v>
      </x:c>
      <x:c r="AE169" s="23" t="n">
        <x:f>IF($A169="","",G169*F169*J169)</x:f>
        <x:v>2630</x:v>
      </x:c>
      <x:c r="AF169" s="24" t="n">
        <x:f>IF($A169="","",L169*F169*K169*Settings!$B$13)</x:f>
        <x:v>2419.6</x:v>
      </x:c>
      <x:c r="AG169" s="23" t="n">
        <x:f>IF($A169="","",AD169*H169*I169)</x:f>
        <x:v>946.8</x:v>
      </x:c>
      <x:c r="AH169" s="24" t="n">
        <x:f>IF($A169="","",SUM(AD169:AE169,AG169)*SUM(Settings!$B$11:$B$12))</x:f>
        <x:v>8784.2</x:v>
      </x:c>
      <x:c r="AI169" s="24" t="n">
        <x:f>IF($A169="","",M169*Settings!$B$16)</x:f>
        <x:v>1853.28</x:v>
      </x:c>
      <x:c r="AJ169" s="24" t="n">
        <x:f>IF($A169="","",M169*Settings!$B$15)</x:f>
        <x:v>226.72000000000003</x:v>
      </x:c>
      <x:c r="AK169" s="24" t="n">
        <x:f>IF($A169="","",O169*Settings!$B$18)</x:f>
        <x:v>0</x:v>
      </x:c>
      <x:c r="AL169" s="24" t="n">
        <x:f>IF($A169="","",P169*Settings!$B$20+Q169*Settings!$B$21+R169*Settings!$B$22+S169*Settings!$B$23)</x:f>
        <x:v>0</x:v>
      </x:c>
      <x:c r="AM169" s="24" t="n">
        <x:f>IF($A169="","",T169*Settings!$B$24)</x:f>
        <x:v>40</x:v>
      </x:c>
      <x:c r="AN169" s="23" t="n">
        <x:f>IF($A169="","",SUM(AI169,N169,AK169:AM169,U169))</x:f>
        <x:v>2143.2799999999997</x:v>
      </x:c>
      <x:c r="AO169" s="23" t="n">
        <x:f>IF($A169="","",SUM(AD169:AI169,N169,AK169:AM169,U169))</x:f>
        <x:v>48483.880000000005</x:v>
      </x:c>
      <x:c r="AP169" s="24" t="n">
        <x:f>IF($A169="","",G169*F169*AB169*((13-Settings!$B$9)*(1+H169*I169)+J169)*(1+SUM(Settings!$B$11:$B$12)))</x:f>
        <x:v>1012.8787499999999</x:v>
      </x:c>
      <x:c r="AQ169" s="23" t="n">
        <x:f>IF($A169="","",SUM(AO169:AP169))</x:f>
        <x:v>49496.75875000001</x:v>
      </x:c>
      <x:c r="AR169" s="23" t="n">
        <x:f>IF($A169="","",AQ169-X169)</x:f>
        <x:v>696.7587500000081</x:v>
      </x:c>
      <x:c r="AS169" s="22" t="n">
        <x:f>IF($A169="","",IF(W169=0,"n.a.",V169/W169))</x:f>
        <x:v>0.017391304347826087</x:v>
      </x:c>
      <x:c r="AT169" s="26" t="str">
        <x:f>IF($A169="",IF(COUNTA(B169:Y169)&gt;0,"Missing ID",""),IF(COUNTIFS($A$9:$A$508,A169)&gt;1,"Duplicate ID",IF(OR(B169="",C169="",D169="",E169="",COUNT(F169:X169)&lt;&gt;19),"Missing / text input",IF(OR(COUNTIFS(Settings!$A$59:$A$64,B169)&lt;&gt;1,COUNTIFS(Settings!$A$29:$A$33,E169)&lt;&gt;1),"Unknown department / grade",IF(OR(F169&lt;=0,F169&gt;1,G169&lt;=0,L169&lt;=0,H169&lt;0,I169&lt;0,J169&lt;0,K169&lt;0,K169&gt;1,MIN(M169:X169)&lt;0,W169=0,V169&gt;W169,M169&gt;W169-V169,P169&gt;8,Q169&gt;4,R169&gt;12,S169&gt;12,T169&gt;1,AB169&lt;0),"Review quantity / rate",IF(OR(N169&gt;Settings!$C$17,AK169&gt;Settings!$C$19),"Review benefit ceiling","OK"))))))</x:f>
        <x:v>OK</x:v>
      </x:c>
    </x:row>
    <x:row r="170" ht="23" customHeight="1">
      <x:c r="A170" s="8" t="str">
        <x:v>BE-0162</x:v>
      </x:c>
      <x:c r="B170" s="8" t="str">
        <x:v>Business Support</x:v>
      </x:c>
      <x:c r="C170" s="8" t="str">
        <x:v>Ghent</x:v>
      </x:c>
      <x:c r="D170" s="8" t="str">
        <x:v>Office administrator</x:v>
      </x:c>
      <x:c r="E170" s="8" t="str">
        <x:v>G1</x:v>
      </x:c>
      <x:c r="F170" s="20" t="n">
        <x:v>0.8</x:v>
      </x:c>
      <x:c r="G170" s="12" t="n">
        <x:v>2540</x:v>
      </x:c>
      <x:c r="H170" s="21" t="n">
        <x:v>0.03</x:v>
      </x:c>
      <x:c r="I170" s="20" t="n">
        <x:v>1.1</x:v>
      </x:c>
      <x:c r="J170" s="20" t="n">
        <x:v>1</x:v>
      </x:c>
      <x:c r="K170" s="20" t="n">
        <x:v>1</x:v>
      </x:c>
      <x:c r="L170" s="12" t="n">
        <x:v>2540</x:v>
      </x:c>
      <x:c r="M170" s="8" t="n">
        <x:v>171</x:v>
      </x:c>
      <x:c r="N170" s="12" t="n">
        <x:v>200</x:v>
      </x:c>
      <x:c r="O170" s="8" t="n">
        <x:v>0</x:v>
      </x:c>
      <x:c r="P170" s="8" t="n">
        <x:v>8</x:v>
      </x:c>
      <x:c r="Q170" s="8" t="n">
        <x:v>4</x:v>
      </x:c>
      <x:c r="R170" s="8" t="n">
        <x:v>12</x:v>
      </x:c>
      <x:c r="S170" s="8" t="n">
        <x:v>0</x:v>
      </x:c>
      <x:c r="T170" s="8" t="n">
        <x:v>1</x:v>
      </x:c>
      <x:c r="U170" s="12" t="n">
        <x:v>0</x:v>
      </x:c>
      <x:c r="V170" s="8" t="n">
        <x:v>5</x:v>
      </x:c>
      <x:c r="W170" s="8" t="n">
        <x:v>184</x:v>
      </x:c>
      <x:c r="X170" s="12" t="n">
        <x:v>41200</x:v>
      </x:c>
      <x:c r="Y170" s="21"/>
      <x:c r="Z170" s="24" t="n">
        <x:f>IF($A170="","",INDEX(Settings!$C$29:$C$33,MATCH(E170,Settings!$A$29:$A$33,0)))</x:f>
        <x:v>2700</x:v>
      </x:c>
      <x:c r="AA170" s="22" t="n">
        <x:f>IF($A170="","",G170/Z170)</x:f>
        <x:v>0.9407407407407408</x:v>
      </x:c>
      <x:c r="AB170" s="25" t="n">
        <x:f>IF($A170="","",IF(ISNUMBER(Y170),Y170,Settings!$B$10))</x:f>
        <x:v>0.03</x:v>
      </x:c>
      <x:c r="AC170" s="23" t="n">
        <x:f>IF($A170="","",G170*(1+AB170))</x:f>
        <x:v>2616.2000000000003</x:v>
      </x:c>
      <x:c r="AD170" s="23" t="n">
        <x:f>IF($A170="","",G170*F170*12)</x:f>
        <x:v>24384</x:v>
      </x:c>
      <x:c r="AE170" s="23" t="n">
        <x:f>IF($A170="","",G170*F170*J170)</x:f>
        <x:v>2032</x:v>
      </x:c>
      <x:c r="AF170" s="24" t="n">
        <x:f>IF($A170="","",L170*F170*K170*Settings!$B$13)</x:f>
        <x:v>1869.44</x:v>
      </x:c>
      <x:c r="AG170" s="23" t="n">
        <x:f>IF($A170="","",AD170*H170*I170)</x:f>
        <x:v>804.672</x:v>
      </x:c>
      <x:c r="AH170" s="24" t="n">
        <x:f>IF($A170="","",SUM(AD170:AE170,AG170)*SUM(Settings!$B$11:$B$12))</x:f>
        <x:v>6805.168</x:v>
      </x:c>
      <x:c r="AI170" s="24" t="n">
        <x:f>IF($A170="","",M170*Settings!$B$16)</x:f>
        <x:v>1523.6100000000001</x:v>
      </x:c>
      <x:c r="AJ170" s="24" t="n">
        <x:f>IF($A170="","",M170*Settings!$B$15)</x:f>
        <x:v>186.39000000000001</x:v>
      </x:c>
      <x:c r="AK170" s="24" t="n">
        <x:f>IF($A170="","",O170*Settings!$B$18)</x:f>
        <x:v>0</x:v>
      </x:c>
      <x:c r="AL170" s="24" t="n">
        <x:f>IF($A170="","",P170*Settings!$B$20+Q170*Settings!$B$21+R170*Settings!$B$22+S170*Settings!$B$23)</x:f>
        <x:v>2184.76</x:v>
      </x:c>
      <x:c r="AM170" s="24" t="n">
        <x:f>IF($A170="","",T170*Settings!$B$24)</x:f>
        <x:v>40</x:v>
      </x:c>
      <x:c r="AN170" s="23" t="n">
        <x:f>IF($A170="","",SUM(AI170,N170,AK170:AM170,U170))</x:f>
        <x:v>3948.3700000000003</x:v>
      </x:c>
      <x:c r="AO170" s="23" t="n">
        <x:f>IF($A170="","",SUM(AD170:AI170,N170,AK170:AM170,U170))</x:f>
        <x:v>39843.65</x:v>
      </x:c>
      <x:c r="AP170" s="24" t="n">
        <x:f>IF($A170="","",G170*F170*AB170*((13-Settings!$B$9)*(1+H170*I170)+J170)*(1+SUM(Settings!$B$11:$B$12)))</x:f>
        <x:v>784.6314</x:v>
      </x:c>
      <x:c r="AQ170" s="23" t="n">
        <x:f>IF($A170="","",SUM(AO170:AP170))</x:f>
        <x:v>40628.2814</x:v>
      </x:c>
      <x:c r="AR170" s="23" t="n">
        <x:f>IF($A170="","",AQ170-X170)</x:f>
        <x:v>-571.7186000000002</x:v>
      </x:c>
      <x:c r="AS170" s="22" t="n">
        <x:f>IF($A170="","",IF(W170=0,"n.a.",V170/W170))</x:f>
        <x:v>0.02717391304347826</x:v>
      </x:c>
      <x:c r="AT170" s="26" t="str">
        <x:f>IF($A170="",IF(COUNTA(B170:Y170)&gt;0,"Missing ID",""),IF(COUNTIFS($A$9:$A$508,A170)&gt;1,"Duplicate ID",IF(OR(B170="",C170="",D170="",E170="",COUNT(F170:X170)&lt;&gt;19),"Missing / text input",IF(OR(COUNTIFS(Settings!$A$59:$A$64,B170)&lt;&gt;1,COUNTIFS(Settings!$A$29:$A$33,E170)&lt;&gt;1),"Unknown department / grade",IF(OR(F170&lt;=0,F170&gt;1,G170&lt;=0,L170&lt;=0,H170&lt;0,I170&lt;0,J170&lt;0,K170&lt;0,K170&gt;1,MIN(M170:X170)&lt;0,W170=0,V170&gt;W170,M170&gt;W170-V170,P170&gt;8,Q170&gt;4,R170&gt;12,S170&gt;12,T170&gt;1,AB170&lt;0),"Review quantity / rate",IF(OR(N170&gt;Settings!$C$17,AK170&gt;Settings!$C$19),"Review benefit ceiling","OK"))))))</x:f>
        <x:v>OK</x:v>
      </x:c>
    </x:row>
    <x:row r="171" ht="23" customHeight="1">
      <x:c r="A171" s="8" t="str">
        <x:v>BE-0163</x:v>
      </x:c>
      <x:c r="B171" s="8" t="str">
        <x:v>Finance</x:v>
      </x:c>
      <x:c r="C171" s="8" t="str">
        <x:v>Brussels</x:v>
      </x:c>
      <x:c r="D171" s="8" t="str">
        <x:v>Finance administrator</x:v>
      </x:c>
      <x:c r="E171" s="8" t="str">
        <x:v>G1</x:v>
      </x:c>
      <x:c r="F171" s="20" t="n">
        <x:v>0.6</x:v>
      </x:c>
      <x:c r="G171" s="12" t="n">
        <x:v>2500</x:v>
      </x:c>
      <x:c r="H171" s="21" t="n">
        <x:v>0.03</x:v>
      </x:c>
      <x:c r="I171" s="20" t="n">
        <x:v>0.8</x:v>
      </x:c>
      <x:c r="J171" s="20" t="n">
        <x:v>1</x:v>
      </x:c>
      <x:c r="K171" s="20" t="n">
        <x:v>1</x:v>
      </x:c>
      <x:c r="L171" s="12" t="n">
        <x:v>2500</x:v>
      </x:c>
      <x:c r="M171" s="8" t="n">
        <x:v>127</x:v>
      </x:c>
      <x:c r="N171" s="12" t="n">
        <x:v>150</x:v>
      </x:c>
      <x:c r="O171" s="8" t="n">
        <x:v>1400</x:v>
      </x:c>
      <x:c r="P171" s="8" t="n">
        <x:v>8</x:v>
      </x:c>
      <x:c r="Q171" s="8" t="n">
        <x:v>4</x:v>
      </x:c>
      <x:c r="R171" s="8" t="n">
        <x:v>12</x:v>
      </x:c>
      <x:c r="S171" s="8" t="n">
        <x:v>0</x:v>
      </x:c>
      <x:c r="T171" s="8" t="n">
        <x:v>1</x:v>
      </x:c>
      <x:c r="U171" s="12" t="n">
        <x:v>0</x:v>
      </x:c>
      <x:c r="V171" s="8" t="n">
        <x:v>6</x:v>
      </x:c>
      <x:c r="W171" s="8" t="n">
        <x:v>138</x:v>
      </x:c>
      <x:c r="X171" s="12" t="n">
        <x:v>31400</x:v>
      </x:c>
      <x:c r="Y171" s="21"/>
      <x:c r="Z171" s="24" t="n">
        <x:f>IF($A171="","",INDEX(Settings!$C$29:$C$33,MATCH(E171,Settings!$A$29:$A$33,0)))</x:f>
        <x:v>2700</x:v>
      </x:c>
      <x:c r="AA171" s="22" t="n">
        <x:f>IF($A171="","",G171/Z171)</x:f>
        <x:v>0.9259259259259259</x:v>
      </x:c>
      <x:c r="AB171" s="25" t="n">
        <x:f>IF($A171="","",IF(ISNUMBER(Y171),Y171,Settings!$B$10))</x:f>
        <x:v>0.03</x:v>
      </x:c>
      <x:c r="AC171" s="23" t="n">
        <x:f>IF($A171="","",G171*(1+AB171))</x:f>
        <x:v>2575</x:v>
      </x:c>
      <x:c r="AD171" s="23" t="n">
        <x:f>IF($A171="","",G171*F171*12)</x:f>
        <x:v>18000</x:v>
      </x:c>
      <x:c r="AE171" s="23" t="n">
        <x:f>IF($A171="","",G171*F171*J171)</x:f>
        <x:v>1500</x:v>
      </x:c>
      <x:c r="AF171" s="24" t="n">
        <x:f>IF($A171="","",L171*F171*K171*Settings!$B$13)</x:f>
        <x:v>1380</x:v>
      </x:c>
      <x:c r="AG171" s="23" t="n">
        <x:f>IF($A171="","",AD171*H171*I171)</x:f>
        <x:v>432</x:v>
      </x:c>
      <x:c r="AH171" s="24" t="n">
        <x:f>IF($A171="","",SUM(AD171:AE171,AG171)*SUM(Settings!$B$11:$B$12))</x:f>
        <x:v>4983</x:v>
      </x:c>
      <x:c r="AI171" s="24" t="n">
        <x:f>IF($A171="","",M171*Settings!$B$16)</x:f>
        <x:v>1131.57</x:v>
      </x:c>
      <x:c r="AJ171" s="24" t="n">
        <x:f>IF($A171="","",M171*Settings!$B$15)</x:f>
        <x:v>138.43</x:v>
      </x:c>
      <x:c r="AK171" s="24" t="n">
        <x:f>IF($A171="","",O171*Settings!$B$18)</x:f>
        <x:v>518</x:v>
      </x:c>
      <x:c r="AL171" s="24" t="n">
        <x:f>IF($A171="","",P171*Settings!$B$20+Q171*Settings!$B$21+R171*Settings!$B$22+S171*Settings!$B$23)</x:f>
        <x:v>2184.76</x:v>
      </x:c>
      <x:c r="AM171" s="24" t="n">
        <x:f>IF($A171="","",T171*Settings!$B$24)</x:f>
        <x:v>40</x:v>
      </x:c>
      <x:c r="AN171" s="23" t="n">
        <x:f>IF($A171="","",SUM(AI171,N171,AK171:AM171,U171))</x:f>
        <x:v>4024.33</x:v>
      </x:c>
      <x:c r="AO171" s="23" t="n">
        <x:f>IF($A171="","",SUM(AD171:AI171,N171,AK171:AM171,U171))</x:f>
        <x:v>30319.33</x:v>
      </x:c>
      <x:c r="AP171" s="24" t="n">
        <x:f>IF($A171="","",G171*F171*AB171*((13-Settings!$B$9)*(1+H171*I171)+J171)*(1+SUM(Settings!$B$11:$B$12)))</x:f>
        <x:v>574.6500000000001</x:v>
      </x:c>
      <x:c r="AQ171" s="23" t="n">
        <x:f>IF($A171="","",SUM(AO171:AP171))</x:f>
        <x:v>30893.980000000003</x:v>
      </x:c>
      <x:c r="AR171" s="23" t="n">
        <x:f>IF($A171="","",AQ171-X171)</x:f>
        <x:v>-506.0199999999968</x:v>
      </x:c>
      <x:c r="AS171" s="22" t="n">
        <x:f>IF($A171="","",IF(W171=0,"n.a.",V171/W171))</x:f>
        <x:v>0.043478260869565216</x:v>
      </x:c>
      <x:c r="AT171" s="26" t="str">
        <x:f>IF($A171="",IF(COUNTA(B171:Y171)&gt;0,"Missing ID",""),IF(COUNTIFS($A$9:$A$508,A171)&gt;1,"Duplicate ID",IF(OR(B171="",C171="",D171="",E171="",COUNT(F171:X171)&lt;&gt;19),"Missing / text input",IF(OR(COUNTIFS(Settings!$A$59:$A$64,B171)&lt;&gt;1,COUNTIFS(Settings!$A$29:$A$33,E171)&lt;&gt;1),"Unknown department / grade",IF(OR(F171&lt;=0,F171&gt;1,G171&lt;=0,L171&lt;=0,H171&lt;0,I171&lt;0,J171&lt;0,K171&lt;0,K171&gt;1,MIN(M171:X171)&lt;0,W171=0,V171&gt;W171,M171&gt;W171-V171,P171&gt;8,Q171&gt;4,R171&gt;12,S171&gt;12,T171&gt;1,AB171&lt;0),"Review quantity / rate",IF(OR(N171&gt;Settings!$C$17,AK171&gt;Settings!$C$19),"Review benefit ceiling","OK"))))))</x:f>
        <x:v>OK</x:v>
      </x:c>
    </x:row>
    <x:row r="172" ht="23" customHeight="1">
      <x:c r="A172" s="8" t="str">
        <x:v>BE-0164</x:v>
      </x:c>
      <x:c r="B172" s="8" t="str">
        <x:v>People &amp; Culture</x:v>
      </x:c>
      <x:c r="C172" s="8" t="str">
        <x:v>Antwerp</x:v>
      </x:c>
      <x:c r="D172" s="8" t="str">
        <x:v>HR administrator</x:v>
      </x:c>
      <x:c r="E172" s="8" t="str">
        <x:v>G1</x:v>
      </x:c>
      <x:c r="F172" s="20" t="n">
        <x:v>1</x:v>
      </x:c>
      <x:c r="G172" s="12" t="n">
        <x:v>2960</x:v>
      </x:c>
      <x:c r="H172" s="21" t="n">
        <x:v>0.03</x:v>
      </x:c>
      <x:c r="I172" s="20" t="n">
        <x:v>1</x:v>
      </x:c>
      <x:c r="J172" s="20" t="n">
        <x:v>1</x:v>
      </x:c>
      <x:c r="K172" s="20" t="n">
        <x:v>1</x:v>
      </x:c>
      <x:c r="L172" s="12" t="n">
        <x:v>2960</x:v>
      </x:c>
      <x:c r="M172" s="8" t="n">
        <x:v>212</x:v>
      </x:c>
      <x:c r="N172" s="12" t="n">
        <x:v>250</x:v>
      </x:c>
      <x:c r="O172" s="8" t="n">
        <x:v>0</x:v>
      </x:c>
      <x:c r="P172" s="8" t="n">
        <x:v>8</x:v>
      </x:c>
      <x:c r="Q172" s="8" t="n">
        <x:v>4</x:v>
      </x:c>
      <x:c r="R172" s="8" t="n">
        <x:v>12</x:v>
      </x:c>
      <x:c r="S172" s="8" t="n">
        <x:v>0</x:v>
      </x:c>
      <x:c r="T172" s="8" t="n">
        <x:v>1</x:v>
      </x:c>
      <x:c r="U172" s="12" t="n">
        <x:v>0</x:v>
      </x:c>
      <x:c r="V172" s="8" t="n">
        <x:v>7</x:v>
      </x:c>
      <x:c r="W172" s="8" t="n">
        <x:v>230</x:v>
      </x:c>
      <x:c r="X172" s="12" t="n">
        <x:v>58500</x:v>
      </x:c>
      <x:c r="Y172" s="21"/>
      <x:c r="Z172" s="24" t="n">
        <x:f>IF($A172="","",INDEX(Settings!$C$29:$C$33,MATCH(E172,Settings!$A$29:$A$33,0)))</x:f>
        <x:v>2700</x:v>
      </x:c>
      <x:c r="AA172" s="22" t="n">
        <x:f>IF($A172="","",G172/Z172)</x:f>
        <x:v>1.0962962962962963</x:v>
      </x:c>
      <x:c r="AB172" s="25" t="n">
        <x:f>IF($A172="","",IF(ISNUMBER(Y172),Y172,Settings!$B$10))</x:f>
        <x:v>0.03</x:v>
      </x:c>
      <x:c r="AC172" s="23" t="n">
        <x:f>IF($A172="","",G172*(1+AB172))</x:f>
        <x:v>3048.8</x:v>
      </x:c>
      <x:c r="AD172" s="23" t="n">
        <x:f>IF($A172="","",G172*F172*12)</x:f>
        <x:v>35520</x:v>
      </x:c>
      <x:c r="AE172" s="23" t="n">
        <x:f>IF($A172="","",G172*F172*J172)</x:f>
        <x:v>2960</x:v>
      </x:c>
      <x:c r="AF172" s="24" t="n">
        <x:f>IF($A172="","",L172*F172*K172*Settings!$B$13)</x:f>
        <x:v>2723.2000000000003</x:v>
      </x:c>
      <x:c r="AG172" s="23" t="n">
        <x:f>IF($A172="","",AD172*H172*I172)</x:f>
        <x:v>1065.6</x:v>
      </x:c>
      <x:c r="AH172" s="24" t="n">
        <x:f>IF($A172="","",SUM(AD172:AE172,AG172)*SUM(Settings!$B$11:$B$12))</x:f>
        <x:v>9886.4</x:v>
      </x:c>
      <x:c r="AI172" s="24" t="n">
        <x:f>IF($A172="","",M172*Settings!$B$16)</x:f>
        <x:v>1888.92</x:v>
      </x:c>
      <x:c r="AJ172" s="24" t="n">
        <x:f>IF($A172="","",M172*Settings!$B$15)</x:f>
        <x:v>231.08</x:v>
      </x:c>
      <x:c r="AK172" s="24" t="n">
        <x:f>IF($A172="","",O172*Settings!$B$18)</x:f>
        <x:v>0</x:v>
      </x:c>
      <x:c r="AL172" s="24" t="n">
        <x:f>IF($A172="","",P172*Settings!$B$20+Q172*Settings!$B$21+R172*Settings!$B$22+S172*Settings!$B$23)</x:f>
        <x:v>2184.76</x:v>
      </x:c>
      <x:c r="AM172" s="24" t="n">
        <x:f>IF($A172="","",T172*Settings!$B$24)</x:f>
        <x:v>40</x:v>
      </x:c>
      <x:c r="AN172" s="23" t="n">
        <x:f>IF($A172="","",SUM(AI172,N172,AK172:AM172,U172))</x:f>
        <x:v>4363.68</x:v>
      </x:c>
      <x:c r="AO172" s="23" t="n">
        <x:f>IF($A172="","",SUM(AD172:AI172,N172,AK172:AM172,U172))</x:f>
        <x:v>56518.88</x:v>
      </x:c>
      <x:c r="AP172" s="24" t="n">
        <x:f>IF($A172="","",G172*F172*AB172*((13-Settings!$B$9)*(1+H172*I172)+J172)*(1+SUM(Settings!$B$11:$B$12)))</x:f>
        <x:v>1139.9699999999998</x:v>
      </x:c>
      <x:c r="AQ172" s="23" t="n">
        <x:f>IF($A172="","",SUM(AO172:AP172))</x:f>
        <x:v>57658.85</x:v>
      </x:c>
      <x:c r="AR172" s="23" t="n">
        <x:f>IF($A172="","",AQ172-X172)</x:f>
        <x:v>-841.1500000000015</x:v>
      </x:c>
      <x:c r="AS172" s="22" t="n">
        <x:f>IF($A172="","",IF(W172=0,"n.a.",V172/W172))</x:f>
        <x:v>0.030434782608695653</x:v>
      </x:c>
      <x:c r="AT172" s="26" t="str">
        <x:f>IF($A172="",IF(COUNTA(B172:Y172)&gt;0,"Missing ID",""),IF(COUNTIFS($A$9:$A$508,A172)&gt;1,"Duplicate ID",IF(OR(B172="",C172="",D172="",E172="",COUNT(F172:X172)&lt;&gt;19),"Missing / text input",IF(OR(COUNTIFS(Settings!$A$59:$A$64,B172)&lt;&gt;1,COUNTIFS(Settings!$A$29:$A$33,E172)&lt;&gt;1),"Unknown department / grade",IF(OR(F172&lt;=0,F172&gt;1,G172&lt;=0,L172&lt;=0,H172&lt;0,I172&lt;0,J172&lt;0,K172&lt;0,K172&gt;1,MIN(M172:X172)&lt;0,W172=0,V172&gt;W172,M172&gt;W172-V172,P172&gt;8,Q172&gt;4,R172&gt;12,S172&gt;12,T172&gt;1,AB172&lt;0),"Review quantity / rate",IF(OR(N172&gt;Settings!$C$17,AK172&gt;Settings!$C$19),"Review benefit ceiling","OK"))))))</x:f>
        <x:v>OK</x:v>
      </x:c>
    </x:row>
    <x:row r="173" ht="23" customHeight="1">
      <x:c r="A173" s="8" t="str">
        <x:v>BE-0165</x:v>
      </x:c>
      <x:c r="B173" s="8" t="str">
        <x:v>Technology</x:v>
      </x:c>
      <x:c r="C173" s="8" t="str">
        <x:v>Ghent</x:v>
      </x:c>
      <x:c r="D173" s="8" t="str">
        <x:v>IT coordinator</x:v>
      </x:c>
      <x:c r="E173" s="8" t="str">
        <x:v>G1</x:v>
      </x:c>
      <x:c r="F173" s="20" t="n">
        <x:v>1</x:v>
      </x:c>
      <x:c r="G173" s="12" t="n">
        <x:v>2630</x:v>
      </x:c>
      <x:c r="H173" s="21" t="n">
        <x:v>0.03</x:v>
      </x:c>
      <x:c r="I173" s="20" t="n">
        <x:v>1.1</x:v>
      </x:c>
      <x:c r="J173" s="20" t="n">
        <x:v>1</x:v>
      </x:c>
      <x:c r="K173" s="20" t="n">
        <x:v>1</x:v>
      </x:c>
      <x:c r="L173" s="12" t="n">
        <x:v>2630</x:v>
      </x:c>
      <x:c r="M173" s="8" t="n">
        <x:v>211</x:v>
      </x:c>
      <x:c r="N173" s="12" t="n">
        <x:v>250</x:v>
      </x:c>
      <x:c r="O173" s="8" t="n">
        <x:v>0</x:v>
      </x:c>
      <x:c r="P173" s="8" t="n">
        <x:v>0</x:v>
      </x:c>
      <x:c r="Q173" s="8" t="n">
        <x:v>0</x:v>
      </x:c>
      <x:c r="R173" s="8" t="n">
        <x:v>0</x:v>
      </x:c>
      <x:c r="S173" s="8" t="n">
        <x:v>0</x:v>
      </x:c>
      <x:c r="T173" s="8" t="n">
        <x:v>1</x:v>
      </x:c>
      <x:c r="U173" s="12" t="n">
        <x:v>0</x:v>
      </x:c>
      <x:c r="V173" s="8" t="n">
        <x:v>8</x:v>
      </x:c>
      <x:c r="W173" s="8" t="n">
        <x:v>230</x:v>
      </x:c>
      <x:c r="X173" s="12" t="n">
        <x:v>50400</x:v>
      </x:c>
      <x:c r="Y173" s="21"/>
      <x:c r="Z173" s="24" t="n">
        <x:f>IF($A173="","",INDEX(Settings!$C$29:$C$33,MATCH(E173,Settings!$A$29:$A$33,0)))</x:f>
        <x:v>2700</x:v>
      </x:c>
      <x:c r="AA173" s="22" t="n">
        <x:f>IF($A173="","",G173/Z173)</x:f>
        <x:v>0.9740740740740741</x:v>
      </x:c>
      <x:c r="AB173" s="25" t="n">
        <x:f>IF($A173="","",IF(ISNUMBER(Y173),Y173,Settings!$B$10))</x:f>
        <x:v>0.03</x:v>
      </x:c>
      <x:c r="AC173" s="23" t="n">
        <x:f>IF($A173="","",G173*(1+AB173))</x:f>
        <x:v>2708.9</x:v>
      </x:c>
      <x:c r="AD173" s="23" t="n">
        <x:f>IF($A173="","",G173*F173*12)</x:f>
        <x:v>31560</x:v>
      </x:c>
      <x:c r="AE173" s="23" t="n">
        <x:f>IF($A173="","",G173*F173*J173)</x:f>
        <x:v>2630</x:v>
      </x:c>
      <x:c r="AF173" s="24" t="n">
        <x:f>IF($A173="","",L173*F173*K173*Settings!$B$13)</x:f>
        <x:v>2419.6</x:v>
      </x:c>
      <x:c r="AG173" s="23" t="n">
        <x:f>IF($A173="","",AD173*H173*I173)</x:f>
        <x:v>1041.48</x:v>
      </x:c>
      <x:c r="AH173" s="24" t="n">
        <x:f>IF($A173="","",SUM(AD173:AE173,AG173)*SUM(Settings!$B$11:$B$12))</x:f>
        <x:v>8807.87</x:v>
      </x:c>
      <x:c r="AI173" s="24" t="n">
        <x:f>IF($A173="","",M173*Settings!$B$16)</x:f>
        <x:v>1880.01</x:v>
      </x:c>
      <x:c r="AJ173" s="24" t="n">
        <x:f>IF($A173="","",M173*Settings!$B$15)</x:f>
        <x:v>229.99</x:v>
      </x:c>
      <x:c r="AK173" s="24" t="n">
        <x:f>IF($A173="","",O173*Settings!$B$18)</x:f>
        <x:v>0</x:v>
      </x:c>
      <x:c r="AL173" s="24" t="n">
        <x:f>IF($A173="","",P173*Settings!$B$20+Q173*Settings!$B$21+R173*Settings!$B$22+S173*Settings!$B$23)</x:f>
        <x:v>0</x:v>
      </x:c>
      <x:c r="AM173" s="24" t="n">
        <x:f>IF($A173="","",T173*Settings!$B$24)</x:f>
        <x:v>40</x:v>
      </x:c>
      <x:c r="AN173" s="23" t="n">
        <x:f>IF($A173="","",SUM(AI173,N173,AK173:AM173,U173))</x:f>
        <x:v>2170.01</x:v>
      </x:c>
      <x:c r="AO173" s="23" t="n">
        <x:f>IF($A173="","",SUM(AD173:AI173,N173,AK173:AM173,U173))</x:f>
        <x:v>48628.96000000001</x:v>
      </x:c>
      <x:c r="AP173" s="24" t="n">
        <x:f>IF($A173="","",G173*F173*AB173*((13-Settings!$B$9)*(1+H173*I173)+J173)*(1+SUM(Settings!$B$11:$B$12)))</x:f>
        <x:v>1015.5416249999997</x:v>
      </x:c>
      <x:c r="AQ173" s="23" t="n">
        <x:f>IF($A173="","",SUM(AO173:AP173))</x:f>
        <x:v>49644.501625000004</x:v>
      </x:c>
      <x:c r="AR173" s="23" t="n">
        <x:f>IF($A173="","",AQ173-X173)</x:f>
        <x:v>-755.4983749999956</x:v>
      </x:c>
      <x:c r="AS173" s="22" t="n">
        <x:f>IF($A173="","",IF(W173=0,"n.a.",V173/W173))</x:f>
        <x:v>0.034782608695652174</x:v>
      </x:c>
      <x:c r="AT173" s="26" t="str">
        <x:f>IF($A173="",IF(COUNTA(B173:Y173)&gt;0,"Missing ID",""),IF(COUNTIFS($A$9:$A$508,A173)&gt;1,"Duplicate ID",IF(OR(B173="",C173="",D173="",E173="",COUNT(F173:X173)&lt;&gt;19),"Missing / text input",IF(OR(COUNTIFS(Settings!$A$59:$A$64,B173)&lt;&gt;1,COUNTIFS(Settings!$A$29:$A$33,E173)&lt;&gt;1),"Unknown department / grade",IF(OR(F173&lt;=0,F173&gt;1,G173&lt;=0,L173&lt;=0,H173&lt;0,I173&lt;0,J173&lt;0,K173&lt;0,K173&gt;1,MIN(M173:X173)&lt;0,W173=0,V173&gt;W173,M173&gt;W173-V173,P173&gt;8,Q173&gt;4,R173&gt;12,S173&gt;12,T173&gt;1,AB173&lt;0),"Review quantity / rate",IF(OR(N173&gt;Settings!$C$17,AK173&gt;Settings!$C$19),"Review benefit ceiling","OK"))))))</x:f>
        <x:v>OK</x:v>
      </x:c>
    </x:row>
    <x:row r="174" ht="23" customHeight="1">
      <x:c r="A174" s="8" t="str">
        <x:v>BE-0166</x:v>
      </x:c>
      <x:c r="B174" s="8" t="str">
        <x:v>Sales</x:v>
      </x:c>
      <x:c r="C174" s="8" t="str">
        <x:v>Brussels</x:v>
      </x:c>
      <x:c r="D174" s="8" t="str">
        <x:v>Account manager</x:v>
      </x:c>
      <x:c r="E174" s="8" t="str">
        <x:v>G2</x:v>
      </x:c>
      <x:c r="F174" s="20" t="n">
        <x:v>1</x:v>
      </x:c>
      <x:c r="G174" s="12" t="n">
        <x:v>3510</x:v>
      </x:c>
      <x:c r="H174" s="21" t="n">
        <x:v>0.05</x:v>
      </x:c>
      <x:c r="I174" s="20" t="n">
        <x:v>0.8</x:v>
      </x:c>
      <x:c r="J174" s="20" t="n">
        <x:v>1</x:v>
      </x:c>
      <x:c r="K174" s="20" t="n">
        <x:v>1</x:v>
      </x:c>
      <x:c r="L174" s="12" t="n">
        <x:v>3510</x:v>
      </x:c>
      <x:c r="M174" s="8" t="n">
        <x:v>210</x:v>
      </x:c>
      <x:c r="N174" s="12" t="n">
        <x:v>250</x:v>
      </x:c>
      <x:c r="O174" s="8" t="n">
        <x:v>1730</x:v>
      </x:c>
      <x:c r="P174" s="8" t="n">
        <x:v>8</x:v>
      </x:c>
      <x:c r="Q174" s="8" t="n">
        <x:v>4</x:v>
      </x:c>
      <x:c r="R174" s="8" t="n">
        <x:v>12</x:v>
      </x:c>
      <x:c r="S174" s="8" t="n">
        <x:v>12</x:v>
      </x:c>
      <x:c r="T174" s="8" t="n">
        <x:v>1</x:v>
      </x:c>
      <x:c r="U174" s="12" t="n">
        <x:v>0</x:v>
      </x:c>
      <x:c r="V174" s="8" t="n">
        <x:v>9</x:v>
      </x:c>
      <x:c r="W174" s="8" t="n">
        <x:v>230</x:v>
      </x:c>
      <x:c r="X174" s="12" t="n">
        <x:v>66600</x:v>
      </x:c>
      <x:c r="Y174" s="21" t="n">
        <x:v>0</x:v>
      </x:c>
      <x:c r="Z174" s="24" t="n">
        <x:f>IF($A174="","",INDEX(Settings!$C$29:$C$33,MATCH(E174,Settings!$A$29:$A$33,0)))</x:f>
        <x:v>3300</x:v>
      </x:c>
      <x:c r="AA174" s="22" t="n">
        <x:f>IF($A174="","",G174/Z174)</x:f>
        <x:v>1.0636363636363637</x:v>
      </x:c>
      <x:c r="AB174" s="25" t="n">
        <x:f>IF($A174="","",IF(ISNUMBER(Y174),Y174,Settings!$B$10))</x:f>
        <x:v>0</x:v>
      </x:c>
      <x:c r="AC174" s="23" t="n">
        <x:f>IF($A174="","",G174*(1+AB174))</x:f>
        <x:v>3510</x:v>
      </x:c>
      <x:c r="AD174" s="23" t="n">
        <x:f>IF($A174="","",G174*F174*12)</x:f>
        <x:v>42120</x:v>
      </x:c>
      <x:c r="AE174" s="23" t="n">
        <x:f>IF($A174="","",G174*F174*J174)</x:f>
        <x:v>3510</x:v>
      </x:c>
      <x:c r="AF174" s="24" t="n">
        <x:f>IF($A174="","",L174*F174*K174*Settings!$B$13)</x:f>
        <x:v>3229.2000000000003</x:v>
      </x:c>
      <x:c r="AG174" s="23" t="n">
        <x:f>IF($A174="","",AD174*H174*I174)</x:f>
        <x:v>1684.8000000000002</x:v>
      </x:c>
      <x:c r="AH174" s="24" t="n">
        <x:f>IF($A174="","",SUM(AD174:AE174,AG174)*SUM(Settings!$B$11:$B$12))</x:f>
        <x:v>11828.7</x:v>
      </x:c>
      <x:c r="AI174" s="24" t="n">
        <x:f>IF($A174="","",M174*Settings!$B$16)</x:f>
        <x:v>1871.1000000000001</x:v>
      </x:c>
      <x:c r="AJ174" s="24" t="n">
        <x:f>IF($A174="","",M174*Settings!$B$15)</x:f>
        <x:v>228.9</x:v>
      </x:c>
      <x:c r="AK174" s="24" t="n">
        <x:f>IF($A174="","",O174*Settings!$B$18)</x:f>
        <x:v>640.1</x:v>
      </x:c>
      <x:c r="AL174" s="24" t="n">
        <x:f>IF($A174="","",P174*Settings!$B$20+Q174*Settings!$B$21+R174*Settings!$B$22+S174*Settings!$B$23)</x:f>
        <x:v>2424.76</x:v>
      </x:c>
      <x:c r="AM174" s="24" t="n">
        <x:f>IF($A174="","",T174*Settings!$B$24)</x:f>
        <x:v>40</x:v>
      </x:c>
      <x:c r="AN174" s="23" t="n">
        <x:f>IF($A174="","",SUM(AI174,N174,AK174:AM174,U174))</x:f>
        <x:v>5225.960000000001</x:v>
      </x:c>
      <x:c r="AO174" s="23" t="n">
        <x:f>IF($A174="","",SUM(AD174:AI174,N174,AK174:AM174,U174))</x:f>
        <x:v>67598.65999999999</x:v>
      </x:c>
      <x:c r="AP174" s="24" t="n">
        <x:f>IF($A174="","",G174*F174*AB174*((13-Settings!$B$9)*(1+H174*I174)+J174)*(1+SUM(Settings!$B$11:$B$12)))</x:f>
        <x:v>0</x:v>
      </x:c>
      <x:c r="AQ174" s="23" t="n">
        <x:f>IF($A174="","",SUM(AO174:AP174))</x:f>
        <x:v>67598.65999999999</x:v>
      </x:c>
      <x:c r="AR174" s="23" t="n">
        <x:f>IF($A174="","",AQ174-X174)</x:f>
        <x:v>998.6599999999889</x:v>
      </x:c>
      <x:c r="AS174" s="22" t="n">
        <x:f>IF($A174="","",IF(W174=0,"n.a.",V174/W174))</x:f>
        <x:v>0.0391304347826087</x:v>
      </x:c>
      <x:c r="AT174" s="26" t="str">
        <x:f>IF($A174="",IF(COUNTA(B174:Y174)&gt;0,"Missing ID",""),IF(COUNTIFS($A$9:$A$508,A174)&gt;1,"Duplicate ID",IF(OR(B174="",C174="",D174="",E174="",COUNT(F174:X174)&lt;&gt;19),"Missing / text input",IF(OR(COUNTIFS(Settings!$A$59:$A$64,B174)&lt;&gt;1,COUNTIFS(Settings!$A$29:$A$33,E174)&lt;&gt;1),"Unknown department / grade",IF(OR(F174&lt;=0,F174&gt;1,G174&lt;=0,L174&lt;=0,H174&lt;0,I174&lt;0,J174&lt;0,K174&lt;0,K174&gt;1,MIN(M174:X174)&lt;0,W174=0,V174&gt;W174,M174&gt;W174-V174,P174&gt;8,Q174&gt;4,R174&gt;12,S174&gt;12,T174&gt;1,AB174&lt;0),"Review quantity / rate",IF(OR(N174&gt;Settings!$C$17,AK174&gt;Settings!$C$19),"Review benefit ceiling","OK"))))))</x:f>
        <x:v>OK</x:v>
      </x:c>
    </x:row>
    <x:row r="175" ht="23" customHeight="1">
      <x:c r="A175" s="8" t="str">
        <x:v>BE-0167</x:v>
      </x:c>
      <x:c r="B175" s="8" t="str">
        <x:v>Customer Operations</x:v>
      </x:c>
      <x:c r="C175" s="8" t="str">
        <x:v>Antwerp</x:v>
      </x:c>
      <x:c r="D175" s="8" t="str">
        <x:v>Service specialist</x:v>
      </x:c>
      <x:c r="E175" s="8" t="str">
        <x:v>G2</x:v>
      </x:c>
      <x:c r="F175" s="20" t="n">
        <x:v>1</x:v>
      </x:c>
      <x:c r="G175" s="12" t="n">
        <x:v>3480</x:v>
      </x:c>
      <x:c r="H175" s="21" t="n">
        <x:v>0.05</x:v>
      </x:c>
      <x:c r="I175" s="20" t="n">
        <x:v>1</x:v>
      </x:c>
      <x:c r="J175" s="20" t="n">
        <x:v>1</x:v>
      </x:c>
      <x:c r="K175" s="20" t="n">
        <x:v>1</x:v>
      </x:c>
      <x:c r="L175" s="12" t="n">
        <x:v>3480</x:v>
      </x:c>
      <x:c r="M175" s="8" t="n">
        <x:v>209</x:v>
      </x:c>
      <x:c r="N175" s="12" t="n">
        <x:v>250</x:v>
      </x:c>
      <x:c r="O175" s="8" t="n">
        <x:v>0</x:v>
      </x:c>
      <x:c r="P175" s="8" t="n">
        <x:v>8</x:v>
      </x:c>
      <x:c r="Q175" s="8" t="n">
        <x:v>4</x:v>
      </x:c>
      <x:c r="R175" s="8" t="n">
        <x:v>12</x:v>
      </x:c>
      <x:c r="S175" s="8" t="n">
        <x:v>0</x:v>
      </x:c>
      <x:c r="T175" s="8" t="n">
        <x:v>1</x:v>
      </x:c>
      <x:c r="U175" s="12" t="n">
        <x:v>0</x:v>
      </x:c>
      <x:c r="V175" s="8" t="n">
        <x:v>10</x:v>
      </x:c>
      <x:c r="W175" s="8" t="n">
        <x:v>230</x:v>
      </x:c>
      <x:c r="X175" s="12" t="n">
        <x:v>69100</x:v>
      </x:c>
      <x:c r="Y175" s="21"/>
      <x:c r="Z175" s="24" t="n">
        <x:f>IF($A175="","",INDEX(Settings!$C$29:$C$33,MATCH(E175,Settings!$A$29:$A$33,0)))</x:f>
        <x:v>3300</x:v>
      </x:c>
      <x:c r="AA175" s="22" t="n">
        <x:f>IF($A175="","",G175/Z175)</x:f>
        <x:v>1.0545454545454545</x:v>
      </x:c>
      <x:c r="AB175" s="25" t="n">
        <x:f>IF($A175="","",IF(ISNUMBER(Y175),Y175,Settings!$B$10))</x:f>
        <x:v>0.03</x:v>
      </x:c>
      <x:c r="AC175" s="23" t="n">
        <x:f>IF($A175="","",G175*(1+AB175))</x:f>
        <x:v>3584.4</x:v>
      </x:c>
      <x:c r="AD175" s="23" t="n">
        <x:f>IF($A175="","",G175*F175*12)</x:f>
        <x:v>41760</x:v>
      </x:c>
      <x:c r="AE175" s="23" t="n">
        <x:f>IF($A175="","",G175*F175*J175)</x:f>
        <x:v>3480</x:v>
      </x:c>
      <x:c r="AF175" s="24" t="n">
        <x:f>IF($A175="","",L175*F175*K175*Settings!$B$13)</x:f>
        <x:v>3201.6000000000004</x:v>
      </x:c>
      <x:c r="AG175" s="23" t="n">
        <x:f>IF($A175="","",AD175*H175*I175)</x:f>
        <x:v>2088</x:v>
      </x:c>
      <x:c r="AH175" s="24" t="n">
        <x:f>IF($A175="","",SUM(AD175:AE175,AG175)*SUM(Settings!$B$11:$B$12))</x:f>
        <x:v>11832</x:v>
      </x:c>
      <x:c r="AI175" s="24" t="n">
        <x:f>IF($A175="","",M175*Settings!$B$16)</x:f>
        <x:v>1862.19</x:v>
      </x:c>
      <x:c r="AJ175" s="24" t="n">
        <x:f>IF($A175="","",M175*Settings!$B$15)</x:f>
        <x:v>227.81000000000003</x:v>
      </x:c>
      <x:c r="AK175" s="24" t="n">
        <x:f>IF($A175="","",O175*Settings!$B$18)</x:f>
        <x:v>0</x:v>
      </x:c>
      <x:c r="AL175" s="24" t="n">
        <x:f>IF($A175="","",P175*Settings!$B$20+Q175*Settings!$B$21+R175*Settings!$B$22+S175*Settings!$B$23)</x:f>
        <x:v>2184.76</x:v>
      </x:c>
      <x:c r="AM175" s="24" t="n">
        <x:f>IF($A175="","",T175*Settings!$B$24)</x:f>
        <x:v>40</x:v>
      </x:c>
      <x:c r="AN175" s="23" t="n">
        <x:f>IF($A175="","",SUM(AI175,N175,AK175:AM175,U175))</x:f>
        <x:v>4336.950000000001</x:v>
      </x:c>
      <x:c r="AO175" s="23" t="n">
        <x:f>IF($A175="","",SUM(AD175:AI175,N175,AK175:AM175,U175))</x:f>
        <x:v>66698.55</x:v>
      </x:c>
      <x:c r="AP175" s="24" t="n">
        <x:f>IF($A175="","",G175*F175*AB175*((13-Settings!$B$9)*(1+H175*I175)+J175)*(1+SUM(Settings!$B$11:$B$12)))</x:f>
        <x:v>1363.725</x:v>
      </x:c>
      <x:c r="AQ175" s="23" t="n">
        <x:f>IF($A175="","",SUM(AO175:AP175))</x:f>
        <x:v>68062.27500000001</x:v>
      </x:c>
      <x:c r="AR175" s="23" t="n">
        <x:f>IF($A175="","",AQ175-X175)</x:f>
        <x:v>-1037.7249999999913</x:v>
      </x:c>
      <x:c r="AS175" s="22" t="n">
        <x:f>IF($A175="","",IF(W175=0,"n.a.",V175/W175))</x:f>
        <x:v>0.043478260869565216</x:v>
      </x:c>
      <x:c r="AT175" s="26" t="str">
        <x:f>IF($A175="",IF(COUNTA(B175:Y175)&gt;0,"Missing ID",""),IF(COUNTIFS($A$9:$A$508,A175)&gt;1,"Duplicate ID",IF(OR(B175="",C175="",D175="",E175="",COUNT(F175:X175)&lt;&gt;19),"Missing / text input",IF(OR(COUNTIFS(Settings!$A$59:$A$64,B175)&lt;&gt;1,COUNTIFS(Settings!$A$29:$A$33,E175)&lt;&gt;1),"Unknown department / grade",IF(OR(F175&lt;=0,F175&gt;1,G175&lt;=0,L175&lt;=0,H175&lt;0,I175&lt;0,J175&lt;0,K175&lt;0,K175&gt;1,MIN(M175:X175)&lt;0,W175=0,V175&gt;W175,M175&gt;W175-V175,P175&gt;8,Q175&gt;4,R175&gt;12,S175&gt;12,T175&gt;1,AB175&lt;0),"Review quantity / rate",IF(OR(N175&gt;Settings!$C$17,AK175&gt;Settings!$C$19),"Review benefit ceiling","OK"))))))</x:f>
        <x:v>OK</x:v>
      </x:c>
    </x:row>
    <x:row r="176" ht="23" customHeight="1">
      <x:c r="A176" s="8" t="str">
        <x:v>BE-0168</x:v>
      </x:c>
      <x:c r="B176" s="8" t="str">
        <x:v>Business Support</x:v>
      </x:c>
      <x:c r="C176" s="8" t="str">
        <x:v>Ghent</x:v>
      </x:c>
      <x:c r="D176" s="8" t="str">
        <x:v>Business specialist</x:v>
      </x:c>
      <x:c r="E176" s="8" t="str">
        <x:v>G2</x:v>
      </x:c>
      <x:c r="F176" s="20" t="n">
        <x:v>1</x:v>
      </x:c>
      <x:c r="G176" s="12" t="n">
        <x:v>3360</x:v>
      </x:c>
      <x:c r="H176" s="21" t="n">
        <x:v>0.05</x:v>
      </x:c>
      <x:c r="I176" s="20" t="n">
        <x:v>1.1</x:v>
      </x:c>
      <x:c r="J176" s="20" t="n">
        <x:v>1</x:v>
      </x:c>
      <x:c r="K176" s="20" t="n">
        <x:v>1</x:v>
      </x:c>
      <x:c r="L176" s="12" t="n">
        <x:v>3360</x:v>
      </x:c>
      <x:c r="M176" s="8" t="n">
        <x:v>208</x:v>
      </x:c>
      <x:c r="N176" s="12" t="n">
        <x:v>250</x:v>
      </x:c>
      <x:c r="O176" s="8" t="n">
        <x:v>0</x:v>
      </x:c>
      <x:c r="P176" s="8" t="n">
        <x:v>8</x:v>
      </x:c>
      <x:c r="Q176" s="8" t="n">
        <x:v>4</x:v>
      </x:c>
      <x:c r="R176" s="8" t="n">
        <x:v>12</x:v>
      </x:c>
      <x:c r="S176" s="8" t="n">
        <x:v>0</x:v>
      </x:c>
      <x:c r="T176" s="8" t="n">
        <x:v>1</x:v>
      </x:c>
      <x:c r="U176" s="12" t="n">
        <x:v>0</x:v>
      </x:c>
      <x:c r="V176" s="8" t="n">
        <x:v>11</x:v>
      </x:c>
      <x:c r="W176" s="8" t="n">
        <x:v>230</x:v>
      </x:c>
      <x:c r="X176" s="12" t="n">
        <x:v>67100</x:v>
      </x:c>
      <x:c r="Y176" s="21"/>
      <x:c r="Z176" s="24" t="n">
        <x:f>IF($A176="","",INDEX(Settings!$C$29:$C$33,MATCH(E176,Settings!$A$29:$A$33,0)))</x:f>
        <x:v>3300</x:v>
      </x:c>
      <x:c r="AA176" s="22" t="n">
        <x:f>IF($A176="","",G176/Z176)</x:f>
        <x:v>1.018181818181818</x:v>
      </x:c>
      <x:c r="AB176" s="25" t="n">
        <x:f>IF($A176="","",IF(ISNUMBER(Y176),Y176,Settings!$B$10))</x:f>
        <x:v>0.03</x:v>
      </x:c>
      <x:c r="AC176" s="23" t="n">
        <x:f>IF($A176="","",G176*(1+AB176))</x:f>
        <x:v>3460.8</x:v>
      </x:c>
      <x:c r="AD176" s="23" t="n">
        <x:f>IF($A176="","",G176*F176*12)</x:f>
        <x:v>40320</x:v>
      </x:c>
      <x:c r="AE176" s="23" t="n">
        <x:f>IF($A176="","",G176*F176*J176)</x:f>
        <x:v>3360</x:v>
      </x:c>
      <x:c r="AF176" s="24" t="n">
        <x:f>IF($A176="","",L176*F176*K176*Settings!$B$13)</x:f>
        <x:v>3091.2000000000003</x:v>
      </x:c>
      <x:c r="AG176" s="23" t="n">
        <x:f>IF($A176="","",AD176*H176*I176)</x:f>
        <x:v>2217.6000000000004</x:v>
      </x:c>
      <x:c r="AH176" s="24" t="n">
        <x:f>IF($A176="","",SUM(AD176:AE176,AG176)*SUM(Settings!$B$11:$B$12))</x:f>
        <x:v>11474.4</x:v>
      </x:c>
      <x:c r="AI176" s="24" t="n">
        <x:f>IF($A176="","",M176*Settings!$B$16)</x:f>
        <x:v>1853.28</x:v>
      </x:c>
      <x:c r="AJ176" s="24" t="n">
        <x:f>IF($A176="","",M176*Settings!$B$15)</x:f>
        <x:v>226.72000000000003</x:v>
      </x:c>
      <x:c r="AK176" s="24" t="n">
        <x:f>IF($A176="","",O176*Settings!$B$18)</x:f>
        <x:v>0</x:v>
      </x:c>
      <x:c r="AL176" s="24" t="n">
        <x:f>IF($A176="","",P176*Settings!$B$20+Q176*Settings!$B$21+R176*Settings!$B$22+S176*Settings!$B$23)</x:f>
        <x:v>2184.76</x:v>
      </x:c>
      <x:c r="AM176" s="24" t="n">
        <x:f>IF($A176="","",T176*Settings!$B$24)</x:f>
        <x:v>40</x:v>
      </x:c>
      <x:c r="AN176" s="23" t="n">
        <x:f>IF($A176="","",SUM(AI176,N176,AK176:AM176,U176))</x:f>
        <x:v>4328.04</x:v>
      </x:c>
      <x:c r="AO176" s="23" t="n">
        <x:f>IF($A176="","",SUM(AD176:AI176,N176,AK176:AM176,U176))</x:f>
        <x:v>64791.24</x:v>
      </x:c>
      <x:c r="AP176" s="24" t="n">
        <x:f>IF($A176="","",G176*F176*AB176*((13-Settings!$B$9)*(1+H176*I176)+J176)*(1+SUM(Settings!$B$11:$B$12)))</x:f>
        <x:v>1322.37</x:v>
      </x:c>
      <x:c r="AQ176" s="23" t="n">
        <x:f>IF($A176="","",SUM(AO176:AP176))</x:f>
        <x:v>66113.61</x:v>
      </x:c>
      <x:c r="AR176" s="23" t="n">
        <x:f>IF($A176="","",AQ176-X176)</x:f>
        <x:v>-986.3899999999994</x:v>
      </x:c>
      <x:c r="AS176" s="22" t="n">
        <x:f>IF($A176="","",IF(W176=0,"n.a.",V176/W176))</x:f>
        <x:v>0.04782608695652174</x:v>
      </x:c>
      <x:c r="AT176" s="26" t="str">
        <x:f>IF($A176="",IF(COUNTA(B176:Y176)&gt;0,"Missing ID",""),IF(COUNTIFS($A$9:$A$508,A176)&gt;1,"Duplicate ID",IF(OR(B176="",C176="",D176="",E176="",COUNT(F176:X176)&lt;&gt;19),"Missing / text input",IF(OR(COUNTIFS(Settings!$A$59:$A$64,B176)&lt;&gt;1,COUNTIFS(Settings!$A$29:$A$33,E176)&lt;&gt;1),"Unknown department / grade",IF(OR(F176&lt;=0,F176&gt;1,G176&lt;=0,L176&lt;=0,H176&lt;0,I176&lt;0,J176&lt;0,K176&lt;0,K176&gt;1,MIN(M176:X176)&lt;0,W176=0,V176&gt;W176,M176&gt;W176-V176,P176&gt;8,Q176&gt;4,R176&gt;12,S176&gt;12,T176&gt;1,AB176&lt;0),"Review quantity / rate",IF(OR(N176&gt;Settings!$C$17,AK176&gt;Settings!$C$19),"Review benefit ceiling","OK"))))))</x:f>
        <x:v>OK</x:v>
      </x:c>
    </x:row>
    <x:row r="177" ht="23" customHeight="1">
      <x:c r="A177" s="8" t="str">
        <x:v>BE-0169</x:v>
      </x:c>
      <x:c r="B177" s="8" t="str">
        <x:v>Finance</x:v>
      </x:c>
      <x:c r="C177" s="8" t="str">
        <x:v>Brussels</x:v>
      </x:c>
      <x:c r="D177" s="8" t="str">
        <x:v>Accountant</x:v>
      </x:c>
      <x:c r="E177" s="8" t="str">
        <x:v>G2</x:v>
      </x:c>
      <x:c r="F177" s="20" t="n">
        <x:v>0.8</x:v>
      </x:c>
      <x:c r="G177" s="12" t="n">
        <x:v>3440</x:v>
      </x:c>
      <x:c r="H177" s="21" t="n">
        <x:v>0.05</x:v>
      </x:c>
      <x:c r="I177" s="20" t="n">
        <x:v>0.8</x:v>
      </x:c>
      <x:c r="J177" s="20" t="n">
        <x:v>1</x:v>
      </x:c>
      <x:c r="K177" s="20" t="n">
        <x:v>1</x:v>
      </x:c>
      <x:c r="L177" s="12" t="n">
        <x:v>3440</x:v>
      </x:c>
      <x:c r="M177" s="8" t="n">
        <x:v>171</x:v>
      </x:c>
      <x:c r="N177" s="12" t="n">
        <x:v>200</x:v>
      </x:c>
      <x:c r="O177" s="8" t="n">
        <x:v>2060</x:v>
      </x:c>
      <x:c r="P177" s="8" t="n">
        <x:v>0</x:v>
      </x:c>
      <x:c r="Q177" s="8" t="n">
        <x:v>0</x:v>
      </x:c>
      <x:c r="R177" s="8" t="n">
        <x:v>0</x:v>
      </x:c>
      <x:c r="S177" s="8" t="n">
        <x:v>0</x:v>
      </x:c>
      <x:c r="T177" s="8" t="n">
        <x:v>1</x:v>
      </x:c>
      <x:c r="U177" s="12" t="n">
        <x:v>0</x:v>
      </x:c>
      <x:c r="V177" s="8" t="n">
        <x:v>0</x:v>
      </x:c>
      <x:c r="W177" s="8" t="n">
        <x:v>184</x:v>
      </x:c>
      <x:c r="X177" s="12" t="n">
        <x:v>53300</x:v>
      </x:c>
      <x:c r="Y177" s="21"/>
      <x:c r="Z177" s="24" t="n">
        <x:f>IF($A177="","",INDEX(Settings!$C$29:$C$33,MATCH(E177,Settings!$A$29:$A$33,0)))</x:f>
        <x:v>3300</x:v>
      </x:c>
      <x:c r="AA177" s="22" t="n">
        <x:f>IF($A177="","",G177/Z177)</x:f>
        <x:v>1.0424242424242425</x:v>
      </x:c>
      <x:c r="AB177" s="25" t="n">
        <x:f>IF($A177="","",IF(ISNUMBER(Y177),Y177,Settings!$B$10))</x:f>
        <x:v>0.03</x:v>
      </x:c>
      <x:c r="AC177" s="23" t="n">
        <x:f>IF($A177="","",G177*(1+AB177))</x:f>
        <x:v>3543.2000000000003</x:v>
      </x:c>
      <x:c r="AD177" s="23" t="n">
        <x:f>IF($A177="","",G177*F177*12)</x:f>
        <x:v>33024</x:v>
      </x:c>
      <x:c r="AE177" s="23" t="n">
        <x:f>IF($A177="","",G177*F177*J177)</x:f>
        <x:v>2752</x:v>
      </x:c>
      <x:c r="AF177" s="24" t="n">
        <x:f>IF($A177="","",L177*F177*K177*Settings!$B$13)</x:f>
        <x:v>2531.84</x:v>
      </x:c>
      <x:c r="AG177" s="23" t="n">
        <x:f>IF($A177="","",AD177*H177*I177)</x:f>
        <x:v>1320.96</x:v>
      </x:c>
      <x:c r="AH177" s="24" t="n">
        <x:f>IF($A177="","",SUM(AD177:AE177,AG177)*SUM(Settings!$B$11:$B$12))</x:f>
        <x:v>9274.24</x:v>
      </x:c>
      <x:c r="AI177" s="24" t="n">
        <x:f>IF($A177="","",M177*Settings!$B$16)</x:f>
        <x:v>1523.6100000000001</x:v>
      </x:c>
      <x:c r="AJ177" s="24" t="n">
        <x:f>IF($A177="","",M177*Settings!$B$15)</x:f>
        <x:v>186.39000000000001</x:v>
      </x:c>
      <x:c r="AK177" s="24" t="n">
        <x:f>IF($A177="","",O177*Settings!$B$18)</x:f>
        <x:v>762.2</x:v>
      </x:c>
      <x:c r="AL177" s="24" t="n">
        <x:f>IF($A177="","",P177*Settings!$B$20+Q177*Settings!$B$21+R177*Settings!$B$22+S177*Settings!$B$23)</x:f>
        <x:v>0</x:v>
      </x:c>
      <x:c r="AM177" s="24" t="n">
        <x:f>IF($A177="","",T177*Settings!$B$24)</x:f>
        <x:v>40</x:v>
      </x:c>
      <x:c r="AN177" s="23" t="n">
        <x:f>IF($A177="","",SUM(AI177,N177,AK177:AM177,U177))</x:f>
        <x:v>2525.8100000000004</x:v>
      </x:c>
      <x:c r="AO177" s="23" t="n">
        <x:f>IF($A177="","",SUM(AD177:AI177,N177,AK177:AM177,U177))</x:f>
        <x:v>51428.84999999999</x:v>
      </x:c>
      <x:c r="AP177" s="24" t="n">
        <x:f>IF($A177="","",G177*F177*AB177*((13-Settings!$B$9)*(1+H177*I177)+J177)*(1+SUM(Settings!$B$11:$B$12)))</x:f>
        <x:v>1069.152</x:v>
      </x:c>
      <x:c r="AQ177" s="23" t="n">
        <x:f>IF($A177="","",SUM(AO177:AP177))</x:f>
        <x:v>52498.00199999999</x:v>
      </x:c>
      <x:c r="AR177" s="23" t="n">
        <x:f>IF($A177="","",AQ177-X177)</x:f>
        <x:v>-801.9980000000069</x:v>
      </x:c>
      <x:c r="AS177" s="22" t="n">
        <x:f>IF($A177="","",IF(W177=0,"n.a.",V177/W177))</x:f>
        <x:v>0</x:v>
      </x:c>
      <x:c r="AT177" s="26" t="str">
        <x:f>IF($A177="",IF(COUNTA(B177:Y177)&gt;0,"Missing ID",""),IF(COUNTIFS($A$9:$A$508,A177)&gt;1,"Duplicate ID",IF(OR(B177="",C177="",D177="",E177="",COUNT(F177:X177)&lt;&gt;19),"Missing / text input",IF(OR(COUNTIFS(Settings!$A$59:$A$64,B177)&lt;&gt;1,COUNTIFS(Settings!$A$29:$A$33,E177)&lt;&gt;1),"Unknown department / grade",IF(OR(F177&lt;=0,F177&gt;1,G177&lt;=0,L177&lt;=0,H177&lt;0,I177&lt;0,J177&lt;0,K177&lt;0,K177&gt;1,MIN(M177:X177)&lt;0,W177=0,V177&gt;W177,M177&gt;W177-V177,P177&gt;8,Q177&gt;4,R177&gt;12,S177&gt;12,T177&gt;1,AB177&lt;0),"Review quantity / rate",IF(OR(N177&gt;Settings!$C$17,AK177&gt;Settings!$C$19),"Review benefit ceiling","OK"))))))</x:f>
        <x:v>OK</x:v>
      </x:c>
    </x:row>
    <x:row r="178" ht="23" customHeight="1">
      <x:c r="A178" s="8" t="str">
        <x:v>BE-0170</x:v>
      </x:c>
      <x:c r="B178" s="8" t="str">
        <x:v>People &amp; Culture</x:v>
      </x:c>
      <x:c r="C178" s="8" t="str">
        <x:v>Antwerp</x:v>
      </x:c>
      <x:c r="D178" s="8" t="str">
        <x:v>HR specialist</x:v>
      </x:c>
      <x:c r="E178" s="8" t="str">
        <x:v>G2</x:v>
      </x:c>
      <x:c r="F178" s="20" t="n">
        <x:v>1</x:v>
      </x:c>
      <x:c r="G178" s="12" t="n">
        <x:v>3330</x:v>
      </x:c>
      <x:c r="H178" s="21" t="n">
        <x:v>0.05</x:v>
      </x:c>
      <x:c r="I178" s="20" t="n">
        <x:v>1</x:v>
      </x:c>
      <x:c r="J178" s="20" t="n">
        <x:v>1</x:v>
      </x:c>
      <x:c r="K178" s="20" t="n">
        <x:v>1</x:v>
      </x:c>
      <x:c r="L178" s="12" t="n">
        <x:v>3330</x:v>
      </x:c>
      <x:c r="M178" s="8" t="n">
        <x:v>213</x:v>
      </x:c>
      <x:c r="N178" s="12" t="n">
        <x:v>250</x:v>
      </x:c>
      <x:c r="O178" s="8" t="n">
        <x:v>0</x:v>
      </x:c>
      <x:c r="P178" s="8" t="n">
        <x:v>8</x:v>
      </x:c>
      <x:c r="Q178" s="8" t="n">
        <x:v>4</x:v>
      </x:c>
      <x:c r="R178" s="8" t="n">
        <x:v>12</x:v>
      </x:c>
      <x:c r="S178" s="8" t="n">
        <x:v>0</x:v>
      </x:c>
      <x:c r="T178" s="8" t="n">
        <x:v>1</x:v>
      </x:c>
      <x:c r="U178" s="12" t="n">
        <x:v>0</x:v>
      </x:c>
      <x:c r="V178" s="8" t="n">
        <x:v>1</x:v>
      </x:c>
      <x:c r="W178" s="8" t="n">
        <x:v>230</x:v>
      </x:c>
      <x:c r="X178" s="12" t="n">
        <x:v>66300</x:v>
      </x:c>
      <x:c r="Y178" s="21"/>
      <x:c r="Z178" s="24" t="n">
        <x:f>IF($A178="","",INDEX(Settings!$C$29:$C$33,MATCH(E178,Settings!$A$29:$A$33,0)))</x:f>
        <x:v>3300</x:v>
      </x:c>
      <x:c r="AA178" s="22" t="n">
        <x:f>IF($A178="","",G178/Z178)</x:f>
        <x:v>1.009090909090909</x:v>
      </x:c>
      <x:c r="AB178" s="25" t="n">
        <x:f>IF($A178="","",IF(ISNUMBER(Y178),Y178,Settings!$B$10))</x:f>
        <x:v>0.03</x:v>
      </x:c>
      <x:c r="AC178" s="23" t="n">
        <x:f>IF($A178="","",G178*(1+AB178))</x:f>
        <x:v>3429.9</x:v>
      </x:c>
      <x:c r="AD178" s="23" t="n">
        <x:f>IF($A178="","",G178*F178*12)</x:f>
        <x:v>39960</x:v>
      </x:c>
      <x:c r="AE178" s="23" t="n">
        <x:f>IF($A178="","",G178*F178*J178)</x:f>
        <x:v>3330</x:v>
      </x:c>
      <x:c r="AF178" s="24" t="n">
        <x:f>IF($A178="","",L178*F178*K178*Settings!$B$13)</x:f>
        <x:v>3063.6</x:v>
      </x:c>
      <x:c r="AG178" s="23" t="n">
        <x:f>IF($A178="","",AD178*H178*I178)</x:f>
        <x:v>1998</x:v>
      </x:c>
      <x:c r="AH178" s="24" t="n">
        <x:f>IF($A178="","",SUM(AD178:AE178,AG178)*SUM(Settings!$B$11:$B$12))</x:f>
        <x:v>11322</x:v>
      </x:c>
      <x:c r="AI178" s="24" t="n">
        <x:f>IF($A178="","",M178*Settings!$B$16)</x:f>
        <x:v>1897.83</x:v>
      </x:c>
      <x:c r="AJ178" s="24" t="n">
        <x:f>IF($A178="","",M178*Settings!$B$15)</x:f>
        <x:v>232.17000000000002</x:v>
      </x:c>
      <x:c r="AK178" s="24" t="n">
        <x:f>IF($A178="","",O178*Settings!$B$18)</x:f>
        <x:v>0</x:v>
      </x:c>
      <x:c r="AL178" s="24" t="n">
        <x:f>IF($A178="","",P178*Settings!$B$20+Q178*Settings!$B$21+R178*Settings!$B$22+S178*Settings!$B$23)</x:f>
        <x:v>2184.76</x:v>
      </x:c>
      <x:c r="AM178" s="24" t="n">
        <x:f>IF($A178="","",T178*Settings!$B$24)</x:f>
        <x:v>40</x:v>
      </x:c>
      <x:c r="AN178" s="23" t="n">
        <x:f>IF($A178="","",SUM(AI178,N178,AK178:AM178,U178))</x:f>
        <x:v>4372.59</x:v>
      </x:c>
      <x:c r="AO178" s="23" t="n">
        <x:f>IF($A178="","",SUM(AD178:AI178,N178,AK178:AM178,U178))</x:f>
        <x:v>64046.19</x:v>
      </x:c>
      <x:c r="AP178" s="24" t="n">
        <x:f>IF($A178="","",G178*F178*AB178*((13-Settings!$B$9)*(1+H178*I178)+J178)*(1+SUM(Settings!$B$11:$B$12)))</x:f>
        <x:v>1304.94375</x:v>
      </x:c>
      <x:c r="AQ178" s="23" t="n">
        <x:f>IF($A178="","",SUM(AO178:AP178))</x:f>
        <x:v>65351.13375</x:v>
      </x:c>
      <x:c r="AR178" s="23" t="n">
        <x:f>IF($A178="","",AQ178-X178)</x:f>
        <x:v>-948.8662499999991</x:v>
      </x:c>
      <x:c r="AS178" s="22" t="n">
        <x:f>IF($A178="","",IF(W178=0,"n.a.",V178/W178))</x:f>
        <x:v>0.004347826086956522</x:v>
      </x:c>
      <x:c r="AT178" s="26" t="str">
        <x:f>IF($A178="",IF(COUNTA(B178:Y178)&gt;0,"Missing ID",""),IF(COUNTIFS($A$9:$A$508,A178)&gt;1,"Duplicate ID",IF(OR(B178="",C178="",D178="",E178="",COUNT(F178:X178)&lt;&gt;19),"Missing / text input",IF(OR(COUNTIFS(Settings!$A$59:$A$64,B178)&lt;&gt;1,COUNTIFS(Settings!$A$29:$A$33,E178)&lt;&gt;1),"Unknown department / grade",IF(OR(F178&lt;=0,F178&gt;1,G178&lt;=0,L178&lt;=0,H178&lt;0,I178&lt;0,J178&lt;0,K178&lt;0,K178&gt;1,MIN(M178:X178)&lt;0,W178=0,V178&gt;W178,M178&gt;W178-V178,P178&gt;8,Q178&gt;4,R178&gt;12,S178&gt;12,T178&gt;1,AB178&lt;0),"Review quantity / rate",IF(OR(N178&gt;Settings!$C$17,AK178&gt;Settings!$C$19),"Review benefit ceiling","OK"))))))</x:f>
        <x:v>OK</x:v>
      </x:c>
    </x:row>
    <x:row r="179" ht="23" customHeight="1">
      <x:c r="A179" s="8" t="str">
        <x:v>BE-0171</x:v>
      </x:c>
      <x:c r="B179" s="8" t="str">
        <x:v>Technology</x:v>
      </x:c>
      <x:c r="C179" s="8" t="str">
        <x:v>Ghent</x:v>
      </x:c>
      <x:c r="D179" s="8" t="str">
        <x:v>Developer</x:v>
      </x:c>
      <x:c r="E179" s="8" t="str">
        <x:v>G2</x:v>
      </x:c>
      <x:c r="F179" s="20" t="n">
        <x:v>1</x:v>
      </x:c>
      <x:c r="G179" s="12" t="n">
        <x:v>3180</x:v>
      </x:c>
      <x:c r="H179" s="21" t="n">
        <x:v>0.05</x:v>
      </x:c>
      <x:c r="I179" s="20" t="n">
        <x:v>1.1</x:v>
      </x:c>
      <x:c r="J179" s="20" t="n">
        <x:v>1</x:v>
      </x:c>
      <x:c r="K179" s="20" t="n">
        <x:v>1</x:v>
      </x:c>
      <x:c r="L179" s="12" t="n">
        <x:v>3180</x:v>
      </x:c>
      <x:c r="M179" s="8" t="n">
        <x:v>212</x:v>
      </x:c>
      <x:c r="N179" s="12" t="n">
        <x:v>250</x:v>
      </x:c>
      <x:c r="O179" s="8" t="n">
        <x:v>0</x:v>
      </x:c>
      <x:c r="P179" s="8" t="n">
        <x:v>8</x:v>
      </x:c>
      <x:c r="Q179" s="8" t="n">
        <x:v>4</x:v>
      </x:c>
      <x:c r="R179" s="8" t="n">
        <x:v>12</x:v>
      </x:c>
      <x:c r="S179" s="8" t="n">
        <x:v>12</x:v>
      </x:c>
      <x:c r="T179" s="8" t="n">
        <x:v>1</x:v>
      </x:c>
      <x:c r="U179" s="12" t="n">
        <x:v>0</x:v>
      </x:c>
      <x:c r="V179" s="8" t="n">
        <x:v>2</x:v>
      </x:c>
      <x:c r="W179" s="8" t="n">
        <x:v>230</x:v>
      </x:c>
      <x:c r="X179" s="12" t="n">
        <x:v>62100</x:v>
      </x:c>
      <x:c r="Y179" s="21"/>
      <x:c r="Z179" s="24" t="n">
        <x:f>IF($A179="","",INDEX(Settings!$C$29:$C$33,MATCH(E179,Settings!$A$29:$A$33,0)))</x:f>
        <x:v>3300</x:v>
      </x:c>
      <x:c r="AA179" s="22" t="n">
        <x:f>IF($A179="","",G179/Z179)</x:f>
        <x:v>0.9636363636363636</x:v>
      </x:c>
      <x:c r="AB179" s="25" t="n">
        <x:f>IF($A179="","",IF(ISNUMBER(Y179),Y179,Settings!$B$10))</x:f>
        <x:v>0.03</x:v>
      </x:c>
      <x:c r="AC179" s="23" t="n">
        <x:f>IF($A179="","",G179*(1+AB179))</x:f>
        <x:v>3275.4</x:v>
      </x:c>
      <x:c r="AD179" s="23" t="n">
        <x:f>IF($A179="","",G179*F179*12)</x:f>
        <x:v>38160</x:v>
      </x:c>
      <x:c r="AE179" s="23" t="n">
        <x:f>IF($A179="","",G179*F179*J179)</x:f>
        <x:v>3180</x:v>
      </x:c>
      <x:c r="AF179" s="24" t="n">
        <x:f>IF($A179="","",L179*F179*K179*Settings!$B$13)</x:f>
        <x:v>2925.6</x:v>
      </x:c>
      <x:c r="AG179" s="23" t="n">
        <x:f>IF($A179="","",AD179*H179*I179)</x:f>
        <x:v>2098.8</x:v>
      </x:c>
      <x:c r="AH179" s="24" t="n">
        <x:f>IF($A179="","",SUM(AD179:AE179,AG179)*SUM(Settings!$B$11:$B$12))</x:f>
        <x:v>10859.7</x:v>
      </x:c>
      <x:c r="AI179" s="24" t="n">
        <x:f>IF($A179="","",M179*Settings!$B$16)</x:f>
        <x:v>1888.92</x:v>
      </x:c>
      <x:c r="AJ179" s="24" t="n">
        <x:f>IF($A179="","",M179*Settings!$B$15)</x:f>
        <x:v>231.08</x:v>
      </x:c>
      <x:c r="AK179" s="24" t="n">
        <x:f>IF($A179="","",O179*Settings!$B$18)</x:f>
        <x:v>0</x:v>
      </x:c>
      <x:c r="AL179" s="24" t="n">
        <x:f>IF($A179="","",P179*Settings!$B$20+Q179*Settings!$B$21+R179*Settings!$B$22+S179*Settings!$B$23)</x:f>
        <x:v>2424.76</x:v>
      </x:c>
      <x:c r="AM179" s="24" t="n">
        <x:f>IF($A179="","",T179*Settings!$B$24)</x:f>
        <x:v>40</x:v>
      </x:c>
      <x:c r="AN179" s="23" t="n">
        <x:f>IF($A179="","",SUM(AI179,N179,AK179:AM179,U179))</x:f>
        <x:v>4603.68</x:v>
      </x:c>
      <x:c r="AO179" s="23" t="n">
        <x:f>IF($A179="","",SUM(AD179:AI179,N179,AK179:AM179,U179))</x:f>
        <x:v>61827.780000000006</x:v>
      </x:c>
      <x:c r="AP179" s="24" t="n">
        <x:f>IF($A179="","",G179*F179*AB179*((13-Settings!$B$9)*(1+H179*I179)+J179)*(1+SUM(Settings!$B$11:$B$12)))</x:f>
        <x:v>1251.5287499999997</x:v>
      </x:c>
      <x:c r="AQ179" s="23" t="n">
        <x:f>IF($A179="","",SUM(AO179:AP179))</x:f>
        <x:v>63079.308750000004</x:v>
      </x:c>
      <x:c r="AR179" s="23" t="n">
        <x:f>IF($A179="","",AQ179-X179)</x:f>
        <x:v>979.3087500000038</x:v>
      </x:c>
      <x:c r="AS179" s="22" t="n">
        <x:f>IF($A179="","",IF(W179=0,"n.a.",V179/W179))</x:f>
        <x:v>0.008695652173913044</x:v>
      </x:c>
      <x:c r="AT179" s="26" t="str">
        <x:f>IF($A179="",IF(COUNTA(B179:Y179)&gt;0,"Missing ID",""),IF(COUNTIFS($A$9:$A$508,A179)&gt;1,"Duplicate ID",IF(OR(B179="",C179="",D179="",E179="",COUNT(F179:X179)&lt;&gt;19),"Missing / text input",IF(OR(COUNTIFS(Settings!$A$59:$A$64,B179)&lt;&gt;1,COUNTIFS(Settings!$A$29:$A$33,E179)&lt;&gt;1),"Unknown department / grade",IF(OR(F179&lt;=0,F179&gt;1,G179&lt;=0,L179&lt;=0,H179&lt;0,I179&lt;0,J179&lt;0,K179&lt;0,K179&gt;1,MIN(M179:X179)&lt;0,W179=0,V179&gt;W179,M179&gt;W179-V179,P179&gt;8,Q179&gt;4,R179&gt;12,S179&gt;12,T179&gt;1,AB179&lt;0),"Review quantity / rate",IF(OR(N179&gt;Settings!$C$17,AK179&gt;Settings!$C$19),"Review benefit ceiling","OK"))))))</x:f>
        <x:v>OK</x:v>
      </x:c>
    </x:row>
    <x:row r="180" ht="23" customHeight="1">
      <x:c r="A180" s="8" t="str">
        <x:v>BE-0172</x:v>
      </x:c>
      <x:c r="B180" s="8" t="str">
        <x:v>Sales</x:v>
      </x:c>
      <x:c r="C180" s="8" t="str">
        <x:v>Brussels</x:v>
      </x:c>
      <x:c r="D180" s="8" t="str">
        <x:v>Account manager</x:v>
      </x:c>
      <x:c r="E180" s="8" t="str">
        <x:v>G2</x:v>
      </x:c>
      <x:c r="F180" s="20" t="n">
        <x:v>0.6</x:v>
      </x:c>
      <x:c r="G180" s="12" t="n">
        <x:v>3500</x:v>
      </x:c>
      <x:c r="H180" s="21" t="n">
        <x:v>0.05</x:v>
      </x:c>
      <x:c r="I180" s="20" t="n">
        <x:v>0.8</x:v>
      </x:c>
      <x:c r="J180" s="20" t="n">
        <x:v>1</x:v>
      </x:c>
      <x:c r="K180" s="20" t="n">
        <x:v>1</x:v>
      </x:c>
      <x:c r="L180" s="12" t="n">
        <x:v>3500</x:v>
      </x:c>
      <x:c r="M180" s="8" t="n">
        <x:v>125</x:v>
      </x:c>
      <x:c r="N180" s="12" t="n">
        <x:v>150</x:v>
      </x:c>
      <x:c r="O180" s="8" t="n">
        <x:v>300</x:v>
      </x:c>
      <x:c r="P180" s="8" t="n">
        <x:v>8</x:v>
      </x:c>
      <x:c r="Q180" s="8" t="n">
        <x:v>4</x:v>
      </x:c>
      <x:c r="R180" s="8" t="n">
        <x:v>12</x:v>
      </x:c>
      <x:c r="S180" s="8" t="n">
        <x:v>0</x:v>
      </x:c>
      <x:c r="T180" s="8" t="n">
        <x:v>1</x:v>
      </x:c>
      <x:c r="U180" s="12" t="n">
        <x:v>0</x:v>
      </x:c>
      <x:c r="V180" s="8" t="n">
        <x:v>3</x:v>
      </x:c>
      <x:c r="W180" s="8" t="n">
        <x:v>138</x:v>
      </x:c>
      <x:c r="X180" s="12" t="n">
        <x:v>42400</x:v>
      </x:c>
      <x:c r="Y180" s="21"/>
      <x:c r="Z180" s="24" t="n">
        <x:f>IF($A180="","",INDEX(Settings!$C$29:$C$33,MATCH(E180,Settings!$A$29:$A$33,0)))</x:f>
        <x:v>3300</x:v>
      </x:c>
      <x:c r="AA180" s="22" t="n">
        <x:f>IF($A180="","",G180/Z180)</x:f>
        <x:v>1.0606060606060606</x:v>
      </x:c>
      <x:c r="AB180" s="25" t="n">
        <x:f>IF($A180="","",IF(ISNUMBER(Y180),Y180,Settings!$B$10))</x:f>
        <x:v>0.03</x:v>
      </x:c>
      <x:c r="AC180" s="23" t="n">
        <x:f>IF($A180="","",G180*(1+AB180))</x:f>
        <x:v>3605</x:v>
      </x:c>
      <x:c r="AD180" s="23" t="n">
        <x:f>IF($A180="","",G180*F180*12)</x:f>
        <x:v>25200</x:v>
      </x:c>
      <x:c r="AE180" s="23" t="n">
        <x:f>IF($A180="","",G180*F180*J180)</x:f>
        <x:v>2100</x:v>
      </x:c>
      <x:c r="AF180" s="24" t="n">
        <x:f>IF($A180="","",L180*F180*K180*Settings!$B$13)</x:f>
        <x:v>1932</x:v>
      </x:c>
      <x:c r="AG180" s="23" t="n">
        <x:f>IF($A180="","",AD180*H180*I180)</x:f>
        <x:v>1008</x:v>
      </x:c>
      <x:c r="AH180" s="24" t="n">
        <x:f>IF($A180="","",SUM(AD180:AE180,AG180)*SUM(Settings!$B$11:$B$12))</x:f>
        <x:v>7077</x:v>
      </x:c>
      <x:c r="AI180" s="24" t="n">
        <x:f>IF($A180="","",M180*Settings!$B$16)</x:f>
        <x:v>1113.75</x:v>
      </x:c>
      <x:c r="AJ180" s="24" t="n">
        <x:f>IF($A180="","",M180*Settings!$B$15)</x:f>
        <x:v>136.25</x:v>
      </x:c>
      <x:c r="AK180" s="24" t="n">
        <x:f>IF($A180="","",O180*Settings!$B$18)</x:f>
        <x:v>111</x:v>
      </x:c>
      <x:c r="AL180" s="24" t="n">
        <x:f>IF($A180="","",P180*Settings!$B$20+Q180*Settings!$B$21+R180*Settings!$B$22+S180*Settings!$B$23)</x:f>
        <x:v>2184.76</x:v>
      </x:c>
      <x:c r="AM180" s="24" t="n">
        <x:f>IF($A180="","",T180*Settings!$B$24)</x:f>
        <x:v>40</x:v>
      </x:c>
      <x:c r="AN180" s="23" t="n">
        <x:f>IF($A180="","",SUM(AI180,N180,AK180:AM180,U180))</x:f>
        <x:v>3599.51</x:v>
      </x:c>
      <x:c r="AO180" s="23" t="n">
        <x:f>IF($A180="","",SUM(AD180:AI180,N180,AK180:AM180,U180))</x:f>
        <x:v>40916.51</x:v>
      </x:c>
      <x:c r="AP180" s="24" t="n">
        <x:f>IF($A180="","",G180*F180*AB180*((13-Settings!$B$9)*(1+H180*I180)+J180)*(1+SUM(Settings!$B$11:$B$12)))</x:f>
        <x:v>815.8499999999999</x:v>
      </x:c>
      <x:c r="AQ180" s="23" t="n">
        <x:f>IF($A180="","",SUM(AO180:AP180))</x:f>
        <x:v>41732.36</x:v>
      </x:c>
      <x:c r="AR180" s="23" t="n">
        <x:f>IF($A180="","",AQ180-X180)</x:f>
        <x:v>-667.6399999999994</x:v>
      </x:c>
      <x:c r="AS180" s="22" t="n">
        <x:f>IF($A180="","",IF(W180=0,"n.a.",V180/W180))</x:f>
        <x:v>0.021739130434782608</x:v>
      </x:c>
      <x:c r="AT180" s="26" t="str">
        <x:f>IF($A180="",IF(COUNTA(B180:Y180)&gt;0,"Missing ID",""),IF(COUNTIFS($A$9:$A$508,A180)&gt;1,"Duplicate ID",IF(OR(B180="",C180="",D180="",E180="",COUNT(F180:X180)&lt;&gt;19),"Missing / text input",IF(OR(COUNTIFS(Settings!$A$59:$A$64,B180)&lt;&gt;1,COUNTIFS(Settings!$A$29:$A$33,E180)&lt;&gt;1),"Unknown department / grade",IF(OR(F180&lt;=0,F180&gt;1,G180&lt;=0,L180&lt;=0,H180&lt;0,I180&lt;0,J180&lt;0,K180&lt;0,K180&gt;1,MIN(M180:X180)&lt;0,W180=0,V180&gt;W180,M180&gt;W180-V180,P180&gt;8,Q180&gt;4,R180&gt;12,S180&gt;12,T180&gt;1,AB180&lt;0),"Review quantity / rate",IF(OR(N180&gt;Settings!$C$17,AK180&gt;Settings!$C$19),"Review benefit ceiling","OK"))))))</x:f>
        <x:v>OK</x:v>
      </x:c>
    </x:row>
    <x:row r="181" ht="23" customHeight="1">
      <x:c r="A181" s="8" t="str">
        <x:v>BE-0173</x:v>
      </x:c>
      <x:c r="B181" s="8" t="str">
        <x:v>Customer Operations</x:v>
      </x:c>
      <x:c r="C181" s="8" t="str">
        <x:v>Antwerp</x:v>
      </x:c>
      <x:c r="D181" s="8" t="str">
        <x:v>Senior service specialist</x:v>
      </x:c>
      <x:c r="E181" s="8" t="str">
        <x:v>G3</x:v>
      </x:c>
      <x:c r="F181" s="20" t="n">
        <x:v>1</x:v>
      </x:c>
      <x:c r="G181" s="12" t="n">
        <x:v>4120</x:v>
      </x:c>
      <x:c r="H181" s="21" t="n">
        <x:v>0.08</x:v>
      </x:c>
      <x:c r="I181" s="20" t="n">
        <x:v>1</x:v>
      </x:c>
      <x:c r="J181" s="20" t="n">
        <x:v>1</x:v>
      </x:c>
      <x:c r="K181" s="20" t="n">
        <x:v>1</x:v>
      </x:c>
      <x:c r="L181" s="12" t="n">
        <x:v>4120</x:v>
      </x:c>
      <x:c r="M181" s="8" t="n">
        <x:v>210</x:v>
      </x:c>
      <x:c r="N181" s="12" t="n">
        <x:v>250</x:v>
      </x:c>
      <x:c r="O181" s="8" t="n">
        <x:v>0</x:v>
      </x:c>
      <x:c r="P181" s="8" t="n">
        <x:v>0</x:v>
      </x:c>
      <x:c r="Q181" s="8" t="n">
        <x:v>0</x:v>
      </x:c>
      <x:c r="R181" s="8" t="n">
        <x:v>0</x:v>
      </x:c>
      <x:c r="S181" s="8" t="n">
        <x:v>0</x:v>
      </x:c>
      <x:c r="T181" s="8" t="n">
        <x:v>1</x:v>
      </x:c>
      <x:c r="U181" s="12" t="n">
        <x:v>0</x:v>
      </x:c>
      <x:c r="V181" s="8" t="n">
        <x:v>4</x:v>
      </x:c>
      <x:c r="W181" s="8" t="n">
        <x:v>230</x:v>
      </x:c>
      <x:c r="X181" s="12" t="n">
        <x:v>80700</x:v>
      </x:c>
      <x:c r="Y181" s="21"/>
      <x:c r="Z181" s="24" t="n">
        <x:f>IF($A181="","",INDEX(Settings!$C$29:$C$33,MATCH(E181,Settings!$A$29:$A$33,0)))</x:f>
        <x:v>4200</x:v>
      </x:c>
      <x:c r="AA181" s="22" t="n">
        <x:f>IF($A181="","",G181/Z181)</x:f>
        <x:v>0.9809523809523809</x:v>
      </x:c>
      <x:c r="AB181" s="25" t="n">
        <x:f>IF($A181="","",IF(ISNUMBER(Y181),Y181,Settings!$B$10))</x:f>
        <x:v>0.03</x:v>
      </x:c>
      <x:c r="AC181" s="23" t="n">
        <x:f>IF($A181="","",G181*(1+AB181))</x:f>
        <x:v>4243.6</x:v>
      </x:c>
      <x:c r="AD181" s="23" t="n">
        <x:f>IF($A181="","",G181*F181*12)</x:f>
        <x:v>49440</x:v>
      </x:c>
      <x:c r="AE181" s="23" t="n">
        <x:f>IF($A181="","",G181*F181*J181)</x:f>
        <x:v>4120</x:v>
      </x:c>
      <x:c r="AF181" s="24" t="n">
        <x:f>IF($A181="","",L181*F181*K181*Settings!$B$13)</x:f>
        <x:v>3790.4</x:v>
      </x:c>
      <x:c r="AG181" s="23" t="n">
        <x:f>IF($A181="","",AD181*H181*I181)</x:f>
        <x:v>3955.2000000000003</x:v>
      </x:c>
      <x:c r="AH181" s="24" t="n">
        <x:f>IF($A181="","",SUM(AD181:AE181,AG181)*SUM(Settings!$B$11:$B$12))</x:f>
        <x:v>14378.8</x:v>
      </x:c>
      <x:c r="AI181" s="24" t="n">
        <x:f>IF($A181="","",M181*Settings!$B$16)</x:f>
        <x:v>1871.1000000000001</x:v>
      </x:c>
      <x:c r="AJ181" s="24" t="n">
        <x:f>IF($A181="","",M181*Settings!$B$15)</x:f>
        <x:v>228.9</x:v>
      </x:c>
      <x:c r="AK181" s="24" t="n">
        <x:f>IF($A181="","",O181*Settings!$B$18)</x:f>
        <x:v>0</x:v>
      </x:c>
      <x:c r="AL181" s="24" t="n">
        <x:f>IF($A181="","",P181*Settings!$B$20+Q181*Settings!$B$21+R181*Settings!$B$22+S181*Settings!$B$23)</x:f>
        <x:v>0</x:v>
      </x:c>
      <x:c r="AM181" s="24" t="n">
        <x:f>IF($A181="","",T181*Settings!$B$24)</x:f>
        <x:v>40</x:v>
      </x:c>
      <x:c r="AN181" s="23" t="n">
        <x:f>IF($A181="","",SUM(AI181,N181,AK181:AM181,U181))</x:f>
        <x:v>2161.1000000000004</x:v>
      </x:c>
      <x:c r="AO181" s="23" t="n">
        <x:f>IF($A181="","",SUM(AD181:AI181,N181,AK181:AM181,U181))</x:f>
        <x:v>77845.5</x:v>
      </x:c>
      <x:c r="AP181" s="24" t="n">
        <x:f>IF($A181="","",G181*F181*AB181*((13-Settings!$B$9)*(1+H181*I181)+J181)*(1+SUM(Settings!$B$11:$B$12)))</x:f>
        <x:v>1656.24</x:v>
      </x:c>
      <x:c r="AQ181" s="23" t="n">
        <x:f>IF($A181="","",SUM(AO181:AP181))</x:f>
        <x:v>79501.74</x:v>
      </x:c>
      <x:c r="AR181" s="23" t="n">
        <x:f>IF($A181="","",AQ181-X181)</x:f>
        <x:v>-1198.2599999999948</x:v>
      </x:c>
      <x:c r="AS181" s="22" t="n">
        <x:f>IF($A181="","",IF(W181=0,"n.a.",V181/W181))</x:f>
        <x:v>0.017391304347826087</x:v>
      </x:c>
      <x:c r="AT181" s="26" t="str">
        <x:f>IF($A181="",IF(COUNTA(B181:Y181)&gt;0,"Missing ID",""),IF(COUNTIFS($A$9:$A$508,A181)&gt;1,"Duplicate ID",IF(OR(B181="",C181="",D181="",E181="",COUNT(F181:X181)&lt;&gt;19),"Missing / text input",IF(OR(COUNTIFS(Settings!$A$59:$A$64,B181)&lt;&gt;1,COUNTIFS(Settings!$A$29:$A$33,E181)&lt;&gt;1),"Unknown department / grade",IF(OR(F181&lt;=0,F181&gt;1,G181&lt;=0,L181&lt;=0,H181&lt;0,I181&lt;0,J181&lt;0,K181&lt;0,K181&gt;1,MIN(M181:X181)&lt;0,W181=0,V181&gt;W181,M181&gt;W181-V181,P181&gt;8,Q181&gt;4,R181&gt;12,S181&gt;12,T181&gt;1,AB181&lt;0),"Review quantity / rate",IF(OR(N181&gt;Settings!$C$17,AK181&gt;Settings!$C$19),"Review benefit ceiling","OK"))))))</x:f>
        <x:v>OK</x:v>
      </x:c>
    </x:row>
    <x:row r="182" ht="23" customHeight="1">
      <x:c r="A182" s="8" t="str">
        <x:v>BE-0174</x:v>
      </x:c>
      <x:c r="B182" s="8" t="str">
        <x:v>Business Support</x:v>
      </x:c>
      <x:c r="C182" s="8" t="str">
        <x:v>Ghent</x:v>
      </x:c>
      <x:c r="D182" s="8" t="str">
        <x:v>Senior business analyst</x:v>
      </x:c>
      <x:c r="E182" s="8" t="str">
        <x:v>G3</x:v>
      </x:c>
      <x:c r="F182" s="20" t="n">
        <x:v>1</x:v>
      </x:c>
      <x:c r="G182" s="12" t="n">
        <x:v>4110</x:v>
      </x:c>
      <x:c r="H182" s="21" t="n">
        <x:v>0.08</x:v>
      </x:c>
      <x:c r="I182" s="20" t="n">
        <x:v>1.1</x:v>
      </x:c>
      <x:c r="J182" s="20" t="n">
        <x:v>1</x:v>
      </x:c>
      <x:c r="K182" s="20" t="n">
        <x:v>1</x:v>
      </x:c>
      <x:c r="L182" s="12" t="n">
        <x:v>4110</x:v>
      </x:c>
      <x:c r="M182" s="8" t="n">
        <x:v>209</x:v>
      </x:c>
      <x:c r="N182" s="12" t="n">
        <x:v>250</x:v>
      </x:c>
      <x:c r="O182" s="8" t="n">
        <x:v>0</x:v>
      </x:c>
      <x:c r="P182" s="8" t="n">
        <x:v>8</x:v>
      </x:c>
      <x:c r="Q182" s="8" t="n">
        <x:v>4</x:v>
      </x:c>
      <x:c r="R182" s="8" t="n">
        <x:v>12</x:v>
      </x:c>
      <x:c r="S182" s="8" t="n">
        <x:v>0</x:v>
      </x:c>
      <x:c r="T182" s="8" t="n">
        <x:v>1</x:v>
      </x:c>
      <x:c r="U182" s="12" t="n">
        <x:v>0</x:v>
      </x:c>
      <x:c r="V182" s="8" t="n">
        <x:v>5</x:v>
      </x:c>
      <x:c r="W182" s="8" t="n">
        <x:v>230</x:v>
      </x:c>
      <x:c r="X182" s="12" t="n">
        <x:v>83200</x:v>
      </x:c>
      <x:c r="Y182" s="21"/>
      <x:c r="Z182" s="24" t="n">
        <x:f>IF($A182="","",INDEX(Settings!$C$29:$C$33,MATCH(E182,Settings!$A$29:$A$33,0)))</x:f>
        <x:v>4200</x:v>
      </x:c>
      <x:c r="AA182" s="22" t="n">
        <x:f>IF($A182="","",G182/Z182)</x:f>
        <x:v>0.9785714285714285</x:v>
      </x:c>
      <x:c r="AB182" s="25" t="n">
        <x:f>IF($A182="","",IF(ISNUMBER(Y182),Y182,Settings!$B$10))</x:f>
        <x:v>0.03</x:v>
      </x:c>
      <x:c r="AC182" s="23" t="n">
        <x:f>IF($A182="","",G182*(1+AB182))</x:f>
        <x:v>4233.3</x:v>
      </x:c>
      <x:c r="AD182" s="23" t="n">
        <x:f>IF($A182="","",G182*F182*12)</x:f>
        <x:v>49320</x:v>
      </x:c>
      <x:c r="AE182" s="23" t="n">
        <x:f>IF($A182="","",G182*F182*J182)</x:f>
        <x:v>4110</x:v>
      </x:c>
      <x:c r="AF182" s="24" t="n">
        <x:f>IF($A182="","",L182*F182*K182*Settings!$B$13)</x:f>
        <x:v>3781.2000000000003</x:v>
      </x:c>
      <x:c r="AG182" s="23" t="n">
        <x:f>IF($A182="","",AD182*H182*I182)</x:f>
        <x:v>4340.16</x:v>
      </x:c>
      <x:c r="AH182" s="24" t="n">
        <x:f>IF($A182="","",SUM(AD182:AE182,AG182)*SUM(Settings!$B$11:$B$12))</x:f>
        <x:v>14442.54</x:v>
      </x:c>
      <x:c r="AI182" s="24" t="n">
        <x:f>IF($A182="","",M182*Settings!$B$16)</x:f>
        <x:v>1862.19</x:v>
      </x:c>
      <x:c r="AJ182" s="24" t="n">
        <x:f>IF($A182="","",M182*Settings!$B$15)</x:f>
        <x:v>227.81000000000003</x:v>
      </x:c>
      <x:c r="AK182" s="24" t="n">
        <x:f>IF($A182="","",O182*Settings!$B$18)</x:f>
        <x:v>0</x:v>
      </x:c>
      <x:c r="AL182" s="24" t="n">
        <x:f>IF($A182="","",P182*Settings!$B$20+Q182*Settings!$B$21+R182*Settings!$B$22+S182*Settings!$B$23)</x:f>
        <x:v>2184.76</x:v>
      </x:c>
      <x:c r="AM182" s="24" t="n">
        <x:f>IF($A182="","",T182*Settings!$B$24)</x:f>
        <x:v>40</x:v>
      </x:c>
      <x:c r="AN182" s="23" t="n">
        <x:f>IF($A182="","",SUM(AI182,N182,AK182:AM182,U182))</x:f>
        <x:v>4336.950000000001</x:v>
      </x:c>
      <x:c r="AO182" s="23" t="n">
        <x:f>IF($A182="","",SUM(AD182:AI182,N182,AK182:AM182,U182))</x:f>
        <x:v>80330.84999999999</x:v>
      </x:c>
      <x:c r="AP182" s="24" t="n">
        <x:f>IF($A182="","",G182*F182*AB182*((13-Settings!$B$9)*(1+H182*I182)+J182)*(1+SUM(Settings!$B$11:$B$12)))</x:f>
        <x:v>1663.317</x:v>
      </x:c>
      <x:c r="AQ182" s="23" t="n">
        <x:f>IF($A182="","",SUM(AO182:AP182))</x:f>
        <x:v>81994.16699999999</x:v>
      </x:c>
      <x:c r="AR182" s="23" t="n">
        <x:f>IF($A182="","",AQ182-X182)</x:f>
        <x:v>-1205.8330000000133</x:v>
      </x:c>
      <x:c r="AS182" s="22" t="n">
        <x:f>IF($A182="","",IF(W182=0,"n.a.",V182/W182))</x:f>
        <x:v>0.021739130434782608</x:v>
      </x:c>
      <x:c r="AT182" s="26" t="str">
        <x:f>IF($A182="",IF(COUNTA(B182:Y182)&gt;0,"Missing ID",""),IF(COUNTIFS($A$9:$A$508,A182)&gt;1,"Duplicate ID",IF(OR(B182="",C182="",D182="",E182="",COUNT(F182:X182)&lt;&gt;19),"Missing / text input",IF(OR(COUNTIFS(Settings!$A$59:$A$64,B182)&lt;&gt;1,COUNTIFS(Settings!$A$29:$A$33,E182)&lt;&gt;1),"Unknown department / grade",IF(OR(F182&lt;=0,F182&gt;1,G182&lt;=0,L182&lt;=0,H182&lt;0,I182&lt;0,J182&lt;0,K182&lt;0,K182&gt;1,MIN(M182:X182)&lt;0,W182=0,V182&gt;W182,M182&gt;W182-V182,P182&gt;8,Q182&gt;4,R182&gt;12,S182&gt;12,T182&gt;1,AB182&lt;0),"Review quantity / rate",IF(OR(N182&gt;Settings!$C$17,AK182&gt;Settings!$C$19),"Review benefit ceiling","OK"))))))</x:f>
        <x:v>OK</x:v>
      </x:c>
    </x:row>
    <x:row r="183" ht="23" customHeight="1">
      <x:c r="A183" s="8" t="str">
        <x:v>BE-0175</x:v>
      </x:c>
      <x:c r="B183" s="8" t="str">
        <x:v>Finance</x:v>
      </x:c>
      <x:c r="C183" s="8" t="str">
        <x:v>Brussels</x:v>
      </x:c>
      <x:c r="D183" s="8" t="str">
        <x:v>Senior analyst</x:v>
      </x:c>
      <x:c r="E183" s="8" t="str">
        <x:v>G3</x:v>
      </x:c>
      <x:c r="F183" s="20" t="n">
        <x:v>1</x:v>
      </x:c>
      <x:c r="G183" s="12" t="n">
        <x:v>3910</x:v>
      </x:c>
      <x:c r="H183" s="21" t="n">
        <x:v>0.08</x:v>
      </x:c>
      <x:c r="I183" s="20" t="n">
        <x:v>0.8</x:v>
      </x:c>
      <x:c r="J183" s="20" t="n">
        <x:v>1</x:v>
      </x:c>
      <x:c r="K183" s="20" t="n">
        <x:v>1</x:v>
      </x:c>
      <x:c r="L183" s="12" t="n">
        <x:v>3910</x:v>
      </x:c>
      <x:c r="M183" s="8" t="n">
        <x:v>208</x:v>
      </x:c>
      <x:c r="N183" s="12" t="n">
        <x:v>250</x:v>
      </x:c>
      <x:c r="O183" s="8" t="n">
        <x:v>630</x:v>
      </x:c>
      <x:c r="P183" s="8" t="n">
        <x:v>8</x:v>
      </x:c>
      <x:c r="Q183" s="8" t="n">
        <x:v>4</x:v>
      </x:c>
      <x:c r="R183" s="8" t="n">
        <x:v>12</x:v>
      </x:c>
      <x:c r="S183" s="8" t="n">
        <x:v>0</x:v>
      </x:c>
      <x:c r="T183" s="8" t="n">
        <x:v>1</x:v>
      </x:c>
      <x:c r="U183" s="12" t="n">
        <x:v>0</x:v>
      </x:c>
      <x:c r="V183" s="8" t="n">
        <x:v>6</x:v>
      </x:c>
      <x:c r="W183" s="8" t="n">
        <x:v>230</x:v>
      </x:c>
      <x:c r="X183" s="12" t="n">
        <x:v>78200</x:v>
      </x:c>
      <x:c r="Y183" s="21"/>
      <x:c r="Z183" s="24" t="n">
        <x:f>IF($A183="","",INDEX(Settings!$C$29:$C$33,MATCH(E183,Settings!$A$29:$A$33,0)))</x:f>
        <x:v>4200</x:v>
      </x:c>
      <x:c r="AA183" s="22" t="n">
        <x:f>IF($A183="","",G183/Z183)</x:f>
        <x:v>0.930952380952381</x:v>
      </x:c>
      <x:c r="AB183" s="25" t="n">
        <x:f>IF($A183="","",IF(ISNUMBER(Y183),Y183,Settings!$B$10))</x:f>
        <x:v>0.03</x:v>
      </x:c>
      <x:c r="AC183" s="23" t="n">
        <x:f>IF($A183="","",G183*(1+AB183))</x:f>
        <x:v>4027.3</x:v>
      </x:c>
      <x:c r="AD183" s="23" t="n">
        <x:f>IF($A183="","",G183*F183*12)</x:f>
        <x:v>46920</x:v>
      </x:c>
      <x:c r="AE183" s="23" t="n">
        <x:f>IF($A183="","",G183*F183*J183)</x:f>
        <x:v>3910</x:v>
      </x:c>
      <x:c r="AF183" s="24" t="n">
        <x:f>IF($A183="","",L183*F183*K183*Settings!$B$13)</x:f>
        <x:v>3597.2000000000003</x:v>
      </x:c>
      <x:c r="AG183" s="23" t="n">
        <x:f>IF($A183="","",AD183*H183*I183)</x:f>
        <x:v>3002.88</x:v>
      </x:c>
      <x:c r="AH183" s="24" t="n">
        <x:f>IF($A183="","",SUM(AD183:AE183,AG183)*SUM(Settings!$B$11:$B$12))</x:f>
        <x:v>13458.22</x:v>
      </x:c>
      <x:c r="AI183" s="24" t="n">
        <x:f>IF($A183="","",M183*Settings!$B$16)</x:f>
        <x:v>1853.28</x:v>
      </x:c>
      <x:c r="AJ183" s="24" t="n">
        <x:f>IF($A183="","",M183*Settings!$B$15)</x:f>
        <x:v>226.72000000000003</x:v>
      </x:c>
      <x:c r="AK183" s="24" t="n">
        <x:f>IF($A183="","",O183*Settings!$B$18)</x:f>
        <x:v>233.1</x:v>
      </x:c>
      <x:c r="AL183" s="24" t="n">
        <x:f>IF($A183="","",P183*Settings!$B$20+Q183*Settings!$B$21+R183*Settings!$B$22+S183*Settings!$B$23)</x:f>
        <x:v>2184.76</x:v>
      </x:c>
      <x:c r="AM183" s="24" t="n">
        <x:f>IF($A183="","",T183*Settings!$B$24)</x:f>
        <x:v>40</x:v>
      </x:c>
      <x:c r="AN183" s="23" t="n">
        <x:f>IF($A183="","",SUM(AI183,N183,AK183:AM183,U183))</x:f>
        <x:v>4561.139999999999</x:v>
      </x:c>
      <x:c r="AO183" s="23" t="n">
        <x:f>IF($A183="","",SUM(AD183:AI183,N183,AK183:AM183,U183))</x:f>
        <x:v>75449.43999999999</x:v>
      </x:c>
      <x:c r="AP183" s="24" t="n">
        <x:f>IF($A183="","",G183*F183*AB183*((13-Settings!$B$9)*(1+H183*I183)+J183)*(1+SUM(Settings!$B$11:$B$12)))</x:f>
        <x:v>1550.7060000000001</x:v>
      </x:c>
      <x:c r="AQ183" s="23" t="n">
        <x:f>IF($A183="","",SUM(AO183:AP183))</x:f>
        <x:v>77000.146</x:v>
      </x:c>
      <x:c r="AR183" s="23" t="n">
        <x:f>IF($A183="","",AQ183-X183)</x:f>
        <x:v>-1199.8540000000066</x:v>
      </x:c>
      <x:c r="AS183" s="22" t="n">
        <x:f>IF($A183="","",IF(W183=0,"n.a.",V183/W183))</x:f>
        <x:v>0.02608695652173913</x:v>
      </x:c>
      <x:c r="AT183" s="26" t="str">
        <x:f>IF($A183="",IF(COUNTA(B183:Y183)&gt;0,"Missing ID",""),IF(COUNTIFS($A$9:$A$508,A183)&gt;1,"Duplicate ID",IF(OR(B183="",C183="",D183="",E183="",COUNT(F183:X183)&lt;&gt;19),"Missing / text input",IF(OR(COUNTIFS(Settings!$A$59:$A$64,B183)&lt;&gt;1,COUNTIFS(Settings!$A$29:$A$33,E183)&lt;&gt;1),"Unknown department / grade",IF(OR(F183&lt;=0,F183&gt;1,G183&lt;=0,L183&lt;=0,H183&lt;0,I183&lt;0,J183&lt;0,K183&lt;0,K183&gt;1,MIN(M183:X183)&lt;0,W183=0,V183&gt;W183,M183&gt;W183-V183,P183&gt;8,Q183&gt;4,R183&gt;12,S183&gt;12,T183&gt;1,AB183&lt;0),"Review quantity / rate",IF(OR(N183&gt;Settings!$C$17,AK183&gt;Settings!$C$19),"Review benefit ceiling","OK"))))))</x:f>
        <x:v>OK</x:v>
      </x:c>
    </x:row>
    <x:row r="184" ht="23" customHeight="1">
      <x:c r="A184" s="8" t="str">
        <x:v>BE-0176</x:v>
      </x:c>
      <x:c r="B184" s="8" t="str">
        <x:v>People &amp; Culture</x:v>
      </x:c>
      <x:c r="C184" s="8" t="str">
        <x:v>Antwerp</x:v>
      </x:c>
      <x:c r="D184" s="8" t="str">
        <x:v>Reward specialist</x:v>
      </x:c>
      <x:c r="E184" s="8" t="str">
        <x:v>G3</x:v>
      </x:c>
      <x:c r="F184" s="20" t="n">
        <x:v>0.8</x:v>
      </x:c>
      <x:c r="G184" s="12" t="n">
        <x:v>4160</x:v>
      </x:c>
      <x:c r="H184" s="21" t="n">
        <x:v>0.08</x:v>
      </x:c>
      <x:c r="I184" s="20" t="n">
        <x:v>1</x:v>
      </x:c>
      <x:c r="J184" s="20" t="n">
        <x:v>1</x:v>
      </x:c>
      <x:c r="K184" s="20" t="n">
        <x:v>1</x:v>
      </x:c>
      <x:c r="L184" s="12" t="n">
        <x:v>4160</x:v>
      </x:c>
      <x:c r="M184" s="8" t="n">
        <x:v>171</x:v>
      </x:c>
      <x:c r="N184" s="12" t="n">
        <x:v>200</x:v>
      </x:c>
      <x:c r="O184" s="8" t="n">
        <x:v>0</x:v>
      </x:c>
      <x:c r="P184" s="8" t="n">
        <x:v>8</x:v>
      </x:c>
      <x:c r="Q184" s="8" t="n">
        <x:v>4</x:v>
      </x:c>
      <x:c r="R184" s="8" t="n">
        <x:v>12</x:v>
      </x:c>
      <x:c r="S184" s="8" t="n">
        <x:v>12</x:v>
      </x:c>
      <x:c r="T184" s="8" t="n">
        <x:v>1</x:v>
      </x:c>
      <x:c r="U184" s="12" t="n">
        <x:v>0</x:v>
      </x:c>
      <x:c r="V184" s="8" t="n">
        <x:v>7</x:v>
      </x:c>
      <x:c r="W184" s="8" t="n">
        <x:v>184</x:v>
      </x:c>
      <x:c r="X184" s="12" t="n">
        <x:v>65700</x:v>
      </x:c>
      <x:c r="Y184" s="21"/>
      <x:c r="Z184" s="24" t="n">
        <x:f>IF($A184="","",INDEX(Settings!$C$29:$C$33,MATCH(E184,Settings!$A$29:$A$33,0)))</x:f>
        <x:v>4200</x:v>
      </x:c>
      <x:c r="AA184" s="22" t="n">
        <x:f>IF($A184="","",G184/Z184)</x:f>
        <x:v>0.9904761904761905</x:v>
      </x:c>
      <x:c r="AB184" s="25" t="n">
        <x:f>IF($A184="","",IF(ISNUMBER(Y184),Y184,Settings!$B$10))</x:f>
        <x:v>0.03</x:v>
      </x:c>
      <x:c r="AC184" s="23" t="n">
        <x:f>IF($A184="","",G184*(1+AB184))</x:f>
        <x:v>4284.8</x:v>
      </x:c>
      <x:c r="AD184" s="23" t="n">
        <x:f>IF($A184="","",G184*F184*12)</x:f>
        <x:v>39936</x:v>
      </x:c>
      <x:c r="AE184" s="23" t="n">
        <x:f>IF($A184="","",G184*F184*J184)</x:f>
        <x:v>3328</x:v>
      </x:c>
      <x:c r="AF184" s="24" t="n">
        <x:f>IF($A184="","",L184*F184*K184*Settings!$B$13)</x:f>
        <x:v>3061.76</x:v>
      </x:c>
      <x:c r="AG184" s="23" t="n">
        <x:f>IF($A184="","",AD184*H184*I184)</x:f>
        <x:v>3194.88</x:v>
      </x:c>
      <x:c r="AH184" s="24" t="n">
        <x:f>IF($A184="","",SUM(AD184:AE184,AG184)*SUM(Settings!$B$11:$B$12))</x:f>
        <x:v>11614.72</x:v>
      </x:c>
      <x:c r="AI184" s="24" t="n">
        <x:f>IF($A184="","",M184*Settings!$B$16)</x:f>
        <x:v>1523.6100000000001</x:v>
      </x:c>
      <x:c r="AJ184" s="24" t="n">
        <x:f>IF($A184="","",M184*Settings!$B$15)</x:f>
        <x:v>186.39000000000001</x:v>
      </x:c>
      <x:c r="AK184" s="24" t="n">
        <x:f>IF($A184="","",O184*Settings!$B$18)</x:f>
        <x:v>0</x:v>
      </x:c>
      <x:c r="AL184" s="24" t="n">
        <x:f>IF($A184="","",P184*Settings!$B$20+Q184*Settings!$B$21+R184*Settings!$B$22+S184*Settings!$B$23)</x:f>
        <x:v>2424.76</x:v>
      </x:c>
      <x:c r="AM184" s="24" t="n">
        <x:f>IF($A184="","",T184*Settings!$B$24)</x:f>
        <x:v>40</x:v>
      </x:c>
      <x:c r="AN184" s="23" t="n">
        <x:f>IF($A184="","",SUM(AI184,N184,AK184:AM184,U184))</x:f>
        <x:v>4188.370000000001</x:v>
      </x:c>
      <x:c r="AO184" s="23" t="n">
        <x:f>IF($A184="","",SUM(AD184:AI184,N184,AK184:AM184,U184))</x:f>
        <x:v>65323.73</x:v>
      </x:c>
      <x:c r="AP184" s="24" t="n">
        <x:f>IF($A184="","",G184*F184*AB184*((13-Settings!$B$9)*(1+H184*I184)+J184)*(1+SUM(Settings!$B$11:$B$12)))</x:f>
        <x:v>1337.8560000000002</x:v>
      </x:c>
      <x:c r="AQ184" s="23" t="n">
        <x:f>IF($A184="","",SUM(AO184:AP184))</x:f>
        <x:v>66661.58600000001</x:v>
      </x:c>
      <x:c r="AR184" s="23" t="n">
        <x:f>IF($A184="","",AQ184-X184)</x:f>
        <x:v>961.5860000000102</x:v>
      </x:c>
      <x:c r="AS184" s="22" t="n">
        <x:f>IF($A184="","",IF(W184=0,"n.a.",V184/W184))</x:f>
        <x:v>0.03804347826086957</x:v>
      </x:c>
      <x:c r="AT184" s="26" t="str">
        <x:f>IF($A184="",IF(COUNTA(B184:Y184)&gt;0,"Missing ID",""),IF(COUNTIFS($A$9:$A$508,A184)&gt;1,"Duplicate ID",IF(OR(B184="",C184="",D184="",E184="",COUNT(F184:X184)&lt;&gt;19),"Missing / text input",IF(OR(COUNTIFS(Settings!$A$59:$A$64,B184)&lt;&gt;1,COUNTIFS(Settings!$A$29:$A$33,E184)&lt;&gt;1),"Unknown department / grade",IF(OR(F184&lt;=0,F184&gt;1,G184&lt;=0,L184&lt;=0,H184&lt;0,I184&lt;0,J184&lt;0,K184&lt;0,K184&gt;1,MIN(M184:X184)&lt;0,W184=0,V184&gt;W184,M184&gt;W184-V184,P184&gt;8,Q184&gt;4,R184&gt;12,S184&gt;12,T184&gt;1,AB184&lt;0),"Review quantity / rate",IF(OR(N184&gt;Settings!$C$17,AK184&gt;Settings!$C$19),"Review benefit ceiling","OK"))))))</x:f>
        <x:v>OK</x:v>
      </x:c>
    </x:row>
    <x:row r="185" ht="23" customHeight="1">
      <x:c r="A185" s="8" t="str">
        <x:v>BE-0177</x:v>
      </x:c>
      <x:c r="B185" s="8" t="str">
        <x:v>Technology</x:v>
      </x:c>
      <x:c r="C185" s="8" t="str">
        <x:v>Ghent</x:v>
      </x:c>
      <x:c r="D185" s="8" t="str">
        <x:v>Senior engineer</x:v>
      </x:c>
      <x:c r="E185" s="8" t="str">
        <x:v>G3</x:v>
      </x:c>
      <x:c r="F185" s="20" t="n">
        <x:v>1</x:v>
      </x:c>
      <x:c r="G185" s="12" t="n">
        <x:v>3820</x:v>
      </x:c>
      <x:c r="H185" s="21" t="n">
        <x:v>0.08</x:v>
      </x:c>
      <x:c r="I185" s="20" t="n">
        <x:v>1.1</x:v>
      </x:c>
      <x:c r="J185" s="20" t="n">
        <x:v>1</x:v>
      </x:c>
      <x:c r="K185" s="20" t="n">
        <x:v>1</x:v>
      </x:c>
      <x:c r="L185" s="12" t="n">
        <x:v>3820</x:v>
      </x:c>
      <x:c r="M185" s="8" t="n">
        <x:v>213</x:v>
      </x:c>
      <x:c r="N185" s="12" t="n">
        <x:v>250</x:v>
      </x:c>
      <x:c r="O185" s="8" t="n">
        <x:v>0</x:v>
      </x:c>
      <x:c r="P185" s="8" t="n">
        <x:v>0</x:v>
      </x:c>
      <x:c r="Q185" s="8" t="n">
        <x:v>0</x:v>
      </x:c>
      <x:c r="R185" s="8" t="n">
        <x:v>0</x:v>
      </x:c>
      <x:c r="S185" s="8" t="n">
        <x:v>0</x:v>
      </x:c>
      <x:c r="T185" s="8" t="n">
        <x:v>1</x:v>
      </x:c>
      <x:c r="U185" s="12" t="n">
        <x:v>0</x:v>
      </x:c>
      <x:c r="V185" s="8" t="n">
        <x:v>8</x:v>
      </x:c>
      <x:c r="W185" s="8" t="n">
        <x:v>230</x:v>
      </x:c>
      <x:c r="X185" s="12" t="n">
        <x:v>73900</x:v>
      </x:c>
      <x:c r="Y185" s="21" t="n">
        <x:v>0</x:v>
      </x:c>
      <x:c r="Z185" s="24" t="n">
        <x:f>IF($A185="","",INDEX(Settings!$C$29:$C$33,MATCH(E185,Settings!$A$29:$A$33,0)))</x:f>
        <x:v>4200</x:v>
      </x:c>
      <x:c r="AA185" s="22" t="n">
        <x:f>IF($A185="","",G185/Z185)</x:f>
        <x:v>0.9095238095238095</x:v>
      </x:c>
      <x:c r="AB185" s="25" t="n">
        <x:f>IF($A185="","",IF(ISNUMBER(Y185),Y185,Settings!$B$10))</x:f>
        <x:v>0</x:v>
      </x:c>
      <x:c r="AC185" s="23" t="n">
        <x:f>IF($A185="","",G185*(1+AB185))</x:f>
        <x:v>3820</x:v>
      </x:c>
      <x:c r="AD185" s="23" t="n">
        <x:f>IF($A185="","",G185*F185*12)</x:f>
        <x:v>45840</x:v>
      </x:c>
      <x:c r="AE185" s="23" t="n">
        <x:f>IF($A185="","",G185*F185*J185)</x:f>
        <x:v>3820</x:v>
      </x:c>
      <x:c r="AF185" s="24" t="n">
        <x:f>IF($A185="","",L185*F185*K185*Settings!$B$13)</x:f>
        <x:v>3514.4</x:v>
      </x:c>
      <x:c r="AG185" s="23" t="n">
        <x:f>IF($A185="","",AD185*H185*I185)</x:f>
        <x:v>4033.9200000000005</x:v>
      </x:c>
      <x:c r="AH185" s="24" t="n">
        <x:f>IF($A185="","",SUM(AD185:AE185,AG185)*SUM(Settings!$B$11:$B$12))</x:f>
        <x:v>13423.48</x:v>
      </x:c>
      <x:c r="AI185" s="24" t="n">
        <x:f>IF($A185="","",M185*Settings!$B$16)</x:f>
        <x:v>1897.83</x:v>
      </x:c>
      <x:c r="AJ185" s="24" t="n">
        <x:f>IF($A185="","",M185*Settings!$B$15)</x:f>
        <x:v>232.17000000000002</x:v>
      </x:c>
      <x:c r="AK185" s="24" t="n">
        <x:f>IF($A185="","",O185*Settings!$B$18)</x:f>
        <x:v>0</x:v>
      </x:c>
      <x:c r="AL185" s="24" t="n">
        <x:f>IF($A185="","",P185*Settings!$B$20+Q185*Settings!$B$21+R185*Settings!$B$22+S185*Settings!$B$23)</x:f>
        <x:v>0</x:v>
      </x:c>
      <x:c r="AM185" s="24" t="n">
        <x:f>IF($A185="","",T185*Settings!$B$24)</x:f>
        <x:v>40</x:v>
      </x:c>
      <x:c r="AN185" s="23" t="n">
        <x:f>IF($A185="","",SUM(AI185,N185,AK185:AM185,U185))</x:f>
        <x:v>2187.83</x:v>
      </x:c>
      <x:c r="AO185" s="23" t="n">
        <x:f>IF($A185="","",SUM(AD185:AI185,N185,AK185:AM185,U185))</x:f>
        <x:v>72819.63</x:v>
      </x:c>
      <x:c r="AP185" s="24" t="n">
        <x:f>IF($A185="","",G185*F185*AB185*((13-Settings!$B$9)*(1+H185*I185)+J185)*(1+SUM(Settings!$B$11:$B$12)))</x:f>
        <x:v>0</x:v>
      </x:c>
      <x:c r="AQ185" s="23" t="n">
        <x:f>IF($A185="","",SUM(AO185:AP185))</x:f>
        <x:v>72819.63</x:v>
      </x:c>
      <x:c r="AR185" s="23" t="n">
        <x:f>IF($A185="","",AQ185-X185)</x:f>
        <x:v>-1080.3699999999953</x:v>
      </x:c>
      <x:c r="AS185" s="22" t="n">
        <x:f>IF($A185="","",IF(W185=0,"n.a.",V185/W185))</x:f>
        <x:v>0.034782608695652174</x:v>
      </x:c>
      <x:c r="AT185" s="26" t="str">
        <x:f>IF($A185="",IF(COUNTA(B185:Y185)&gt;0,"Missing ID",""),IF(COUNTIFS($A$9:$A$508,A185)&gt;1,"Duplicate ID",IF(OR(B185="",C185="",D185="",E185="",COUNT(F185:X185)&lt;&gt;19),"Missing / text input",IF(OR(COUNTIFS(Settings!$A$59:$A$64,B185)&lt;&gt;1,COUNTIFS(Settings!$A$29:$A$33,E185)&lt;&gt;1),"Unknown department / grade",IF(OR(F185&lt;=0,F185&gt;1,G185&lt;=0,L185&lt;=0,H185&lt;0,I185&lt;0,J185&lt;0,K185&lt;0,K185&gt;1,MIN(M185:X185)&lt;0,W185=0,V185&gt;W185,M185&gt;W185-V185,P185&gt;8,Q185&gt;4,R185&gt;12,S185&gt;12,T185&gt;1,AB185&lt;0),"Review quantity / rate",IF(OR(N185&gt;Settings!$C$17,AK185&gt;Settings!$C$19),"Review benefit ceiling","OK"))))))</x:f>
        <x:v>OK</x:v>
      </x:c>
    </x:row>
    <x:row r="186" ht="23" customHeight="1">
      <x:c r="A186" s="8" t="str">
        <x:v>BE-0178</x:v>
      </x:c>
      <x:c r="B186" s="8" t="str">
        <x:v>Sales</x:v>
      </x:c>
      <x:c r="C186" s="8" t="str">
        <x:v>Brussels</x:v>
      </x:c>
      <x:c r="D186" s="8" t="str">
        <x:v>Sales manager</x:v>
      </x:c>
      <x:c r="E186" s="8" t="str">
        <x:v>G4</x:v>
      </x:c>
      <x:c r="F186" s="20" t="n">
        <x:v>1</x:v>
      </x:c>
      <x:c r="G186" s="12" t="n">
        <x:v>5210</x:v>
      </x:c>
      <x:c r="H186" s="21" t="n">
        <x:v>0.12</x:v>
      </x:c>
      <x:c r="I186" s="20" t="n">
        <x:v>0.8</x:v>
      </x:c>
      <x:c r="J186" s="20" t="n">
        <x:v>1</x:v>
      </x:c>
      <x:c r="K186" s="20" t="n">
        <x:v>1</x:v>
      </x:c>
      <x:c r="L186" s="12" t="n">
        <x:v>5210</x:v>
      </x:c>
      <x:c r="M186" s="8" t="n">
        <x:v>212</x:v>
      </x:c>
      <x:c r="N186" s="12" t="n">
        <x:v>250</x:v>
      </x:c>
      <x:c r="O186" s="8" t="n">
        <x:v>960</x:v>
      </x:c>
      <x:c r="P186" s="8" t="n">
        <x:v>8</x:v>
      </x:c>
      <x:c r="Q186" s="8" t="n">
        <x:v>4</x:v>
      </x:c>
      <x:c r="R186" s="8" t="n">
        <x:v>12</x:v>
      </x:c>
      <x:c r="S186" s="8" t="n">
        <x:v>0</x:v>
      </x:c>
      <x:c r="T186" s="8" t="n">
        <x:v>1</x:v>
      </x:c>
      <x:c r="U186" s="12" t="n">
        <x:v>0</x:v>
      </x:c>
      <x:c r="V186" s="8" t="n">
        <x:v>9</x:v>
      </x:c>
      <x:c r="W186" s="8" t="n">
        <x:v>230</x:v>
      </x:c>
      <x:c r="X186" s="12" t="n">
        <x:v>105400</x:v>
      </x:c>
      <x:c r="Y186" s="21"/>
      <x:c r="Z186" s="24" t="n">
        <x:f>IF($A186="","",INDEX(Settings!$C$29:$C$33,MATCH(E186,Settings!$A$29:$A$33,0)))</x:f>
        <x:v>5400</x:v>
      </x:c>
      <x:c r="AA186" s="22" t="n">
        <x:f>IF($A186="","",G186/Z186)</x:f>
        <x:v>0.9648148148148148</x:v>
      </x:c>
      <x:c r="AB186" s="25" t="n">
        <x:f>IF($A186="","",IF(ISNUMBER(Y186),Y186,Settings!$B$10))</x:f>
        <x:v>0.03</x:v>
      </x:c>
      <x:c r="AC186" s="23" t="n">
        <x:f>IF($A186="","",G186*(1+AB186))</x:f>
        <x:v>5366.3</x:v>
      </x:c>
      <x:c r="AD186" s="23" t="n">
        <x:f>IF($A186="","",G186*F186*12)</x:f>
        <x:v>62520</x:v>
      </x:c>
      <x:c r="AE186" s="23" t="n">
        <x:f>IF($A186="","",G186*F186*J186)</x:f>
        <x:v>5210</x:v>
      </x:c>
      <x:c r="AF186" s="24" t="n">
        <x:f>IF($A186="","",L186*F186*K186*Settings!$B$13)</x:f>
        <x:v>4793.2</x:v>
      </x:c>
      <x:c r="AG186" s="23" t="n">
        <x:f>IF($A186="","",AD186*H186*I186)</x:f>
        <x:v>6001.92</x:v>
      </x:c>
      <x:c r="AH186" s="24" t="n">
        <x:f>IF($A186="","",SUM(AD186:AE186,AG186)*SUM(Settings!$B$11:$B$12))</x:f>
        <x:v>18432.98</x:v>
      </x:c>
      <x:c r="AI186" s="24" t="n">
        <x:f>IF($A186="","",M186*Settings!$B$16)</x:f>
        <x:v>1888.92</x:v>
      </x:c>
      <x:c r="AJ186" s="24" t="n">
        <x:f>IF($A186="","",M186*Settings!$B$15)</x:f>
        <x:v>231.08</x:v>
      </x:c>
      <x:c r="AK186" s="24" t="n">
        <x:f>IF($A186="","",O186*Settings!$B$18)</x:f>
        <x:v>355.2</x:v>
      </x:c>
      <x:c r="AL186" s="24" t="n">
        <x:f>IF($A186="","",P186*Settings!$B$20+Q186*Settings!$B$21+R186*Settings!$B$22+S186*Settings!$B$23)</x:f>
        <x:v>2184.76</x:v>
      </x:c>
      <x:c r="AM186" s="24" t="n">
        <x:f>IF($A186="","",T186*Settings!$B$24)</x:f>
        <x:v>40</x:v>
      </x:c>
      <x:c r="AN186" s="23" t="n">
        <x:f>IF($A186="","",SUM(AI186,N186,AK186:AM186,U186))</x:f>
        <x:v>4718.88</x:v>
      </x:c>
      <x:c r="AO186" s="23" t="n">
        <x:f>IF($A186="","",SUM(AD186:AI186,N186,AK186:AM186,U186))</x:f>
        <x:v>101676.98</x:v>
      </x:c>
      <x:c r="AP186" s="24" t="n">
        <x:f>IF($A186="","",G186*F186*AB186*((13-Settings!$B$9)*(1+H186*I186)+J186)*(1+SUM(Settings!$B$11:$B$12)))</x:f>
        <x:v>2122.5539999999996</x:v>
      </x:c>
      <x:c r="AQ186" s="23" t="n">
        <x:f>IF($A186="","",SUM(AO186:AP186))</x:f>
        <x:v>103799.534</x:v>
      </x:c>
      <x:c r="AR186" s="23" t="n">
        <x:f>IF($A186="","",AQ186-X186)</x:f>
        <x:v>-1600.4660000000003</x:v>
      </x:c>
      <x:c r="AS186" s="22" t="n">
        <x:f>IF($A186="","",IF(W186=0,"n.a.",V186/W186))</x:f>
        <x:v>0.0391304347826087</x:v>
      </x:c>
      <x:c r="AT186" s="26" t="str">
        <x:f>IF($A186="",IF(COUNTA(B186:Y186)&gt;0,"Missing ID",""),IF(COUNTIFS($A$9:$A$508,A186)&gt;1,"Duplicate ID",IF(OR(B186="",C186="",D186="",E186="",COUNT(F186:X186)&lt;&gt;19),"Missing / text input",IF(OR(COUNTIFS(Settings!$A$59:$A$64,B186)&lt;&gt;1,COUNTIFS(Settings!$A$29:$A$33,E186)&lt;&gt;1),"Unknown department / grade",IF(OR(F186&lt;=0,F186&gt;1,G186&lt;=0,L186&lt;=0,H186&lt;0,I186&lt;0,J186&lt;0,K186&lt;0,K186&gt;1,MIN(M186:X186)&lt;0,W186=0,V186&gt;W186,M186&gt;W186-V186,P186&gt;8,Q186&gt;4,R186&gt;12,S186&gt;12,T186&gt;1,AB186&lt;0),"Review quantity / rate",IF(OR(N186&gt;Settings!$C$17,AK186&gt;Settings!$C$19),"Review benefit ceiling","OK"))))))</x:f>
        <x:v>OK</x:v>
      </x:c>
    </x:row>
    <x:row r="187" ht="23" customHeight="1">
      <x:c r="A187" s="8" t="str">
        <x:v>BE-0179</x:v>
      </x:c>
      <x:c r="B187" s="8" t="str">
        <x:v>Customer Operations</x:v>
      </x:c>
      <x:c r="C187" s="8" t="str">
        <x:v>Antwerp</x:v>
      </x:c>
      <x:c r="D187" s="8" t="str">
        <x:v>Service manager</x:v>
      </x:c>
      <x:c r="E187" s="8" t="str">
        <x:v>G4</x:v>
      </x:c>
      <x:c r="F187" s="20" t="n">
        <x:v>1</x:v>
      </x:c>
      <x:c r="G187" s="12" t="n">
        <x:v>5810</x:v>
      </x:c>
      <x:c r="H187" s="21" t="n">
        <x:v>0.12</x:v>
      </x:c>
      <x:c r="I187" s="20" t="n">
        <x:v>1</x:v>
      </x:c>
      <x:c r="J187" s="20" t="n">
        <x:v>1</x:v>
      </x:c>
      <x:c r="K187" s="20" t="n">
        <x:v>1</x:v>
      </x:c>
      <x:c r="L187" s="12" t="n">
        <x:v>5810</x:v>
      </x:c>
      <x:c r="M187" s="8" t="n">
        <x:v>211</x:v>
      </x:c>
      <x:c r="N187" s="12" t="n">
        <x:v>250</x:v>
      </x:c>
      <x:c r="O187" s="8" t="n">
        <x:v>0</x:v>
      </x:c>
      <x:c r="P187" s="8" t="n">
        <x:v>8</x:v>
      </x:c>
      <x:c r="Q187" s="8" t="n">
        <x:v>4</x:v>
      </x:c>
      <x:c r="R187" s="8" t="n">
        <x:v>12</x:v>
      </x:c>
      <x:c r="S187" s="8" t="n">
        <x:v>0</x:v>
      </x:c>
      <x:c r="T187" s="8" t="n">
        <x:v>1</x:v>
      </x:c>
      <x:c r="U187" s="12" t="n">
        <x:v>0</x:v>
      </x:c>
      <x:c r="V187" s="8" t="n">
        <x:v>10</x:v>
      </x:c>
      <x:c r="W187" s="8" t="n">
        <x:v>230</x:v>
      </x:c>
      <x:c r="X187" s="12" t="n">
        <x:v>118700</x:v>
      </x:c>
      <x:c r="Y187" s="21"/>
      <x:c r="Z187" s="24" t="n">
        <x:f>IF($A187="","",INDEX(Settings!$C$29:$C$33,MATCH(E187,Settings!$A$29:$A$33,0)))</x:f>
        <x:v>5400</x:v>
      </x:c>
      <x:c r="AA187" s="22" t="n">
        <x:f>IF($A187="","",G187/Z187)</x:f>
        <x:v>1.075925925925926</x:v>
      </x:c>
      <x:c r="AB187" s="25" t="n">
        <x:f>IF($A187="","",IF(ISNUMBER(Y187),Y187,Settings!$B$10))</x:f>
        <x:v>0.03</x:v>
      </x:c>
      <x:c r="AC187" s="23" t="n">
        <x:f>IF($A187="","",G187*(1+AB187))</x:f>
        <x:v>5984.3</x:v>
      </x:c>
      <x:c r="AD187" s="23" t="n">
        <x:f>IF($A187="","",G187*F187*12)</x:f>
        <x:v>69720</x:v>
      </x:c>
      <x:c r="AE187" s="23" t="n">
        <x:f>IF($A187="","",G187*F187*J187)</x:f>
        <x:v>5810</x:v>
      </x:c>
      <x:c r="AF187" s="24" t="n">
        <x:f>IF($A187="","",L187*F187*K187*Settings!$B$13)</x:f>
        <x:v>5345.2</x:v>
      </x:c>
      <x:c r="AG187" s="23" t="n">
        <x:f>IF($A187="","",AD187*H187*I187)</x:f>
        <x:v>8366.4</x:v>
      </x:c>
      <x:c r="AH187" s="24" t="n">
        <x:f>IF($A187="","",SUM(AD187:AE187,AG187)*SUM(Settings!$B$11:$B$12))</x:f>
        <x:v>20974.1</x:v>
      </x:c>
      <x:c r="AI187" s="24" t="n">
        <x:f>IF($A187="","",M187*Settings!$B$16)</x:f>
        <x:v>1880.01</x:v>
      </x:c>
      <x:c r="AJ187" s="24" t="n">
        <x:f>IF($A187="","",M187*Settings!$B$15)</x:f>
        <x:v>229.99</x:v>
      </x:c>
      <x:c r="AK187" s="24" t="n">
        <x:f>IF($A187="","",O187*Settings!$B$18)</x:f>
        <x:v>0</x:v>
      </x:c>
      <x:c r="AL187" s="24" t="n">
        <x:f>IF($A187="","",P187*Settings!$B$20+Q187*Settings!$B$21+R187*Settings!$B$22+S187*Settings!$B$23)</x:f>
        <x:v>2184.76</x:v>
      </x:c>
      <x:c r="AM187" s="24" t="n">
        <x:f>IF($A187="","",T187*Settings!$B$24)</x:f>
        <x:v>40</x:v>
      </x:c>
      <x:c r="AN187" s="23" t="n">
        <x:f>IF($A187="","",SUM(AI187,N187,AK187:AM187,U187))</x:f>
        <x:v>4354.77</x:v>
      </x:c>
      <x:c r="AO187" s="23" t="n">
        <x:f>IF($A187="","",SUM(AD187:AI187,N187,AK187:AM187,U187))</x:f>
        <x:v>114570.46999999997</x:v>
      </x:c>
      <x:c r="AP187" s="24" t="n">
        <x:f>IF($A187="","",G187*F187*AB187*((13-Settings!$B$9)*(1+H187*I187)+J187)*(1+SUM(Settings!$B$11:$B$12)))</x:f>
        <x:v>2414.0550000000003</x:v>
      </x:c>
      <x:c r="AQ187" s="23" t="n">
        <x:f>IF($A187="","",SUM(AO187:AP187))</x:f>
        <x:v>116984.52499999997</x:v>
      </x:c>
      <x:c r="AR187" s="23" t="n">
        <x:f>IF($A187="","",AQ187-X187)</x:f>
        <x:v>-1715.475000000035</x:v>
      </x:c>
      <x:c r="AS187" s="22" t="n">
        <x:f>IF($A187="","",IF(W187=0,"n.a.",V187/W187))</x:f>
        <x:v>0.043478260869565216</x:v>
      </x:c>
      <x:c r="AT187" s="26" t="str">
        <x:f>IF($A187="",IF(COUNTA(B187:Y187)&gt;0,"Missing ID",""),IF(COUNTIFS($A$9:$A$508,A187)&gt;1,"Duplicate ID",IF(OR(B187="",C187="",D187="",E187="",COUNT(F187:X187)&lt;&gt;19),"Missing / text input",IF(OR(COUNTIFS(Settings!$A$59:$A$64,B187)&lt;&gt;1,COUNTIFS(Settings!$A$29:$A$33,E187)&lt;&gt;1),"Unknown department / grade",IF(OR(F187&lt;=0,F187&gt;1,G187&lt;=0,L187&lt;=0,H187&lt;0,I187&lt;0,J187&lt;0,K187&lt;0,K187&gt;1,MIN(M187:X187)&lt;0,W187=0,V187&gt;W187,M187&gt;W187-V187,P187&gt;8,Q187&gt;4,R187&gt;12,S187&gt;12,T187&gt;1,AB187&lt;0),"Review quantity / rate",IF(OR(N187&gt;Settings!$C$17,AK187&gt;Settings!$C$19),"Review benefit ceiling","OK"))))))</x:f>
        <x:v>OK</x:v>
      </x:c>
    </x:row>
    <x:row r="188" ht="23" customHeight="1">
      <x:c r="A188" s="8" t="str">
        <x:v>BE-0180</x:v>
      </x:c>
      <x:c r="B188" s="8" t="str">
        <x:v>Business Support</x:v>
      </x:c>
      <x:c r="C188" s="8" t="str">
        <x:v>Ghent</x:v>
      </x:c>
      <x:c r="D188" s="8" t="str">
        <x:v>Head of Support</x:v>
      </x:c>
      <x:c r="E188" s="8" t="str">
        <x:v>G5</x:v>
      </x:c>
      <x:c r="F188" s="20" t="n">
        <x:v>1</x:v>
      </x:c>
      <x:c r="G188" s="12" t="n">
        <x:v>7450</x:v>
      </x:c>
      <x:c r="H188" s="21" t="n">
        <x:v>0.18</x:v>
      </x:c>
      <x:c r="I188" s="20" t="n">
        <x:v>1.1</x:v>
      </x:c>
      <x:c r="J188" s="20" t="n">
        <x:v>1</x:v>
      </x:c>
      <x:c r="K188" s="20" t="n">
        <x:v>1</x:v>
      </x:c>
      <x:c r="L188" s="12" t="n">
        <x:v>7450</x:v>
      </x:c>
      <x:c r="M188" s="8" t="n">
        <x:v>210</x:v>
      </x:c>
      <x:c r="N188" s="12" t="n">
        <x:v>250</x:v>
      </x:c>
      <x:c r="O188" s="8" t="n">
        <x:v>0</x:v>
      </x:c>
      <x:c r="P188" s="8" t="n">
        <x:v>8</x:v>
      </x:c>
      <x:c r="Q188" s="8" t="n">
        <x:v>4</x:v>
      </x:c>
      <x:c r="R188" s="8" t="n">
        <x:v>12</x:v>
      </x:c>
      <x:c r="S188" s="8" t="n">
        <x:v>0</x:v>
      </x:c>
      <x:c r="T188" s="8" t="n">
        <x:v>1</x:v>
      </x:c>
      <x:c r="U188" s="12" t="n">
        <x:v>0</x:v>
      </x:c>
      <x:c r="V188" s="8" t="n">
        <x:v>11</x:v>
      </x:c>
      <x:c r="W188" s="8" t="n">
        <x:v>230</x:v>
      </x:c>
      <x:c r="X188" s="12" t="n">
        <x:v>160000</x:v>
      </x:c>
      <x:c r="Y188" s="21"/>
      <x:c r="Z188" s="24" t="n">
        <x:f>IF($A188="","",INDEX(Settings!$C$29:$C$33,MATCH(E188,Settings!$A$29:$A$33,0)))</x:f>
        <x:v>7500</x:v>
      </x:c>
      <x:c r="AA188" s="22" t="n">
        <x:f>IF($A188="","",G188/Z188)</x:f>
        <x:v>0.9933333333333333</x:v>
      </x:c>
      <x:c r="AB188" s="25" t="n">
        <x:f>IF($A188="","",IF(ISNUMBER(Y188),Y188,Settings!$B$10))</x:f>
        <x:v>0.03</x:v>
      </x:c>
      <x:c r="AC188" s="23" t="n">
        <x:f>IF($A188="","",G188*(1+AB188))</x:f>
        <x:v>7673.5</x:v>
      </x:c>
      <x:c r="AD188" s="23" t="n">
        <x:f>IF($A188="","",G188*F188*12)</x:f>
        <x:v>89400</x:v>
      </x:c>
      <x:c r="AE188" s="23" t="n">
        <x:f>IF($A188="","",G188*F188*J188)</x:f>
        <x:v>7450</x:v>
      </x:c>
      <x:c r="AF188" s="24" t="n">
        <x:f>IF($A188="","",L188*F188*K188*Settings!$B$13)</x:f>
        <x:v>6854</x:v>
      </x:c>
      <x:c r="AG188" s="23" t="n">
        <x:f>IF($A188="","",AD188*H188*I188)</x:f>
        <x:v>17701.2</x:v>
      </x:c>
      <x:c r="AH188" s="24" t="n">
        <x:f>IF($A188="","",SUM(AD188:AE188,AG188)*SUM(Settings!$B$11:$B$12))</x:f>
        <x:v>28637.8</x:v>
      </x:c>
      <x:c r="AI188" s="24" t="n">
        <x:f>IF($A188="","",M188*Settings!$B$16)</x:f>
        <x:v>1871.1000000000001</x:v>
      </x:c>
      <x:c r="AJ188" s="24" t="n">
        <x:f>IF($A188="","",M188*Settings!$B$15)</x:f>
        <x:v>228.9</x:v>
      </x:c>
      <x:c r="AK188" s="24" t="n">
        <x:f>IF($A188="","",O188*Settings!$B$18)</x:f>
        <x:v>0</x:v>
      </x:c>
      <x:c r="AL188" s="24" t="n">
        <x:f>IF($A188="","",P188*Settings!$B$20+Q188*Settings!$B$21+R188*Settings!$B$22+S188*Settings!$B$23)</x:f>
        <x:v>2184.76</x:v>
      </x:c>
      <x:c r="AM188" s="24" t="n">
        <x:f>IF($A188="","",T188*Settings!$B$24)</x:f>
        <x:v>40</x:v>
      </x:c>
      <x:c r="AN188" s="23" t="n">
        <x:f>IF($A188="","",SUM(AI188,N188,AK188:AM188,U188))</x:f>
        <x:v>4345.860000000001</x:v>
      </x:c>
      <x:c r="AO188" s="23" t="n">
        <x:f>IF($A188="","",SUM(AD188:AI188,N188,AK188:AM188,U188))</x:f>
        <x:v>154388.86000000002</x:v>
      </x:c>
      <x:c r="AP188" s="24" t="n">
        <x:f>IF($A188="","",G188*F188*AB188*((13-Settings!$B$9)*(1+H188*I188)+J188)*(1+SUM(Settings!$B$11:$B$12)))</x:f>
        <x:v>3291.59625</x:v>
      </x:c>
      <x:c r="AQ188" s="23" t="n">
        <x:f>IF($A188="","",SUM(AO188:AP188))</x:f>
        <x:v>157680.45625000002</x:v>
      </x:c>
      <x:c r="AR188" s="23" t="n">
        <x:f>IF($A188="","",AQ188-X188)</x:f>
        <x:v>-2319.5437499999825</x:v>
      </x:c>
      <x:c r="AS188" s="22" t="n">
        <x:f>IF($A188="","",IF(W188=0,"n.a.",V188/W188))</x:f>
        <x:v>0.04782608695652174</x:v>
      </x:c>
      <x:c r="AT188" s="26" t="str">
        <x:f>IF($A188="",IF(COUNTA(B188:Y188)&gt;0,"Missing ID",""),IF(COUNTIFS($A$9:$A$508,A188)&gt;1,"Duplicate ID",IF(OR(B188="",C188="",D188="",E188="",COUNT(F188:X188)&lt;&gt;19),"Missing / text input",IF(OR(COUNTIFS(Settings!$A$59:$A$64,B188)&lt;&gt;1,COUNTIFS(Settings!$A$29:$A$33,E188)&lt;&gt;1),"Unknown department / grade",IF(OR(F188&lt;=0,F188&gt;1,G188&lt;=0,L188&lt;=0,H188&lt;0,I188&lt;0,J188&lt;0,K188&lt;0,K188&gt;1,MIN(M188:X188)&lt;0,W188=0,V188&gt;W188,M188&gt;W188-V188,P188&gt;8,Q188&gt;4,R188&gt;12,S188&gt;12,T188&gt;1,AB188&lt;0),"Review quantity / rate",IF(OR(N188&gt;Settings!$C$17,AK188&gt;Settings!$C$19),"Review benefit ceiling","OK"))))))</x:f>
        <x:v>OK</x:v>
      </x:c>
    </x:row>
    <x:row r="189" ht="23" customHeight="1">
      <x:c r="A189" s="8" t="str">
        <x:v>BE-0181</x:v>
      </x:c>
      <x:c r="B189" s="8" t="str">
        <x:v>Finance</x:v>
      </x:c>
      <x:c r="C189" s="8" t="str">
        <x:v>Brussels</x:v>
      </x:c>
      <x:c r="D189" s="8" t="str">
        <x:v>Finance administrator</x:v>
      </x:c>
      <x:c r="E189" s="8" t="str">
        <x:v>G1</x:v>
      </x:c>
      <x:c r="F189" s="20" t="n">
        <x:v>0.6</x:v>
      </x:c>
      <x:c r="G189" s="12" t="n">
        <x:v>2590</x:v>
      </x:c>
      <x:c r="H189" s="21" t="n">
        <x:v>0.03</x:v>
      </x:c>
      <x:c r="I189" s="20" t="n">
        <x:v>0.8</x:v>
      </x:c>
      <x:c r="J189" s="20" t="n">
        <x:v>1</x:v>
      </x:c>
      <x:c r="K189" s="20" t="n">
        <x:v>1</x:v>
      </x:c>
      <x:c r="L189" s="12" t="n">
        <x:v>2590</x:v>
      </x:c>
      <x:c r="M189" s="8" t="n">
        <x:v>123</x:v>
      </x:c>
      <x:c r="N189" s="12" t="n">
        <x:v>150</x:v>
      </x:c>
      <x:c r="O189" s="8" t="n">
        <x:v>1290</x:v>
      </x:c>
      <x:c r="P189" s="8" t="n">
        <x:v>0</x:v>
      </x:c>
      <x:c r="Q189" s="8" t="n">
        <x:v>0</x:v>
      </x:c>
      <x:c r="R189" s="8" t="n">
        <x:v>0</x:v>
      </x:c>
      <x:c r="S189" s="8" t="n">
        <x:v>0</x:v>
      </x:c>
      <x:c r="T189" s="8" t="n">
        <x:v>1</x:v>
      </x:c>
      <x:c r="U189" s="12" t="n">
        <x:v>0</x:v>
      </x:c>
      <x:c r="V189" s="8" t="n">
        <x:v>0</x:v>
      </x:c>
      <x:c r="W189" s="8" t="n">
        <x:v>138</x:v>
      </x:c>
      <x:c r="X189" s="12" t="n">
        <x:v>29200</x:v>
      </x:c>
      <x:c r="Y189" s="21"/>
      <x:c r="Z189" s="24" t="n">
        <x:f>IF($A189="","",INDEX(Settings!$C$29:$C$33,MATCH(E189,Settings!$A$29:$A$33,0)))</x:f>
        <x:v>2700</x:v>
      </x:c>
      <x:c r="AA189" s="22" t="n">
        <x:f>IF($A189="","",G189/Z189)</x:f>
        <x:v>0.9592592592592593</x:v>
      </x:c>
      <x:c r="AB189" s="25" t="n">
        <x:f>IF($A189="","",IF(ISNUMBER(Y189),Y189,Settings!$B$10))</x:f>
        <x:v>0.03</x:v>
      </x:c>
      <x:c r="AC189" s="23" t="n">
        <x:f>IF($A189="","",G189*(1+AB189))</x:f>
        <x:v>2667.7000000000003</x:v>
      </x:c>
      <x:c r="AD189" s="23" t="n">
        <x:f>IF($A189="","",G189*F189*12)</x:f>
        <x:v>18648</x:v>
      </x:c>
      <x:c r="AE189" s="23" t="n">
        <x:f>IF($A189="","",G189*F189*J189)</x:f>
        <x:v>1554</x:v>
      </x:c>
      <x:c r="AF189" s="24" t="n">
        <x:f>IF($A189="","",L189*F189*K189*Settings!$B$13)</x:f>
        <x:v>1429.68</x:v>
      </x:c>
      <x:c r="AG189" s="23" t="n">
        <x:f>IF($A189="","",AD189*H189*I189)</x:f>
        <x:v>447.55199999999996</x:v>
      </x:c>
      <x:c r="AH189" s="24" t="n">
        <x:f>IF($A189="","",SUM(AD189:AE189,AG189)*SUM(Settings!$B$11:$B$12))</x:f>
        <x:v>5162.388</x:v>
      </x:c>
      <x:c r="AI189" s="24" t="n">
        <x:f>IF($A189="","",M189*Settings!$B$16)</x:f>
        <x:v>1095.93</x:v>
      </x:c>
      <x:c r="AJ189" s="24" t="n">
        <x:f>IF($A189="","",M189*Settings!$B$15)</x:f>
        <x:v>134.07000000000002</x:v>
      </x:c>
      <x:c r="AK189" s="24" t="n">
        <x:f>IF($A189="","",O189*Settings!$B$18)</x:f>
        <x:v>477.3</x:v>
      </x:c>
      <x:c r="AL189" s="24" t="n">
        <x:f>IF($A189="","",P189*Settings!$B$20+Q189*Settings!$B$21+R189*Settings!$B$22+S189*Settings!$B$23)</x:f>
        <x:v>0</x:v>
      </x:c>
      <x:c r="AM189" s="24" t="n">
        <x:f>IF($A189="","",T189*Settings!$B$24)</x:f>
        <x:v>40</x:v>
      </x:c>
      <x:c r="AN189" s="23" t="n">
        <x:f>IF($A189="","",SUM(AI189,N189,AK189:AM189,U189))</x:f>
        <x:v>1763.23</x:v>
      </x:c>
      <x:c r="AO189" s="23" t="n">
        <x:f>IF($A189="","",SUM(AD189:AI189,N189,AK189:AM189,U189))</x:f>
        <x:v>29004.85</x:v>
      </x:c>
      <x:c r="AP189" s="24" t="n">
        <x:f>IF($A189="","",G189*F189*AB189*((13-Settings!$B$9)*(1+H189*I189)+J189)*(1+SUM(Settings!$B$11:$B$12)))</x:f>
        <x:v>595.3374</x:v>
      </x:c>
      <x:c r="AQ189" s="23" t="n">
        <x:f>IF($A189="","",SUM(AO189:AP189))</x:f>
        <x:v>29600.1874</x:v>
      </x:c>
      <x:c r="AR189" s="23" t="n">
        <x:f>IF($A189="","",AQ189-X189)</x:f>
        <x:v>400.1873999999989</x:v>
      </x:c>
      <x:c r="AS189" s="22" t="n">
        <x:f>IF($A189="","",IF(W189=0,"n.a.",V189/W189))</x:f>
        <x:v>0</x:v>
      </x:c>
      <x:c r="AT189" s="26" t="str">
        <x:f>IF($A189="",IF(COUNTA(B189:Y189)&gt;0,"Missing ID",""),IF(COUNTIFS($A$9:$A$508,A189)&gt;1,"Duplicate ID",IF(OR(B189="",C189="",D189="",E189="",COUNT(F189:X189)&lt;&gt;19),"Missing / text input",IF(OR(COUNTIFS(Settings!$A$59:$A$64,B189)&lt;&gt;1,COUNTIFS(Settings!$A$29:$A$33,E189)&lt;&gt;1),"Unknown department / grade",IF(OR(F189&lt;=0,F189&gt;1,G189&lt;=0,L189&lt;=0,H189&lt;0,I189&lt;0,J189&lt;0,K189&lt;0,K189&gt;1,MIN(M189:X189)&lt;0,W189=0,V189&gt;W189,M189&gt;W189-V189,P189&gt;8,Q189&gt;4,R189&gt;12,S189&gt;12,T189&gt;1,AB189&lt;0),"Review quantity / rate",IF(OR(N189&gt;Settings!$C$17,AK189&gt;Settings!$C$19),"Review benefit ceiling","OK"))))))</x:f>
        <x:v>OK</x:v>
      </x:c>
    </x:row>
    <x:row r="190" ht="23" customHeight="1">
      <x:c r="A190" s="8" t="str">
        <x:v>BE-0182</x:v>
      </x:c>
      <x:c r="B190" s="8" t="str">
        <x:v>People &amp; Culture</x:v>
      </x:c>
      <x:c r="C190" s="8" t="str">
        <x:v>Antwerp</x:v>
      </x:c>
      <x:c r="D190" s="8" t="str">
        <x:v>HR administrator</x:v>
      </x:c>
      <x:c r="E190" s="8" t="str">
        <x:v>G1</x:v>
      </x:c>
      <x:c r="F190" s="20" t="n">
        <x:v>1</x:v>
      </x:c>
      <x:c r="G190" s="12" t="n">
        <x:v>2510</x:v>
      </x:c>
      <x:c r="H190" s="21" t="n">
        <x:v>0.03</x:v>
      </x:c>
      <x:c r="I190" s="20" t="n">
        <x:v>1</x:v>
      </x:c>
      <x:c r="J190" s="20" t="n">
        <x:v>1</x:v>
      </x:c>
      <x:c r="K190" s="20" t="n">
        <x:v>1</x:v>
      </x:c>
      <x:c r="L190" s="12" t="n">
        <x:v>2510</x:v>
      </x:c>
      <x:c r="M190" s="8" t="n">
        <x:v>208</x:v>
      </x:c>
      <x:c r="N190" s="12" t="n">
        <x:v>250</x:v>
      </x:c>
      <x:c r="O190" s="8" t="n">
        <x:v>0</x:v>
      </x:c>
      <x:c r="P190" s="8" t="n">
        <x:v>8</x:v>
      </x:c>
      <x:c r="Q190" s="8" t="n">
        <x:v>4</x:v>
      </x:c>
      <x:c r="R190" s="8" t="n">
        <x:v>12</x:v>
      </x:c>
      <x:c r="S190" s="8" t="n">
        <x:v>0</x:v>
      </x:c>
      <x:c r="T190" s="8" t="n">
        <x:v>1</x:v>
      </x:c>
      <x:c r="U190" s="12" t="n">
        <x:v>0</x:v>
      </x:c>
      <x:c r="V190" s="8" t="n">
        <x:v>1</x:v>
      </x:c>
      <x:c r="W190" s="8" t="n">
        <x:v>230</x:v>
      </x:c>
      <x:c r="X190" s="12" t="n">
        <x:v>50300</x:v>
      </x:c>
      <x:c r="Y190" s="21"/>
      <x:c r="Z190" s="24" t="n">
        <x:f>IF($A190="","",INDEX(Settings!$C$29:$C$33,MATCH(E190,Settings!$A$29:$A$33,0)))</x:f>
        <x:v>2700</x:v>
      </x:c>
      <x:c r="AA190" s="22" t="n">
        <x:f>IF($A190="","",G190/Z190)</x:f>
        <x:v>0.9296296296296296</x:v>
      </x:c>
      <x:c r="AB190" s="25" t="n">
        <x:f>IF($A190="","",IF(ISNUMBER(Y190),Y190,Settings!$B$10))</x:f>
        <x:v>0.03</x:v>
      </x:c>
      <x:c r="AC190" s="23" t="n">
        <x:f>IF($A190="","",G190*(1+AB190))</x:f>
        <x:v>2585.3</x:v>
      </x:c>
      <x:c r="AD190" s="23" t="n">
        <x:f>IF($A190="","",G190*F190*12)</x:f>
        <x:v>30120</x:v>
      </x:c>
      <x:c r="AE190" s="23" t="n">
        <x:f>IF($A190="","",G190*F190*J190)</x:f>
        <x:v>2510</x:v>
      </x:c>
      <x:c r="AF190" s="24" t="n">
        <x:f>IF($A190="","",L190*F190*K190*Settings!$B$13)</x:f>
        <x:v>2309.2000000000003</x:v>
      </x:c>
      <x:c r="AG190" s="23" t="n">
        <x:f>IF($A190="","",AD190*H190*I190)</x:f>
        <x:v>903.6</x:v>
      </x:c>
      <x:c r="AH190" s="24" t="n">
        <x:f>IF($A190="","",SUM(AD190:AE190,AG190)*SUM(Settings!$B$11:$B$12))</x:f>
        <x:v>8383.4</x:v>
      </x:c>
      <x:c r="AI190" s="24" t="n">
        <x:f>IF($A190="","",M190*Settings!$B$16)</x:f>
        <x:v>1853.28</x:v>
      </x:c>
      <x:c r="AJ190" s="24" t="n">
        <x:f>IF($A190="","",M190*Settings!$B$15)</x:f>
        <x:v>226.72000000000003</x:v>
      </x:c>
      <x:c r="AK190" s="24" t="n">
        <x:f>IF($A190="","",O190*Settings!$B$18)</x:f>
        <x:v>0</x:v>
      </x:c>
      <x:c r="AL190" s="24" t="n">
        <x:f>IF($A190="","",P190*Settings!$B$20+Q190*Settings!$B$21+R190*Settings!$B$22+S190*Settings!$B$23)</x:f>
        <x:v>2184.76</x:v>
      </x:c>
      <x:c r="AM190" s="24" t="n">
        <x:f>IF($A190="","",T190*Settings!$B$24)</x:f>
        <x:v>40</x:v>
      </x:c>
      <x:c r="AN190" s="23" t="n">
        <x:f>IF($A190="","",SUM(AI190,N190,AK190:AM190,U190))</x:f>
        <x:v>4328.04</x:v>
      </x:c>
      <x:c r="AO190" s="23" t="n">
        <x:f>IF($A190="","",SUM(AD190:AI190,N190,AK190:AM190,U190))</x:f>
        <x:v>48554.24</x:v>
      </x:c>
      <x:c r="AP190" s="24" t="n">
        <x:f>IF($A190="","",G190*F190*AB190*((13-Settings!$B$9)*(1+H190*I190)+J190)*(1+SUM(Settings!$B$11:$B$12)))</x:f>
        <x:v>966.6637499999999</x:v>
      </x:c>
      <x:c r="AQ190" s="23" t="n">
        <x:f>IF($A190="","",SUM(AO190:AP190))</x:f>
        <x:v>49520.90375</x:v>
      </x:c>
      <x:c r="AR190" s="23" t="n">
        <x:f>IF($A190="","",AQ190-X190)</x:f>
        <x:v>-779.0962500000023</x:v>
      </x:c>
      <x:c r="AS190" s="22" t="n">
        <x:f>IF($A190="","",IF(W190=0,"n.a.",V190/W190))</x:f>
        <x:v>0.004347826086956522</x:v>
      </x:c>
      <x:c r="AT190" s="26" t="str">
        <x:f>IF($A190="",IF(COUNTA(B190:Y190)&gt;0,"Missing ID",""),IF(COUNTIFS($A$9:$A$508,A190)&gt;1,"Duplicate ID",IF(OR(B190="",C190="",D190="",E190="",COUNT(F190:X190)&lt;&gt;19),"Missing / text input",IF(OR(COUNTIFS(Settings!$A$59:$A$64,B190)&lt;&gt;1,COUNTIFS(Settings!$A$29:$A$33,E190)&lt;&gt;1),"Unknown department / grade",IF(OR(F190&lt;=0,F190&gt;1,G190&lt;=0,L190&lt;=0,H190&lt;0,I190&lt;0,J190&lt;0,K190&lt;0,K190&gt;1,MIN(M190:X190)&lt;0,W190=0,V190&gt;W190,M190&gt;W190-V190,P190&gt;8,Q190&gt;4,R190&gt;12,S190&gt;12,T190&gt;1,AB190&lt;0),"Review quantity / rate",IF(OR(N190&gt;Settings!$C$17,AK190&gt;Settings!$C$19),"Review benefit ceiling","OK"))))))</x:f>
        <x:v>OK</x:v>
      </x:c>
    </x:row>
    <x:row r="191" ht="23" customHeight="1">
      <x:c r="A191" s="8" t="str">
        <x:v>BE-0183</x:v>
      </x:c>
      <x:c r="B191" s="8" t="str">
        <x:v>Technology</x:v>
      </x:c>
      <x:c r="C191" s="8" t="str">
        <x:v>Ghent</x:v>
      </x:c>
      <x:c r="D191" s="8" t="str">
        <x:v>IT coordinator</x:v>
      </x:c>
      <x:c r="E191" s="8" t="str">
        <x:v>G1</x:v>
      </x:c>
      <x:c r="F191" s="20" t="n">
        <x:v>0.8</x:v>
      </x:c>
      <x:c r="G191" s="12" t="n">
        <x:v>2810</x:v>
      </x:c>
      <x:c r="H191" s="21" t="n">
        <x:v>0.03</x:v>
      </x:c>
      <x:c r="I191" s="20" t="n">
        <x:v>1.1</x:v>
      </x:c>
      <x:c r="J191" s="20" t="n">
        <x:v>1</x:v>
      </x:c>
      <x:c r="K191" s="20" t="n">
        <x:v>1</x:v>
      </x:c>
      <x:c r="L191" s="12" t="n">
        <x:v>2810</x:v>
      </x:c>
      <x:c r="M191" s="8" t="n">
        <x:v>171</x:v>
      </x:c>
      <x:c r="N191" s="12" t="n">
        <x:v>200</x:v>
      </x:c>
      <x:c r="O191" s="8" t="n">
        <x:v>0</x:v>
      </x:c>
      <x:c r="P191" s="8" t="n">
        <x:v>8</x:v>
      </x:c>
      <x:c r="Q191" s="8" t="n">
        <x:v>4</x:v>
      </x:c>
      <x:c r="R191" s="8" t="n">
        <x:v>12</x:v>
      </x:c>
      <x:c r="S191" s="8" t="n">
        <x:v>0</x:v>
      </x:c>
      <x:c r="T191" s="8" t="n">
        <x:v>1</x:v>
      </x:c>
      <x:c r="U191" s="12" t="n">
        <x:v>0</x:v>
      </x:c>
      <x:c r="V191" s="8" t="n">
        <x:v>2</x:v>
      </x:c>
      <x:c r="W191" s="8" t="n">
        <x:v>184</x:v>
      </x:c>
      <x:c r="X191" s="12" t="n">
        <x:v>45200</x:v>
      </x:c>
      <x:c r="Y191" s="21"/>
      <x:c r="Z191" s="24" t="n">
        <x:f>IF($A191="","",INDEX(Settings!$C$29:$C$33,MATCH(E191,Settings!$A$29:$A$33,0)))</x:f>
        <x:v>2700</x:v>
      </x:c>
      <x:c r="AA191" s="22" t="n">
        <x:f>IF($A191="","",G191/Z191)</x:f>
        <x:v>1.0407407407407407</x:v>
      </x:c>
      <x:c r="AB191" s="25" t="n">
        <x:f>IF($A191="","",IF(ISNUMBER(Y191),Y191,Settings!$B$10))</x:f>
        <x:v>0.03</x:v>
      </x:c>
      <x:c r="AC191" s="23" t="n">
        <x:f>IF($A191="","",G191*(1+AB191))</x:f>
        <x:v>2894.3</x:v>
      </x:c>
      <x:c r="AD191" s="23" t="n">
        <x:f>IF($A191="","",G191*F191*12)</x:f>
        <x:v>26976</x:v>
      </x:c>
      <x:c r="AE191" s="23" t="n">
        <x:f>IF($A191="","",G191*F191*J191)</x:f>
        <x:v>2248</x:v>
      </x:c>
      <x:c r="AF191" s="24" t="n">
        <x:f>IF($A191="","",L191*F191*K191*Settings!$B$13)</x:f>
        <x:v>2068.1600000000003</x:v>
      </x:c>
      <x:c r="AG191" s="23" t="n">
        <x:f>IF($A191="","",AD191*H191*I191)</x:f>
        <x:v>890.2080000000001</x:v>
      </x:c>
      <x:c r="AH191" s="24" t="n">
        <x:f>IF($A191="","",SUM(AD191:AE191,AG191)*SUM(Settings!$B$11:$B$12))</x:f>
        <x:v>7528.552</x:v>
      </x:c>
      <x:c r="AI191" s="24" t="n">
        <x:f>IF($A191="","",M191*Settings!$B$16)</x:f>
        <x:v>1523.6100000000001</x:v>
      </x:c>
      <x:c r="AJ191" s="24" t="n">
        <x:f>IF($A191="","",M191*Settings!$B$15)</x:f>
        <x:v>186.39000000000001</x:v>
      </x:c>
      <x:c r="AK191" s="24" t="n">
        <x:f>IF($A191="","",O191*Settings!$B$18)</x:f>
        <x:v>0</x:v>
      </x:c>
      <x:c r="AL191" s="24" t="n">
        <x:f>IF($A191="","",P191*Settings!$B$20+Q191*Settings!$B$21+R191*Settings!$B$22+S191*Settings!$B$23)</x:f>
        <x:v>2184.76</x:v>
      </x:c>
      <x:c r="AM191" s="24" t="n">
        <x:f>IF($A191="","",T191*Settings!$B$24)</x:f>
        <x:v>40</x:v>
      </x:c>
      <x:c r="AN191" s="23" t="n">
        <x:f>IF($A191="","",SUM(AI191,N191,AK191:AM191,U191))</x:f>
        <x:v>3948.3700000000003</x:v>
      </x:c>
      <x:c r="AO191" s="23" t="n">
        <x:f>IF($A191="","",SUM(AD191:AI191,N191,AK191:AM191,U191))</x:f>
        <x:v>43659.29</x:v>
      </x:c>
      <x:c r="AP191" s="24" t="n">
        <x:f>IF($A191="","",G191*F191*AB191*((13-Settings!$B$9)*(1+H191*I191)+J191)*(1+SUM(Settings!$B$11:$B$12)))</x:f>
        <x:v>868.0370999999998</x:v>
      </x:c>
      <x:c r="AQ191" s="23" t="n">
        <x:f>IF($A191="","",SUM(AO191:AP191))</x:f>
        <x:v>44527.3271</x:v>
      </x:c>
      <x:c r="AR191" s="23" t="n">
        <x:f>IF($A191="","",AQ191-X191)</x:f>
        <x:v>-672.6728999999978</x:v>
      </x:c>
      <x:c r="AS191" s="22" t="n">
        <x:f>IF($A191="","",IF(W191=0,"n.a.",V191/W191))</x:f>
        <x:v>0.010869565217391304</x:v>
      </x:c>
      <x:c r="AT191" s="26" t="str">
        <x:f>IF($A191="",IF(COUNTA(B191:Y191)&gt;0,"Missing ID",""),IF(COUNTIFS($A$9:$A$508,A191)&gt;1,"Duplicate ID",IF(OR(B191="",C191="",D191="",E191="",COUNT(F191:X191)&lt;&gt;19),"Missing / text input",IF(OR(COUNTIFS(Settings!$A$59:$A$64,B191)&lt;&gt;1,COUNTIFS(Settings!$A$29:$A$33,E191)&lt;&gt;1),"Unknown department / grade",IF(OR(F191&lt;=0,F191&gt;1,G191&lt;=0,L191&lt;=0,H191&lt;0,I191&lt;0,J191&lt;0,K191&lt;0,K191&gt;1,MIN(M191:X191)&lt;0,W191=0,V191&gt;W191,M191&gt;W191-V191,P191&gt;8,Q191&gt;4,R191&gt;12,S191&gt;12,T191&gt;1,AB191&lt;0),"Review quantity / rate",IF(OR(N191&gt;Settings!$C$17,AK191&gt;Settings!$C$19),"Review benefit ceiling","OK"))))))</x:f>
        <x:v>OK</x:v>
      </x:c>
    </x:row>
    <x:row r="192" ht="23" customHeight="1">
      <x:c r="A192" s="8" t="str">
        <x:v>BE-0184</x:v>
      </x:c>
      <x:c r="B192" s="8" t="str">
        <x:v>Sales</x:v>
      </x:c>
      <x:c r="C192" s="8" t="str">
        <x:v>Brussels</x:v>
      </x:c>
      <x:c r="D192" s="8" t="str">
        <x:v>Sales coordinator</x:v>
      </x:c>
      <x:c r="E192" s="8" t="str">
        <x:v>G1</x:v>
      </x:c>
      <x:c r="F192" s="20" t="n">
        <x:v>1</x:v>
      </x:c>
      <x:c r="G192" s="12" t="n">
        <x:v>2480</x:v>
      </x:c>
      <x:c r="H192" s="21" t="n">
        <x:v>0.03</x:v>
      </x:c>
      <x:c r="I192" s="20" t="n">
        <x:v>0.8</x:v>
      </x:c>
      <x:c r="J192" s="20" t="n">
        <x:v>1</x:v>
      </x:c>
      <x:c r="K192" s="20" t="n">
        <x:v>1</x:v>
      </x:c>
      <x:c r="L192" s="12" t="n">
        <x:v>2480</x:v>
      </x:c>
      <x:c r="M192" s="8" t="n">
        <x:v>213</x:v>
      </x:c>
      <x:c r="N192" s="12" t="n">
        <x:v>250</x:v>
      </x:c>
      <x:c r="O192" s="8" t="n">
        <x:v>1620</x:v>
      </x:c>
      <x:c r="P192" s="8" t="n">
        <x:v>8</x:v>
      </x:c>
      <x:c r="Q192" s="8" t="n">
        <x:v>4</x:v>
      </x:c>
      <x:c r="R192" s="8" t="n">
        <x:v>12</x:v>
      </x:c>
      <x:c r="S192" s="8" t="n">
        <x:v>0</x:v>
      </x:c>
      <x:c r="T192" s="8" t="n">
        <x:v>1</x:v>
      </x:c>
      <x:c r="U192" s="12" t="n">
        <x:v>0</x:v>
      </x:c>
      <x:c r="V192" s="8" t="n">
        <x:v>3</x:v>
      </x:c>
      <x:c r="W192" s="8" t="n">
        <x:v>230</x:v>
      </x:c>
      <x:c r="X192" s="12" t="n">
        <x:v>50100</x:v>
      </x:c>
      <x:c r="Y192" s="21"/>
      <x:c r="Z192" s="24" t="n">
        <x:f>IF($A192="","",INDEX(Settings!$C$29:$C$33,MATCH(E192,Settings!$A$29:$A$33,0)))</x:f>
        <x:v>2700</x:v>
      </x:c>
      <x:c r="AA192" s="22" t="n">
        <x:f>IF($A192="","",G192/Z192)</x:f>
        <x:v>0.9185185185185185</x:v>
      </x:c>
      <x:c r="AB192" s="25" t="n">
        <x:f>IF($A192="","",IF(ISNUMBER(Y192),Y192,Settings!$B$10))</x:f>
        <x:v>0.03</x:v>
      </x:c>
      <x:c r="AC192" s="23" t="n">
        <x:f>IF($A192="","",G192*(1+AB192))</x:f>
        <x:v>2554.4</x:v>
      </x:c>
      <x:c r="AD192" s="23" t="n">
        <x:f>IF($A192="","",G192*F192*12)</x:f>
        <x:v>29760</x:v>
      </x:c>
      <x:c r="AE192" s="23" t="n">
        <x:f>IF($A192="","",G192*F192*J192)</x:f>
        <x:v>2480</x:v>
      </x:c>
      <x:c r="AF192" s="24" t="n">
        <x:f>IF($A192="","",L192*F192*K192*Settings!$B$13)</x:f>
        <x:v>2281.6</x:v>
      </x:c>
      <x:c r="AG192" s="23" t="n">
        <x:f>IF($A192="","",AD192*H192*I192)</x:f>
        <x:v>714.24</x:v>
      </x:c>
      <x:c r="AH192" s="24" t="n">
        <x:f>IF($A192="","",SUM(AD192:AE192,AG192)*SUM(Settings!$B$11:$B$12))</x:f>
        <x:v>8238.56</x:v>
      </x:c>
      <x:c r="AI192" s="24" t="n">
        <x:f>IF($A192="","",M192*Settings!$B$16)</x:f>
        <x:v>1897.83</x:v>
      </x:c>
      <x:c r="AJ192" s="24" t="n">
        <x:f>IF($A192="","",M192*Settings!$B$15)</x:f>
        <x:v>232.17000000000002</x:v>
      </x:c>
      <x:c r="AK192" s="24" t="n">
        <x:f>IF($A192="","",O192*Settings!$B$18)</x:f>
        <x:v>599.4</x:v>
      </x:c>
      <x:c r="AL192" s="24" t="n">
        <x:f>IF($A192="","",P192*Settings!$B$20+Q192*Settings!$B$21+R192*Settings!$B$22+S192*Settings!$B$23)</x:f>
        <x:v>2184.76</x:v>
      </x:c>
      <x:c r="AM192" s="24" t="n">
        <x:f>IF($A192="","",T192*Settings!$B$24)</x:f>
        <x:v>40</x:v>
      </x:c>
      <x:c r="AN192" s="23" t="n">
        <x:f>IF($A192="","",SUM(AI192,N192,AK192:AM192,U192))</x:f>
        <x:v>4971.99</x:v>
      </x:c>
      <x:c r="AO192" s="23" t="n">
        <x:f>IF($A192="","",SUM(AD192:AI192,N192,AK192:AM192,U192))</x:f>
        <x:v>48446.39</x:v>
      </x:c>
      <x:c r="AP192" s="24" t="n">
        <x:f>IF($A192="","",G192*F192*AB192*((13-Settings!$B$9)*(1+H192*I192)+J192)*(1+SUM(Settings!$B$11:$B$12)))</x:f>
        <x:v>950.088</x:v>
      </x:c>
      <x:c r="AQ192" s="23" t="n">
        <x:f>IF($A192="","",SUM(AO192:AP192))</x:f>
        <x:v>49396.478</x:v>
      </x:c>
      <x:c r="AR192" s="23" t="n">
        <x:f>IF($A192="","",AQ192-X192)</x:f>
        <x:v>-703.5219999999972</x:v>
      </x:c>
      <x:c r="AS192" s="22" t="n">
        <x:f>IF($A192="","",IF(W192=0,"n.a.",V192/W192))</x:f>
        <x:v>0.013043478260869565</x:v>
      </x:c>
      <x:c r="AT192" s="26" t="str">
        <x:f>IF($A192="",IF(COUNTA(B192:Y192)&gt;0,"Missing ID",""),IF(COUNTIFS($A$9:$A$508,A192)&gt;1,"Duplicate ID",IF(OR(B192="",C192="",D192="",E192="",COUNT(F192:X192)&lt;&gt;19),"Missing / text input",IF(OR(COUNTIFS(Settings!$A$59:$A$64,B192)&lt;&gt;1,COUNTIFS(Settings!$A$29:$A$33,E192)&lt;&gt;1),"Unknown department / grade",IF(OR(F192&lt;=0,F192&gt;1,G192&lt;=0,L192&lt;=0,H192&lt;0,I192&lt;0,J192&lt;0,K192&lt;0,K192&gt;1,MIN(M192:X192)&lt;0,W192=0,V192&gt;W192,M192&gt;W192-V192,P192&gt;8,Q192&gt;4,R192&gt;12,S192&gt;12,T192&gt;1,AB192&lt;0),"Review quantity / rate",IF(OR(N192&gt;Settings!$C$17,AK192&gt;Settings!$C$19),"Review benefit ceiling","OK"))))))</x:f>
        <x:v>OK</x:v>
      </x:c>
    </x:row>
    <x:row r="193" ht="23" customHeight="1">
      <x:c r="A193" s="8" t="str">
        <x:v>BE-0185</x:v>
      </x:c>
      <x:c r="B193" s="8" t="str">
        <x:v>Customer Operations</x:v>
      </x:c>
      <x:c r="C193" s="8" t="str">
        <x:v>Antwerp</x:v>
      </x:c>
      <x:c r="D193" s="8" t="str">
        <x:v>Service administrator</x:v>
      </x:c>
      <x:c r="E193" s="8" t="str">
        <x:v>G1</x:v>
      </x:c>
      <x:c r="F193" s="20" t="n">
        <x:v>1</x:v>
      </x:c>
      <x:c r="G193" s="12" t="n">
        <x:v>2890</x:v>
      </x:c>
      <x:c r="H193" s="21" t="n">
        <x:v>0.03</x:v>
      </x:c>
      <x:c r="I193" s="20" t="n">
        <x:v>1</x:v>
      </x:c>
      <x:c r="J193" s="20" t="n">
        <x:v>1</x:v>
      </x:c>
      <x:c r="K193" s="20" t="n">
        <x:v>1</x:v>
      </x:c>
      <x:c r="L193" s="12" t="n">
        <x:v>2890</x:v>
      </x:c>
      <x:c r="M193" s="8" t="n">
        <x:v>212</x:v>
      </x:c>
      <x:c r="N193" s="12" t="n">
        <x:v>250</x:v>
      </x:c>
      <x:c r="O193" s="8" t="n">
        <x:v>0</x:v>
      </x:c>
      <x:c r="P193" s="8" t="n">
        <x:v>0</x:v>
      </x:c>
      <x:c r="Q193" s="8" t="n">
        <x:v>0</x:v>
      </x:c>
      <x:c r="R193" s="8" t="n">
        <x:v>0</x:v>
      </x:c>
      <x:c r="S193" s="8" t="n">
        <x:v>0</x:v>
      </x:c>
      <x:c r="T193" s="8" t="n">
        <x:v>1</x:v>
      </x:c>
      <x:c r="U193" s="12" t="n">
        <x:v>0</x:v>
      </x:c>
      <x:c r="V193" s="8" t="n">
        <x:v>4</x:v>
      </x:c>
      <x:c r="W193" s="8" t="n">
        <x:v>230</x:v>
      </x:c>
      <x:c r="X193" s="12" t="n">
        <x:v>55000</x:v>
      </x:c>
      <x:c r="Y193" s="21"/>
      <x:c r="Z193" s="24" t="n">
        <x:f>IF($A193="","",INDEX(Settings!$C$29:$C$33,MATCH(E193,Settings!$A$29:$A$33,0)))</x:f>
        <x:v>2700</x:v>
      </x:c>
      <x:c r="AA193" s="22" t="n">
        <x:f>IF($A193="","",G193/Z193)</x:f>
        <x:v>1.0703703703703704</x:v>
      </x:c>
      <x:c r="AB193" s="25" t="n">
        <x:f>IF($A193="","",IF(ISNUMBER(Y193),Y193,Settings!$B$10))</x:f>
        <x:v>0.03</x:v>
      </x:c>
      <x:c r="AC193" s="23" t="n">
        <x:f>IF($A193="","",G193*(1+AB193))</x:f>
        <x:v>2976.7000000000003</x:v>
      </x:c>
      <x:c r="AD193" s="23" t="n">
        <x:f>IF($A193="","",G193*F193*12)</x:f>
        <x:v>34680</x:v>
      </x:c>
      <x:c r="AE193" s="23" t="n">
        <x:f>IF($A193="","",G193*F193*J193)</x:f>
        <x:v>2890</x:v>
      </x:c>
      <x:c r="AF193" s="24" t="n">
        <x:f>IF($A193="","",L193*F193*K193*Settings!$B$13)</x:f>
        <x:v>2658.8</x:v>
      </x:c>
      <x:c r="AG193" s="23" t="n">
        <x:f>IF($A193="","",AD193*H193*I193)</x:f>
        <x:v>1040.3999999999999</x:v>
      </x:c>
      <x:c r="AH193" s="24" t="n">
        <x:f>IF($A193="","",SUM(AD193:AE193,AG193)*SUM(Settings!$B$11:$B$12))</x:f>
        <x:v>9652.6</x:v>
      </x:c>
      <x:c r="AI193" s="24" t="n">
        <x:f>IF($A193="","",M193*Settings!$B$16)</x:f>
        <x:v>1888.92</x:v>
      </x:c>
      <x:c r="AJ193" s="24" t="n">
        <x:f>IF($A193="","",M193*Settings!$B$15)</x:f>
        <x:v>231.08</x:v>
      </x:c>
      <x:c r="AK193" s="24" t="n">
        <x:f>IF($A193="","",O193*Settings!$B$18)</x:f>
        <x:v>0</x:v>
      </x:c>
      <x:c r="AL193" s="24" t="n">
        <x:f>IF($A193="","",P193*Settings!$B$20+Q193*Settings!$B$21+R193*Settings!$B$22+S193*Settings!$B$23)</x:f>
        <x:v>0</x:v>
      </x:c>
      <x:c r="AM193" s="24" t="n">
        <x:f>IF($A193="","",T193*Settings!$B$24)</x:f>
        <x:v>40</x:v>
      </x:c>
      <x:c r="AN193" s="23" t="n">
        <x:f>IF($A193="","",SUM(AI193,N193,AK193:AM193,U193))</x:f>
        <x:v>2178.92</x:v>
      </x:c>
      <x:c r="AO193" s="23" t="n">
        <x:f>IF($A193="","",SUM(AD193:AI193,N193,AK193:AM193,U193))</x:f>
        <x:v>53100.72</x:v>
      </x:c>
      <x:c r="AP193" s="24" t="n">
        <x:f>IF($A193="","",G193*F193*AB193*((13-Settings!$B$9)*(1+H193*I193)+J193)*(1+SUM(Settings!$B$11:$B$12)))</x:f>
        <x:v>1113.01125</x:v>
      </x:c>
      <x:c r="AQ193" s="23" t="n">
        <x:f>IF($A193="","",SUM(AO193:AP193))</x:f>
        <x:v>54213.731250000004</x:v>
      </x:c>
      <x:c r="AR193" s="23" t="n">
        <x:f>IF($A193="","",AQ193-X193)</x:f>
        <x:v>-786.2687499999956</x:v>
      </x:c>
      <x:c r="AS193" s="22" t="n">
        <x:f>IF($A193="","",IF(W193=0,"n.a.",V193/W193))</x:f>
        <x:v>0.017391304347826087</x:v>
      </x:c>
      <x:c r="AT193" s="26" t="str">
        <x:f>IF($A193="",IF(COUNTA(B193:Y193)&gt;0,"Missing ID",""),IF(COUNTIFS($A$9:$A$508,A193)&gt;1,"Duplicate ID",IF(OR(B193="",C193="",D193="",E193="",COUNT(F193:X193)&lt;&gt;19),"Missing / text input",IF(OR(COUNTIFS(Settings!$A$59:$A$64,B193)&lt;&gt;1,COUNTIFS(Settings!$A$29:$A$33,E193)&lt;&gt;1),"Unknown department / grade",IF(OR(F193&lt;=0,F193&gt;1,G193&lt;=0,L193&lt;=0,H193&lt;0,I193&lt;0,J193&lt;0,K193&lt;0,K193&gt;1,MIN(M193:X193)&lt;0,W193=0,V193&gt;W193,M193&gt;W193-V193,P193&gt;8,Q193&gt;4,R193&gt;12,S193&gt;12,T193&gt;1,AB193&lt;0),"Review quantity / rate",IF(OR(N193&gt;Settings!$C$17,AK193&gt;Settings!$C$19),"Review benefit ceiling","OK"))))))</x:f>
        <x:v>OK</x:v>
      </x:c>
    </x:row>
    <x:row r="194" ht="23" customHeight="1">
      <x:c r="A194" s="8" t="str">
        <x:v>BE-0186</x:v>
      </x:c>
      <x:c r="B194" s="8" t="str">
        <x:v>Business Support</x:v>
      </x:c>
      <x:c r="C194" s="8" t="str">
        <x:v>Ghent</x:v>
      </x:c>
      <x:c r="D194" s="8" t="str">
        <x:v>Business specialist</x:v>
      </x:c>
      <x:c r="E194" s="8" t="str">
        <x:v>G2</x:v>
      </x:c>
      <x:c r="F194" s="20" t="n">
        <x:v>1</x:v>
      </x:c>
      <x:c r="G194" s="12" t="n">
        <x:v>3460</x:v>
      </x:c>
      <x:c r="H194" s="21" t="n">
        <x:v>0.05</x:v>
      </x:c>
      <x:c r="I194" s="20" t="n">
        <x:v>1.1</x:v>
      </x:c>
      <x:c r="J194" s="20" t="n">
        <x:v>1</x:v>
      </x:c>
      <x:c r="K194" s="20" t="n">
        <x:v>1</x:v>
      </x:c>
      <x:c r="L194" s="12" t="n">
        <x:v>3460</x:v>
      </x:c>
      <x:c r="M194" s="8" t="n">
        <x:v>211</x:v>
      </x:c>
      <x:c r="N194" s="12" t="n">
        <x:v>250</x:v>
      </x:c>
      <x:c r="O194" s="8" t="n">
        <x:v>0</x:v>
      </x:c>
      <x:c r="P194" s="8" t="n">
        <x:v>8</x:v>
      </x:c>
      <x:c r="Q194" s="8" t="n">
        <x:v>4</x:v>
      </x:c>
      <x:c r="R194" s="8" t="n">
        <x:v>12</x:v>
      </x:c>
      <x:c r="S194" s="8" t="n">
        <x:v>12</x:v>
      </x:c>
      <x:c r="T194" s="8" t="n">
        <x:v>1</x:v>
      </x:c>
      <x:c r="U194" s="12" t="n">
        <x:v>0</x:v>
      </x:c>
      <x:c r="V194" s="8" t="n">
        <x:v>5</x:v>
      </x:c>
      <x:c r="W194" s="8" t="n">
        <x:v>230</x:v>
      </x:c>
      <x:c r="X194" s="12" t="n">
        <x:v>67200</x:v>
      </x:c>
      <x:c r="Y194" s="21"/>
      <x:c r="Z194" s="24" t="n">
        <x:f>IF($A194="","",INDEX(Settings!$C$29:$C$33,MATCH(E194,Settings!$A$29:$A$33,0)))</x:f>
        <x:v>3300</x:v>
      </x:c>
      <x:c r="AA194" s="22" t="n">
        <x:f>IF($A194="","",G194/Z194)</x:f>
        <x:v>1.0484848484848486</x:v>
      </x:c>
      <x:c r="AB194" s="25" t="n">
        <x:f>IF($A194="","",IF(ISNUMBER(Y194),Y194,Settings!$B$10))</x:f>
        <x:v>0.03</x:v>
      </x:c>
      <x:c r="AC194" s="23" t="n">
        <x:f>IF($A194="","",G194*(1+AB194))</x:f>
        <x:v>3563.8</x:v>
      </x:c>
      <x:c r="AD194" s="23" t="n">
        <x:f>IF($A194="","",G194*F194*12)</x:f>
        <x:v>41520</x:v>
      </x:c>
      <x:c r="AE194" s="23" t="n">
        <x:f>IF($A194="","",G194*F194*J194)</x:f>
        <x:v>3460</x:v>
      </x:c>
      <x:c r="AF194" s="24" t="n">
        <x:f>IF($A194="","",L194*F194*K194*Settings!$B$13)</x:f>
        <x:v>3183.2000000000003</x:v>
      </x:c>
      <x:c r="AG194" s="23" t="n">
        <x:f>IF($A194="","",AD194*H194*I194)</x:f>
        <x:v>2283.6000000000004</x:v>
      </x:c>
      <x:c r="AH194" s="24" t="n">
        <x:f>IF($A194="","",SUM(AD194:AE194,AG194)*SUM(Settings!$B$11:$B$12))</x:f>
        <x:v>11815.9</x:v>
      </x:c>
      <x:c r="AI194" s="24" t="n">
        <x:f>IF($A194="","",M194*Settings!$B$16)</x:f>
        <x:v>1880.01</x:v>
      </x:c>
      <x:c r="AJ194" s="24" t="n">
        <x:f>IF($A194="","",M194*Settings!$B$15)</x:f>
        <x:v>229.99</x:v>
      </x:c>
      <x:c r="AK194" s="24" t="n">
        <x:f>IF($A194="","",O194*Settings!$B$18)</x:f>
        <x:v>0</x:v>
      </x:c>
      <x:c r="AL194" s="24" t="n">
        <x:f>IF($A194="","",P194*Settings!$B$20+Q194*Settings!$B$21+R194*Settings!$B$22+S194*Settings!$B$23)</x:f>
        <x:v>2424.76</x:v>
      </x:c>
      <x:c r="AM194" s="24" t="n">
        <x:f>IF($A194="","",T194*Settings!$B$24)</x:f>
        <x:v>40</x:v>
      </x:c>
      <x:c r="AN194" s="23" t="n">
        <x:f>IF($A194="","",SUM(AI194,N194,AK194:AM194,U194))</x:f>
        <x:v>4594.77</x:v>
      </x:c>
      <x:c r="AO194" s="23" t="n">
        <x:f>IF($A194="","",SUM(AD194:AI194,N194,AK194:AM194,U194))</x:f>
        <x:v>66857.47</x:v>
      </x:c>
      <x:c r="AP194" s="24" t="n">
        <x:f>IF($A194="","",G194*F194*AB194*((13-Settings!$B$9)*(1+H194*I194)+J194)*(1+SUM(Settings!$B$11:$B$12)))</x:f>
        <x:v>1361.7262499999997</x:v>
      </x:c>
      <x:c r="AQ194" s="23" t="n">
        <x:f>IF($A194="","",SUM(AO194:AP194))</x:f>
        <x:v>68219.19625000001</x:v>
      </x:c>
      <x:c r="AR194" s="23" t="n">
        <x:f>IF($A194="","",AQ194-X194)</x:f>
        <x:v>1019.1962500000081</x:v>
      </x:c>
      <x:c r="AS194" s="22" t="n">
        <x:f>IF($A194="","",IF(W194=0,"n.a.",V194/W194))</x:f>
        <x:v>0.021739130434782608</x:v>
      </x:c>
      <x:c r="AT194" s="26" t="str">
        <x:f>IF($A194="",IF(COUNTA(B194:Y194)&gt;0,"Missing ID",""),IF(COUNTIFS($A$9:$A$508,A194)&gt;1,"Duplicate ID",IF(OR(B194="",C194="",D194="",E194="",COUNT(F194:X194)&lt;&gt;19),"Missing / text input",IF(OR(COUNTIFS(Settings!$A$59:$A$64,B194)&lt;&gt;1,COUNTIFS(Settings!$A$29:$A$33,E194)&lt;&gt;1),"Unknown department / grade",IF(OR(F194&lt;=0,F194&gt;1,G194&lt;=0,L194&lt;=0,H194&lt;0,I194&lt;0,J194&lt;0,K194&lt;0,K194&gt;1,MIN(M194:X194)&lt;0,W194=0,V194&gt;W194,M194&gt;W194-V194,P194&gt;8,Q194&gt;4,R194&gt;12,S194&gt;12,T194&gt;1,AB194&lt;0),"Review quantity / rate",IF(OR(N194&gt;Settings!$C$17,AK194&gt;Settings!$C$19),"Review benefit ceiling","OK"))))))</x:f>
        <x:v>OK</x:v>
      </x:c>
    </x:row>
    <x:row r="195" ht="23" customHeight="1">
      <x:c r="A195" s="8" t="str">
        <x:v>BE-0187</x:v>
      </x:c>
      <x:c r="B195" s="8" t="str">
        <x:v>Finance</x:v>
      </x:c>
      <x:c r="C195" s="8" t="str">
        <x:v>Brussels</x:v>
      </x:c>
      <x:c r="D195" s="8" t="str">
        <x:v>Accountant</x:v>
      </x:c>
      <x:c r="E195" s="8" t="str">
        <x:v>G2</x:v>
      </x:c>
      <x:c r="F195" s="20" t="n">
        <x:v>1</x:v>
      </x:c>
      <x:c r="G195" s="12" t="n">
        <x:v>3370</x:v>
      </x:c>
      <x:c r="H195" s="21" t="n">
        <x:v>0.05</x:v>
      </x:c>
      <x:c r="I195" s="20" t="n">
        <x:v>0.8</x:v>
      </x:c>
      <x:c r="J195" s="20" t="n">
        <x:v>1</x:v>
      </x:c>
      <x:c r="K195" s="20" t="n">
        <x:v>1</x:v>
      </x:c>
      <x:c r="L195" s="12" t="n">
        <x:v>3370</x:v>
      </x:c>
      <x:c r="M195" s="8" t="n">
        <x:v>210</x:v>
      </x:c>
      <x:c r="N195" s="12" t="n">
        <x:v>250</x:v>
      </x:c>
      <x:c r="O195" s="8" t="n">
        <x:v>1950</x:v>
      </x:c>
      <x:c r="P195" s="8" t="n">
        <x:v>8</x:v>
      </x:c>
      <x:c r="Q195" s="8" t="n">
        <x:v>4</x:v>
      </x:c>
      <x:c r="R195" s="8" t="n">
        <x:v>12</x:v>
      </x:c>
      <x:c r="S195" s="8" t="n">
        <x:v>0</x:v>
      </x:c>
      <x:c r="T195" s="8" t="n">
        <x:v>1</x:v>
      </x:c>
      <x:c r="U195" s="12" t="n">
        <x:v>0</x:v>
      </x:c>
      <x:c r="V195" s="8" t="n">
        <x:v>6</x:v>
      </x:c>
      <x:c r="W195" s="8" t="n">
        <x:v>230</x:v>
      </x:c>
      <x:c r="X195" s="12" t="n">
        <x:v>67300</x:v>
      </x:c>
      <x:c r="Y195" s="21"/>
      <x:c r="Z195" s="24" t="n">
        <x:f>IF($A195="","",INDEX(Settings!$C$29:$C$33,MATCH(E195,Settings!$A$29:$A$33,0)))</x:f>
        <x:v>3300</x:v>
      </x:c>
      <x:c r="AA195" s="22" t="n">
        <x:f>IF($A195="","",G195/Z195)</x:f>
        <x:v>1.0212121212121212</x:v>
      </x:c>
      <x:c r="AB195" s="25" t="n">
        <x:f>IF($A195="","",IF(ISNUMBER(Y195),Y195,Settings!$B$10))</x:f>
        <x:v>0.03</x:v>
      </x:c>
      <x:c r="AC195" s="23" t="n">
        <x:f>IF($A195="","",G195*(1+AB195))</x:f>
        <x:v>3471.1</x:v>
      </x:c>
      <x:c r="AD195" s="23" t="n">
        <x:f>IF($A195="","",G195*F195*12)</x:f>
        <x:v>40440</x:v>
      </x:c>
      <x:c r="AE195" s="23" t="n">
        <x:f>IF($A195="","",G195*F195*J195)</x:f>
        <x:v>3370</x:v>
      </x:c>
      <x:c r="AF195" s="24" t="n">
        <x:f>IF($A195="","",L195*F195*K195*Settings!$B$13)</x:f>
        <x:v>3100.4</x:v>
      </x:c>
      <x:c r="AG195" s="23" t="n">
        <x:f>IF($A195="","",AD195*H195*I195)</x:f>
        <x:v>1617.6000000000001</x:v>
      </x:c>
      <x:c r="AH195" s="24" t="n">
        <x:f>IF($A195="","",SUM(AD195:AE195,AG195)*SUM(Settings!$B$11:$B$12))</x:f>
        <x:v>11356.9</x:v>
      </x:c>
      <x:c r="AI195" s="24" t="n">
        <x:f>IF($A195="","",M195*Settings!$B$16)</x:f>
        <x:v>1871.1000000000001</x:v>
      </x:c>
      <x:c r="AJ195" s="24" t="n">
        <x:f>IF($A195="","",M195*Settings!$B$15)</x:f>
        <x:v>228.9</x:v>
      </x:c>
      <x:c r="AK195" s="24" t="n">
        <x:f>IF($A195="","",O195*Settings!$B$18)</x:f>
        <x:v>721.5</x:v>
      </x:c>
      <x:c r="AL195" s="24" t="n">
        <x:f>IF($A195="","",P195*Settings!$B$20+Q195*Settings!$B$21+R195*Settings!$B$22+S195*Settings!$B$23)</x:f>
        <x:v>2184.76</x:v>
      </x:c>
      <x:c r="AM195" s="24" t="n">
        <x:f>IF($A195="","",T195*Settings!$B$24)</x:f>
        <x:v>40</x:v>
      </x:c>
      <x:c r="AN195" s="23" t="n">
        <x:f>IF($A195="","",SUM(AI195,N195,AK195:AM195,U195))</x:f>
        <x:v>5067.360000000001</x:v>
      </x:c>
      <x:c r="AO195" s="23" t="n">
        <x:f>IF($A195="","",SUM(AD195:AI195,N195,AK195:AM195,U195))</x:f>
        <x:v>64952.26</x:v>
      </x:c>
      <x:c r="AP195" s="24" t="n">
        <x:f>IF($A195="","",G195*F195*AB195*((13-Settings!$B$9)*(1+H195*I195)+J195)*(1+SUM(Settings!$B$11:$B$12)))</x:f>
        <x:v>1309.245</x:v>
      </x:c>
      <x:c r="AQ195" s="23" t="n">
        <x:f>IF($A195="","",SUM(AO195:AP195))</x:f>
        <x:v>66261.505</x:v>
      </x:c>
      <x:c r="AR195" s="23" t="n">
        <x:f>IF($A195="","",AQ195-X195)</x:f>
        <x:v>-1038.4949999999953</x:v>
      </x:c>
      <x:c r="AS195" s="22" t="n">
        <x:f>IF($A195="","",IF(W195=0,"n.a.",V195/W195))</x:f>
        <x:v>0.02608695652173913</x:v>
      </x:c>
      <x:c r="AT195" s="26" t="str">
        <x:f>IF($A195="",IF(COUNTA(B195:Y195)&gt;0,"Missing ID",""),IF(COUNTIFS($A$9:$A$508,A195)&gt;1,"Duplicate ID",IF(OR(B195="",C195="",D195="",E195="",COUNT(F195:X195)&lt;&gt;19),"Missing / text input",IF(OR(COUNTIFS(Settings!$A$59:$A$64,B195)&lt;&gt;1,COUNTIFS(Settings!$A$29:$A$33,E195)&lt;&gt;1),"Unknown department / grade",IF(OR(F195&lt;=0,F195&gt;1,G195&lt;=0,L195&lt;=0,H195&lt;0,I195&lt;0,J195&lt;0,K195&lt;0,K195&gt;1,MIN(M195:X195)&lt;0,W195=0,V195&gt;W195,M195&gt;W195-V195,P195&gt;8,Q195&gt;4,R195&gt;12,S195&gt;12,T195&gt;1,AB195&lt;0),"Review quantity / rate",IF(OR(N195&gt;Settings!$C$17,AK195&gt;Settings!$C$19),"Review benefit ceiling","OK"))))))</x:f>
        <x:v>OK</x:v>
      </x:c>
    </x:row>
    <x:row r="196" ht="23" customHeight="1">
      <x:c r="A196" s="8" t="str">
        <x:v>BE-0188</x:v>
      </x:c>
      <x:c r="B196" s="8" t="str">
        <x:v>People &amp; Culture</x:v>
      </x:c>
      <x:c r="C196" s="8" t="str">
        <x:v>Antwerp</x:v>
      </x:c>
      <x:c r="D196" s="8" t="str">
        <x:v>HR specialist</x:v>
      </x:c>
      <x:c r="E196" s="8" t="str">
        <x:v>G2</x:v>
      </x:c>
      <x:c r="F196" s="20" t="n">
        <x:v>1</x:v>
      </x:c>
      <x:c r="G196" s="12" t="n">
        <x:v>3050</x:v>
      </x:c>
      <x:c r="H196" s="21" t="n">
        <x:v>0.05</x:v>
      </x:c>
      <x:c r="I196" s="20" t="n">
        <x:v>1</x:v>
      </x:c>
      <x:c r="J196" s="20" t="n">
        <x:v>1</x:v>
      </x:c>
      <x:c r="K196" s="20" t="n">
        <x:v>1</x:v>
      </x:c>
      <x:c r="L196" s="12" t="n">
        <x:v>3050</x:v>
      </x:c>
      <x:c r="M196" s="8" t="n">
        <x:v>209</x:v>
      </x:c>
      <x:c r="N196" s="12" t="n">
        <x:v>250</x:v>
      </x:c>
      <x:c r="O196" s="8" t="n">
        <x:v>0</x:v>
      </x:c>
      <x:c r="P196" s="8" t="n">
        <x:v>8</x:v>
      </x:c>
      <x:c r="Q196" s="8" t="n">
        <x:v>4</x:v>
      </x:c>
      <x:c r="R196" s="8" t="n">
        <x:v>12</x:v>
      </x:c>
      <x:c r="S196" s="8" t="n">
        <x:v>0</x:v>
      </x:c>
      <x:c r="T196" s="8" t="n">
        <x:v>1</x:v>
      </x:c>
      <x:c r="U196" s="12" t="n">
        <x:v>0</x:v>
      </x:c>
      <x:c r="V196" s="8" t="n">
        <x:v>7</x:v>
      </x:c>
      <x:c r="W196" s="8" t="n">
        <x:v>230</x:v>
      </x:c>
      <x:c r="X196" s="12" t="n">
        <x:v>59900</x:v>
      </x:c>
      <x:c r="Y196" s="21" t="n">
        <x:v>0</x:v>
      </x:c>
      <x:c r="Z196" s="24" t="n">
        <x:f>IF($A196="","",INDEX(Settings!$C$29:$C$33,MATCH(E196,Settings!$A$29:$A$33,0)))</x:f>
        <x:v>3300</x:v>
      </x:c>
      <x:c r="AA196" s="22" t="n">
        <x:f>IF($A196="","",G196/Z196)</x:f>
        <x:v>0.9242424242424242</x:v>
      </x:c>
      <x:c r="AB196" s="25" t="n">
        <x:f>IF($A196="","",IF(ISNUMBER(Y196),Y196,Settings!$B$10))</x:f>
        <x:v>0</x:v>
      </x:c>
      <x:c r="AC196" s="23" t="n">
        <x:f>IF($A196="","",G196*(1+AB196))</x:f>
        <x:v>3050</x:v>
      </x:c>
      <x:c r="AD196" s="23" t="n">
        <x:f>IF($A196="","",G196*F196*12)</x:f>
        <x:v>36600</x:v>
      </x:c>
      <x:c r="AE196" s="23" t="n">
        <x:f>IF($A196="","",G196*F196*J196)</x:f>
        <x:v>3050</x:v>
      </x:c>
      <x:c r="AF196" s="24" t="n">
        <x:f>IF($A196="","",L196*F196*K196*Settings!$B$13)</x:f>
        <x:v>2806</x:v>
      </x:c>
      <x:c r="AG196" s="23" t="n">
        <x:f>IF($A196="","",AD196*H196*I196)</x:f>
        <x:v>1830</x:v>
      </x:c>
      <x:c r="AH196" s="24" t="n">
        <x:f>IF($A196="","",SUM(AD196:AE196,AG196)*SUM(Settings!$B$11:$B$12))</x:f>
        <x:v>10370</x:v>
      </x:c>
      <x:c r="AI196" s="24" t="n">
        <x:f>IF($A196="","",M196*Settings!$B$16)</x:f>
        <x:v>1862.19</x:v>
      </x:c>
      <x:c r="AJ196" s="24" t="n">
        <x:f>IF($A196="","",M196*Settings!$B$15)</x:f>
        <x:v>227.81000000000003</x:v>
      </x:c>
      <x:c r="AK196" s="24" t="n">
        <x:f>IF($A196="","",O196*Settings!$B$18)</x:f>
        <x:v>0</x:v>
      </x:c>
      <x:c r="AL196" s="24" t="n">
        <x:f>IF($A196="","",P196*Settings!$B$20+Q196*Settings!$B$21+R196*Settings!$B$22+S196*Settings!$B$23)</x:f>
        <x:v>2184.76</x:v>
      </x:c>
      <x:c r="AM196" s="24" t="n">
        <x:f>IF($A196="","",T196*Settings!$B$24)</x:f>
        <x:v>40</x:v>
      </x:c>
      <x:c r="AN196" s="23" t="n">
        <x:f>IF($A196="","",SUM(AI196,N196,AK196:AM196,U196))</x:f>
        <x:v>4336.950000000001</x:v>
      </x:c>
      <x:c r="AO196" s="23" t="n">
        <x:f>IF($A196="","",SUM(AD196:AI196,N196,AK196:AM196,U196))</x:f>
        <x:v>58992.950000000004</x:v>
      </x:c>
      <x:c r="AP196" s="24" t="n">
        <x:f>IF($A196="","",G196*F196*AB196*((13-Settings!$B$9)*(1+H196*I196)+J196)*(1+SUM(Settings!$B$11:$B$12)))</x:f>
        <x:v>0</x:v>
      </x:c>
      <x:c r="AQ196" s="23" t="n">
        <x:f>IF($A196="","",SUM(AO196:AP196))</x:f>
        <x:v>58992.950000000004</x:v>
      </x:c>
      <x:c r="AR196" s="23" t="n">
        <x:f>IF($A196="","",AQ196-X196)</x:f>
        <x:v>-907.0499999999956</x:v>
      </x:c>
      <x:c r="AS196" s="22" t="n">
        <x:f>IF($A196="","",IF(W196=0,"n.a.",V196/W196))</x:f>
        <x:v>0.030434782608695653</x:v>
      </x:c>
      <x:c r="AT196" s="26" t="str">
        <x:f>IF($A196="",IF(COUNTA(B196:Y196)&gt;0,"Missing ID",""),IF(COUNTIFS($A$9:$A$508,A196)&gt;1,"Duplicate ID",IF(OR(B196="",C196="",D196="",E196="",COUNT(F196:X196)&lt;&gt;19),"Missing / text input",IF(OR(COUNTIFS(Settings!$A$59:$A$64,B196)&lt;&gt;1,COUNTIFS(Settings!$A$29:$A$33,E196)&lt;&gt;1),"Unknown department / grade",IF(OR(F196&lt;=0,F196&gt;1,G196&lt;=0,L196&lt;=0,H196&lt;0,I196&lt;0,J196&lt;0,K196&lt;0,K196&gt;1,MIN(M196:X196)&lt;0,W196=0,V196&gt;W196,M196&gt;W196-V196,P196&gt;8,Q196&gt;4,R196&gt;12,S196&gt;12,T196&gt;1,AB196&lt;0),"Review quantity / rate",IF(OR(N196&gt;Settings!$C$17,AK196&gt;Settings!$C$19),"Review benefit ceiling","OK"))))))</x:f>
        <x:v>OK</x:v>
      </x:c>
    </x:row>
    <x:row r="197" ht="23" customHeight="1">
      <x:c r="A197" s="8" t="str">
        <x:v>BE-0189</x:v>
      </x:c>
      <x:c r="B197" s="8" t="str">
        <x:v>Technology</x:v>
      </x:c>
      <x:c r="C197" s="8" t="str">
        <x:v>Ghent</x:v>
      </x:c>
      <x:c r="D197" s="8" t="str">
        <x:v>Developer</x:v>
      </x:c>
      <x:c r="E197" s="8" t="str">
        <x:v>G2</x:v>
      </x:c>
      <x:c r="F197" s="20" t="n">
        <x:v>1</x:v>
      </x:c>
      <x:c r="G197" s="12" t="n">
        <x:v>3620</x:v>
      </x:c>
      <x:c r="H197" s="21" t="n">
        <x:v>0.05</x:v>
      </x:c>
      <x:c r="I197" s="20" t="n">
        <x:v>1.1</x:v>
      </x:c>
      <x:c r="J197" s="20" t="n">
        <x:v>1</x:v>
      </x:c>
      <x:c r="K197" s="20" t="n">
        <x:v>1</x:v>
      </x:c>
      <x:c r="L197" s="12" t="n">
        <x:v>3620</x:v>
      </x:c>
      <x:c r="M197" s="8" t="n">
        <x:v>208</x:v>
      </x:c>
      <x:c r="N197" s="12" t="n">
        <x:v>250</x:v>
      </x:c>
      <x:c r="O197" s="8" t="n">
        <x:v>0</x:v>
      </x:c>
      <x:c r="P197" s="8" t="n">
        <x:v>0</x:v>
      </x:c>
      <x:c r="Q197" s="8" t="n">
        <x:v>0</x:v>
      </x:c>
      <x:c r="R197" s="8" t="n">
        <x:v>0</x:v>
      </x:c>
      <x:c r="S197" s="8" t="n">
        <x:v>0</x:v>
      </x:c>
      <x:c r="T197" s="8" t="n">
        <x:v>1</x:v>
      </x:c>
      <x:c r="U197" s="12" t="n">
        <x:v>0</x:v>
      </x:c>
      <x:c r="V197" s="8" t="n">
        <x:v>8</x:v>
      </x:c>
      <x:c r="W197" s="8" t="n">
        <x:v>230</x:v>
      </x:c>
      <x:c r="X197" s="12" t="n">
        <x:v>69700</x:v>
      </x:c>
      <x:c r="Y197" s="21"/>
      <x:c r="Z197" s="24" t="n">
        <x:f>IF($A197="","",INDEX(Settings!$C$29:$C$33,MATCH(E197,Settings!$A$29:$A$33,0)))</x:f>
        <x:v>3300</x:v>
      </x:c>
      <x:c r="AA197" s="22" t="n">
        <x:f>IF($A197="","",G197/Z197)</x:f>
        <x:v>1.096969696969697</x:v>
      </x:c>
      <x:c r="AB197" s="25" t="n">
        <x:f>IF($A197="","",IF(ISNUMBER(Y197),Y197,Settings!$B$10))</x:f>
        <x:v>0.03</x:v>
      </x:c>
      <x:c r="AC197" s="23" t="n">
        <x:f>IF($A197="","",G197*(1+AB197))</x:f>
        <x:v>3728.6</x:v>
      </x:c>
      <x:c r="AD197" s="23" t="n">
        <x:f>IF($A197="","",G197*F197*12)</x:f>
        <x:v>43440</x:v>
      </x:c>
      <x:c r="AE197" s="23" t="n">
        <x:f>IF($A197="","",G197*F197*J197)</x:f>
        <x:v>3620</x:v>
      </x:c>
      <x:c r="AF197" s="24" t="n">
        <x:f>IF($A197="","",L197*F197*K197*Settings!$B$13)</x:f>
        <x:v>3330.4</x:v>
      </x:c>
      <x:c r="AG197" s="23" t="n">
        <x:f>IF($A197="","",AD197*H197*I197)</x:f>
        <x:v>2389.2000000000003</x:v>
      </x:c>
      <x:c r="AH197" s="24" t="n">
        <x:f>IF($A197="","",SUM(AD197:AE197,AG197)*SUM(Settings!$B$11:$B$12))</x:f>
        <x:v>12362.3</x:v>
      </x:c>
      <x:c r="AI197" s="24" t="n">
        <x:f>IF($A197="","",M197*Settings!$B$16)</x:f>
        <x:v>1853.28</x:v>
      </x:c>
      <x:c r="AJ197" s="24" t="n">
        <x:f>IF($A197="","",M197*Settings!$B$15)</x:f>
        <x:v>226.72000000000003</x:v>
      </x:c>
      <x:c r="AK197" s="24" t="n">
        <x:f>IF($A197="","",O197*Settings!$B$18)</x:f>
        <x:v>0</x:v>
      </x:c>
      <x:c r="AL197" s="24" t="n">
        <x:f>IF($A197="","",P197*Settings!$B$20+Q197*Settings!$B$21+R197*Settings!$B$22+S197*Settings!$B$23)</x:f>
        <x:v>0</x:v>
      </x:c>
      <x:c r="AM197" s="24" t="n">
        <x:f>IF($A197="","",T197*Settings!$B$24)</x:f>
        <x:v>40</x:v>
      </x:c>
      <x:c r="AN197" s="23" t="n">
        <x:f>IF($A197="","",SUM(AI197,N197,AK197:AM197,U197))</x:f>
        <x:v>2143.2799999999997</x:v>
      </x:c>
      <x:c r="AO197" s="23" t="n">
        <x:f>IF($A197="","",SUM(AD197:AI197,N197,AK197:AM197,U197))</x:f>
        <x:v>67285.18</x:v>
      </x:c>
      <x:c r="AP197" s="24" t="n">
        <x:f>IF($A197="","",G197*F197*AB197*((13-Settings!$B$9)*(1+H197*I197)+J197)*(1+SUM(Settings!$B$11:$B$12)))</x:f>
        <x:v>1424.6962499999997</x:v>
      </x:c>
      <x:c r="AQ197" s="23" t="n">
        <x:f>IF($A197="","",SUM(AO197:AP197))</x:f>
        <x:v>68709.87624999999</x:v>
      </x:c>
      <x:c r="AR197" s="23" t="n">
        <x:f>IF($A197="","",AQ197-X197)</x:f>
        <x:v>-990.1237500000134</x:v>
      </x:c>
      <x:c r="AS197" s="22" t="n">
        <x:f>IF($A197="","",IF(W197=0,"n.a.",V197/W197))</x:f>
        <x:v>0.034782608695652174</x:v>
      </x:c>
      <x:c r="AT197" s="26" t="str">
        <x:f>IF($A197="",IF(COUNTA(B197:Y197)&gt;0,"Missing ID",""),IF(COUNTIFS($A$9:$A$508,A197)&gt;1,"Duplicate ID",IF(OR(B197="",C197="",D197="",E197="",COUNT(F197:X197)&lt;&gt;19),"Missing / text input",IF(OR(COUNTIFS(Settings!$A$59:$A$64,B197)&lt;&gt;1,COUNTIFS(Settings!$A$29:$A$33,E197)&lt;&gt;1),"Unknown department / grade",IF(OR(F197&lt;=0,F197&gt;1,G197&lt;=0,L197&lt;=0,H197&lt;0,I197&lt;0,J197&lt;0,K197&lt;0,K197&gt;1,MIN(M197:X197)&lt;0,W197=0,V197&gt;W197,M197&gt;W197-V197,P197&gt;8,Q197&gt;4,R197&gt;12,S197&gt;12,T197&gt;1,AB197&lt;0),"Review quantity / rate",IF(OR(N197&gt;Settings!$C$17,AK197&gt;Settings!$C$19),"Review benefit ceiling","OK"))))))</x:f>
        <x:v>OK</x:v>
      </x:c>
    </x:row>
    <x:row r="198" ht="23" customHeight="1">
      <x:c r="A198" s="8" t="str">
        <x:v>BE-0190</x:v>
      </x:c>
      <x:c r="B198" s="8" t="str">
        <x:v>Sales</x:v>
      </x:c>
      <x:c r="C198" s="8" t="str">
        <x:v>Brussels</x:v>
      </x:c>
      <x:c r="D198" s="8" t="str">
        <x:v>Account manager</x:v>
      </x:c>
      <x:c r="E198" s="8" t="str">
        <x:v>G2</x:v>
      </x:c>
      <x:c r="F198" s="20" t="n">
        <x:v>0.6</x:v>
      </x:c>
      <x:c r="G198" s="12" t="n">
        <x:v>3570</x:v>
      </x:c>
      <x:c r="H198" s="21" t="n">
        <x:v>0.05</x:v>
      </x:c>
      <x:c r="I198" s="20" t="n">
        <x:v>0.8</x:v>
      </x:c>
      <x:c r="J198" s="20" t="n">
        <x:v>1</x:v>
      </x:c>
      <x:c r="K198" s="20" t="n">
        <x:v>1</x:v>
      </x:c>
      <x:c r="L198" s="12" t="n">
        <x:v>3570</x:v>
      </x:c>
      <x:c r="M198" s="8" t="n">
        <x:v>128</x:v>
      </x:c>
      <x:c r="N198" s="12" t="n">
        <x:v>150</x:v>
      </x:c>
      <x:c r="O198" s="8" t="n">
        <x:v>2280</x:v>
      </x:c>
      <x:c r="P198" s="8" t="n">
        <x:v>8</x:v>
      </x:c>
      <x:c r="Q198" s="8" t="n">
        <x:v>4</x:v>
      </x:c>
      <x:c r="R198" s="8" t="n">
        <x:v>12</x:v>
      </x:c>
      <x:c r="S198" s="8" t="n">
        <x:v>0</x:v>
      </x:c>
      <x:c r="T198" s="8" t="n">
        <x:v>1</x:v>
      </x:c>
      <x:c r="U198" s="12" t="n">
        <x:v>0</x:v>
      </x:c>
      <x:c r="V198" s="8" t="n">
        <x:v>9</x:v>
      </x:c>
      <x:c r="W198" s="8" t="n">
        <x:v>138</x:v>
      </x:c>
      <x:c r="X198" s="12" t="n">
        <x:v>43900</x:v>
      </x:c>
      <x:c r="Y198" s="21"/>
      <x:c r="Z198" s="24" t="n">
        <x:f>IF($A198="","",INDEX(Settings!$C$29:$C$33,MATCH(E198,Settings!$A$29:$A$33,0)))</x:f>
        <x:v>3300</x:v>
      </x:c>
      <x:c r="AA198" s="22" t="n">
        <x:f>IF($A198="","",G198/Z198)</x:f>
        <x:v>1.0818181818181818</x:v>
      </x:c>
      <x:c r="AB198" s="25" t="n">
        <x:f>IF($A198="","",IF(ISNUMBER(Y198),Y198,Settings!$B$10))</x:f>
        <x:v>0.03</x:v>
      </x:c>
      <x:c r="AC198" s="23" t="n">
        <x:f>IF($A198="","",G198*(1+AB198))</x:f>
        <x:v>3677.1</x:v>
      </x:c>
      <x:c r="AD198" s="23" t="n">
        <x:f>IF($A198="","",G198*F198*12)</x:f>
        <x:v>25704</x:v>
      </x:c>
      <x:c r="AE198" s="23" t="n">
        <x:f>IF($A198="","",G198*F198*J198)</x:f>
        <x:v>2142</x:v>
      </x:c>
      <x:c r="AF198" s="24" t="n">
        <x:f>IF($A198="","",L198*F198*K198*Settings!$B$13)</x:f>
        <x:v>1970.64</x:v>
      </x:c>
      <x:c r="AG198" s="23" t="n">
        <x:f>IF($A198="","",AD198*H198*I198)</x:f>
        <x:v>1028.16</x:v>
      </x:c>
      <x:c r="AH198" s="24" t="n">
        <x:f>IF($A198="","",SUM(AD198:AE198,AG198)*SUM(Settings!$B$11:$B$12))</x:f>
        <x:v>7218.54</x:v>
      </x:c>
      <x:c r="AI198" s="24" t="n">
        <x:f>IF($A198="","",M198*Settings!$B$16)</x:f>
        <x:v>1140.48</x:v>
      </x:c>
      <x:c r="AJ198" s="24" t="n">
        <x:f>IF($A198="","",M198*Settings!$B$15)</x:f>
        <x:v>139.52</x:v>
      </x:c>
      <x:c r="AK198" s="24" t="n">
        <x:f>IF($A198="","",O198*Settings!$B$18)</x:f>
        <x:v>843.6</x:v>
      </x:c>
      <x:c r="AL198" s="24" t="n">
        <x:f>IF($A198="","",P198*Settings!$B$20+Q198*Settings!$B$21+R198*Settings!$B$22+S198*Settings!$B$23)</x:f>
        <x:v>2184.76</x:v>
      </x:c>
      <x:c r="AM198" s="24" t="n">
        <x:f>IF($A198="","",T198*Settings!$B$24)</x:f>
        <x:v>40</x:v>
      </x:c>
      <x:c r="AN198" s="23" t="n">
        <x:f>IF($A198="","",SUM(AI198,N198,AK198:AM198,U198))</x:f>
        <x:v>4358.84</x:v>
      </x:c>
      <x:c r="AO198" s="23" t="n">
        <x:f>IF($A198="","",SUM(AD198:AI198,N198,AK198:AM198,U198))</x:f>
        <x:v>42422.18</x:v>
      </x:c>
      <x:c r="AP198" s="24" t="n">
        <x:f>IF($A198="","",G198*F198*AB198*((13-Settings!$B$9)*(1+H198*I198)+J198)*(1+SUM(Settings!$B$11:$B$12)))</x:f>
        <x:v>832.1669999999999</x:v>
      </x:c>
      <x:c r="AQ198" s="23" t="n">
        <x:f>IF($A198="","",SUM(AO198:AP198))</x:f>
        <x:v>43254.347</x:v>
      </x:c>
      <x:c r="AR198" s="23" t="n">
        <x:f>IF($A198="","",AQ198-X198)</x:f>
        <x:v>-645.6529999999984</x:v>
      </x:c>
      <x:c r="AS198" s="22" t="n">
        <x:f>IF($A198="","",IF(W198=0,"n.a.",V198/W198))</x:f>
        <x:v>0.06521739130434782</x:v>
      </x:c>
      <x:c r="AT198" s="26" t="str">
        <x:f>IF($A198="",IF(COUNTA(B198:Y198)&gt;0,"Missing ID",""),IF(COUNTIFS($A$9:$A$508,A198)&gt;1,"Duplicate ID",IF(OR(B198="",C198="",D198="",E198="",COUNT(F198:X198)&lt;&gt;19),"Missing / text input",IF(OR(COUNTIFS(Settings!$A$59:$A$64,B198)&lt;&gt;1,COUNTIFS(Settings!$A$29:$A$33,E198)&lt;&gt;1),"Unknown department / grade",IF(OR(F198&lt;=0,F198&gt;1,G198&lt;=0,L198&lt;=0,H198&lt;0,I198&lt;0,J198&lt;0,K198&lt;0,K198&gt;1,MIN(M198:X198)&lt;0,W198=0,V198&gt;W198,M198&gt;W198-V198,P198&gt;8,Q198&gt;4,R198&gt;12,S198&gt;12,T198&gt;1,AB198&lt;0),"Review quantity / rate",IF(OR(N198&gt;Settings!$C$17,AK198&gt;Settings!$C$19),"Review benefit ceiling","OK"))))))</x:f>
        <x:v>OK</x:v>
      </x:c>
    </x:row>
    <x:row r="199" ht="23" customHeight="1">
      <x:c r="A199" s="8" t="str">
        <x:v>BE-0191</x:v>
      </x:c>
      <x:c r="B199" s="8" t="str">
        <x:v>Customer Operations</x:v>
      </x:c>
      <x:c r="C199" s="8" t="str">
        <x:v>Antwerp</x:v>
      </x:c>
      <x:c r="D199" s="8" t="str">
        <x:v>Service specialist</x:v>
      </x:c>
      <x:c r="E199" s="8" t="str">
        <x:v>G2</x:v>
      </x:c>
      <x:c r="F199" s="20" t="n">
        <x:v>1</x:v>
      </x:c>
      <x:c r="G199" s="12" t="n">
        <x:v>3610</x:v>
      </x:c>
      <x:c r="H199" s="21" t="n">
        <x:v>0.05</x:v>
      </x:c>
      <x:c r="I199" s="20" t="n">
        <x:v>1</x:v>
      </x:c>
      <x:c r="J199" s="20" t="n">
        <x:v>1</x:v>
      </x:c>
      <x:c r="K199" s="20" t="n">
        <x:v>1</x:v>
      </x:c>
      <x:c r="L199" s="12" t="n">
        <x:v>3610</x:v>
      </x:c>
      <x:c r="M199" s="8" t="n">
        <x:v>213</x:v>
      </x:c>
      <x:c r="N199" s="12" t="n">
        <x:v>250</x:v>
      </x:c>
      <x:c r="O199" s="8" t="n">
        <x:v>0</x:v>
      </x:c>
      <x:c r="P199" s="8" t="n">
        <x:v>8</x:v>
      </x:c>
      <x:c r="Q199" s="8" t="n">
        <x:v>4</x:v>
      </x:c>
      <x:c r="R199" s="8" t="n">
        <x:v>12</x:v>
      </x:c>
      <x:c r="S199" s="8" t="n">
        <x:v>12</x:v>
      </x:c>
      <x:c r="T199" s="8" t="n">
        <x:v>1</x:v>
      </x:c>
      <x:c r="U199" s="12" t="n">
        <x:v>0</x:v>
      </x:c>
      <x:c r="V199" s="8" t="n">
        <x:v>10</x:v>
      </x:c>
      <x:c r="W199" s="8" t="n">
        <x:v>230</x:v>
      </x:c>
      <x:c r="X199" s="12" t="n">
        <x:v>69700</x:v>
      </x:c>
      <x:c r="Y199" s="21"/>
      <x:c r="Z199" s="24" t="n">
        <x:f>IF($A199="","",INDEX(Settings!$C$29:$C$33,MATCH(E199,Settings!$A$29:$A$33,0)))</x:f>
        <x:v>3300</x:v>
      </x:c>
      <x:c r="AA199" s="22" t="n">
        <x:f>IF($A199="","",G199/Z199)</x:f>
        <x:v>1.093939393939394</x:v>
      </x:c>
      <x:c r="AB199" s="25" t="n">
        <x:f>IF($A199="","",IF(ISNUMBER(Y199),Y199,Settings!$B$10))</x:f>
        <x:v>0.03</x:v>
      </x:c>
      <x:c r="AC199" s="23" t="n">
        <x:f>IF($A199="","",G199*(1+AB199))</x:f>
        <x:v>3718.3</x:v>
      </x:c>
      <x:c r="AD199" s="23" t="n">
        <x:f>IF($A199="","",G199*F199*12)</x:f>
        <x:v>43320</x:v>
      </x:c>
      <x:c r="AE199" s="23" t="n">
        <x:f>IF($A199="","",G199*F199*J199)</x:f>
        <x:v>3610</x:v>
      </x:c>
      <x:c r="AF199" s="24" t="n">
        <x:f>IF($A199="","",L199*F199*K199*Settings!$B$13)</x:f>
        <x:v>3321.2000000000003</x:v>
      </x:c>
      <x:c r="AG199" s="23" t="n">
        <x:f>IF($A199="","",AD199*H199*I199)</x:f>
        <x:v>2166</x:v>
      </x:c>
      <x:c r="AH199" s="24" t="n">
        <x:f>IF($A199="","",SUM(AD199:AE199,AG199)*SUM(Settings!$B$11:$B$12))</x:f>
        <x:v>12274</x:v>
      </x:c>
      <x:c r="AI199" s="24" t="n">
        <x:f>IF($A199="","",M199*Settings!$B$16)</x:f>
        <x:v>1897.83</x:v>
      </x:c>
      <x:c r="AJ199" s="24" t="n">
        <x:f>IF($A199="","",M199*Settings!$B$15)</x:f>
        <x:v>232.17000000000002</x:v>
      </x:c>
      <x:c r="AK199" s="24" t="n">
        <x:f>IF($A199="","",O199*Settings!$B$18)</x:f>
        <x:v>0</x:v>
      </x:c>
      <x:c r="AL199" s="24" t="n">
        <x:f>IF($A199="","",P199*Settings!$B$20+Q199*Settings!$B$21+R199*Settings!$B$22+S199*Settings!$B$23)</x:f>
        <x:v>2424.76</x:v>
      </x:c>
      <x:c r="AM199" s="24" t="n">
        <x:f>IF($A199="","",T199*Settings!$B$24)</x:f>
        <x:v>40</x:v>
      </x:c>
      <x:c r="AN199" s="23" t="n">
        <x:f>IF($A199="","",SUM(AI199,N199,AK199:AM199,U199))</x:f>
        <x:v>4612.59</x:v>
      </x:c>
      <x:c r="AO199" s="23" t="n">
        <x:f>IF($A199="","",SUM(AD199:AI199,N199,AK199:AM199,U199))</x:f>
        <x:v>69303.79</x:v>
      </x:c>
      <x:c r="AP199" s="24" t="n">
        <x:f>IF($A199="","",G199*F199*AB199*((13-Settings!$B$9)*(1+H199*I199)+J199)*(1+SUM(Settings!$B$11:$B$12)))</x:f>
        <x:v>1414.6687500000003</x:v>
      </x:c>
      <x:c r="AQ199" s="23" t="n">
        <x:f>IF($A199="","",SUM(AO199:AP199))</x:f>
        <x:v>70718.45874999999</x:v>
      </x:c>
      <x:c r="AR199" s="23" t="n">
        <x:f>IF($A199="","",AQ199-X199)</x:f>
        <x:v>1018.4587499999907</x:v>
      </x:c>
      <x:c r="AS199" s="22" t="n">
        <x:f>IF($A199="","",IF(W199=0,"n.a.",V199/W199))</x:f>
        <x:v>0.043478260869565216</x:v>
      </x:c>
      <x:c r="AT199" s="26" t="str">
        <x:f>IF($A199="",IF(COUNTA(B199:Y199)&gt;0,"Missing ID",""),IF(COUNTIFS($A$9:$A$508,A199)&gt;1,"Duplicate ID",IF(OR(B199="",C199="",D199="",E199="",COUNT(F199:X199)&lt;&gt;19),"Missing / text input",IF(OR(COUNTIFS(Settings!$A$59:$A$64,B199)&lt;&gt;1,COUNTIFS(Settings!$A$29:$A$33,E199)&lt;&gt;1),"Unknown department / grade",IF(OR(F199&lt;=0,F199&gt;1,G199&lt;=0,L199&lt;=0,H199&lt;0,I199&lt;0,J199&lt;0,K199&lt;0,K199&gt;1,MIN(M199:X199)&lt;0,W199=0,V199&gt;W199,M199&gt;W199-V199,P199&gt;8,Q199&gt;4,R199&gt;12,S199&gt;12,T199&gt;1,AB199&lt;0),"Review quantity / rate",IF(OR(N199&gt;Settings!$C$17,AK199&gt;Settings!$C$19),"Review benefit ceiling","OK"))))))</x:f>
        <x:v>OK</x:v>
      </x:c>
    </x:row>
    <x:row r="200" ht="23" customHeight="1">
      <x:c r="A200" s="8" t="str">
        <x:v>BE-0192</x:v>
      </x:c>
      <x:c r="B200" s="8" t="str">
        <x:v>Business Support</x:v>
      </x:c>
      <x:c r="C200" s="8" t="str">
        <x:v>Ghent</x:v>
      </x:c>
      <x:c r="D200" s="8" t="str">
        <x:v>Business specialist</x:v>
      </x:c>
      <x:c r="E200" s="8" t="str">
        <x:v>G2</x:v>
      </x:c>
      <x:c r="F200" s="20" t="n">
        <x:v>1</x:v>
      </x:c>
      <x:c r="G200" s="12" t="n">
        <x:v>3620</x:v>
      </x:c>
      <x:c r="H200" s="21" t="n">
        <x:v>0.05</x:v>
      </x:c>
      <x:c r="I200" s="20" t="n">
        <x:v>1.1</x:v>
      </x:c>
      <x:c r="J200" s="20" t="n">
        <x:v>1</x:v>
      </x:c>
      <x:c r="K200" s="20" t="n">
        <x:v>1</x:v>
      </x:c>
      <x:c r="L200" s="12" t="n">
        <x:v>3620</x:v>
      </x:c>
      <x:c r="M200" s="8" t="n">
        <x:v>212</x:v>
      </x:c>
      <x:c r="N200" s="12" t="n">
        <x:v>250</x:v>
      </x:c>
      <x:c r="O200" s="8" t="n">
        <x:v>0</x:v>
      </x:c>
      <x:c r="P200" s="8" t="n">
        <x:v>8</x:v>
      </x:c>
      <x:c r="Q200" s="8" t="n">
        <x:v>4</x:v>
      </x:c>
      <x:c r="R200" s="8" t="n">
        <x:v>12</x:v>
      </x:c>
      <x:c r="S200" s="8" t="n">
        <x:v>0</x:v>
      </x:c>
      <x:c r="T200" s="8" t="n">
        <x:v>1</x:v>
      </x:c>
      <x:c r="U200" s="12" t="n">
        <x:v>0</x:v>
      </x:c>
      <x:c r="V200" s="8" t="n">
        <x:v>11</x:v>
      </x:c>
      <x:c r="W200" s="8" t="n">
        <x:v>230</x:v>
      </x:c>
      <x:c r="X200" s="12" t="n">
        <x:v>72000</x:v>
      </x:c>
      <x:c r="Y200" s="21"/>
      <x:c r="Z200" s="24" t="n">
        <x:f>IF($A200="","",INDEX(Settings!$C$29:$C$33,MATCH(E200,Settings!$A$29:$A$33,0)))</x:f>
        <x:v>3300</x:v>
      </x:c>
      <x:c r="AA200" s="22" t="n">
        <x:f>IF($A200="","",G200/Z200)</x:f>
        <x:v>1.096969696969697</x:v>
      </x:c>
      <x:c r="AB200" s="25" t="n">
        <x:f>IF($A200="","",IF(ISNUMBER(Y200),Y200,Settings!$B$10))</x:f>
        <x:v>0.03</x:v>
      </x:c>
      <x:c r="AC200" s="23" t="n">
        <x:f>IF($A200="","",G200*(1+AB200))</x:f>
        <x:v>3728.6</x:v>
      </x:c>
      <x:c r="AD200" s="23" t="n">
        <x:f>IF($A200="","",G200*F200*12)</x:f>
        <x:v>43440</x:v>
      </x:c>
      <x:c r="AE200" s="23" t="n">
        <x:f>IF($A200="","",G200*F200*J200)</x:f>
        <x:v>3620</x:v>
      </x:c>
      <x:c r="AF200" s="24" t="n">
        <x:f>IF($A200="","",L200*F200*K200*Settings!$B$13)</x:f>
        <x:v>3330.4</x:v>
      </x:c>
      <x:c r="AG200" s="23" t="n">
        <x:f>IF($A200="","",AD200*H200*I200)</x:f>
        <x:v>2389.2000000000003</x:v>
      </x:c>
      <x:c r="AH200" s="24" t="n">
        <x:f>IF($A200="","",SUM(AD200:AE200,AG200)*SUM(Settings!$B$11:$B$12))</x:f>
        <x:v>12362.3</x:v>
      </x:c>
      <x:c r="AI200" s="24" t="n">
        <x:f>IF($A200="","",M200*Settings!$B$16)</x:f>
        <x:v>1888.92</x:v>
      </x:c>
      <x:c r="AJ200" s="24" t="n">
        <x:f>IF($A200="","",M200*Settings!$B$15)</x:f>
        <x:v>231.08</x:v>
      </x:c>
      <x:c r="AK200" s="24" t="n">
        <x:f>IF($A200="","",O200*Settings!$B$18)</x:f>
        <x:v>0</x:v>
      </x:c>
      <x:c r="AL200" s="24" t="n">
        <x:f>IF($A200="","",P200*Settings!$B$20+Q200*Settings!$B$21+R200*Settings!$B$22+S200*Settings!$B$23)</x:f>
        <x:v>2184.76</x:v>
      </x:c>
      <x:c r="AM200" s="24" t="n">
        <x:f>IF($A200="","",T200*Settings!$B$24)</x:f>
        <x:v>40</x:v>
      </x:c>
      <x:c r="AN200" s="23" t="n">
        <x:f>IF($A200="","",SUM(AI200,N200,AK200:AM200,U200))</x:f>
        <x:v>4363.68</x:v>
      </x:c>
      <x:c r="AO200" s="23" t="n">
        <x:f>IF($A200="","",SUM(AD200:AI200,N200,AK200:AM200,U200))</x:f>
        <x:v>69505.57999999999</x:v>
      </x:c>
      <x:c r="AP200" s="24" t="n">
        <x:f>IF($A200="","",G200*F200*AB200*((13-Settings!$B$9)*(1+H200*I200)+J200)*(1+SUM(Settings!$B$11:$B$12)))</x:f>
        <x:v>1424.6962499999997</x:v>
      </x:c>
      <x:c r="AQ200" s="23" t="n">
        <x:f>IF($A200="","",SUM(AO200:AP200))</x:f>
        <x:v>70930.27624999998</x:v>
      </x:c>
      <x:c r="AR200" s="23" t="n">
        <x:f>IF($A200="","",AQ200-X200)</x:f>
        <x:v>-1069.7237500000192</x:v>
      </x:c>
      <x:c r="AS200" s="22" t="n">
        <x:f>IF($A200="","",IF(W200=0,"n.a.",V200/W200))</x:f>
        <x:v>0.04782608695652174</x:v>
      </x:c>
      <x:c r="AT200" s="26" t="str">
        <x:f>IF($A200="",IF(COUNTA(B200:Y200)&gt;0,"Missing ID",""),IF(COUNTIFS($A$9:$A$508,A200)&gt;1,"Duplicate ID",IF(OR(B200="",C200="",D200="",E200="",COUNT(F200:X200)&lt;&gt;19),"Missing / text input",IF(OR(COUNTIFS(Settings!$A$59:$A$64,B200)&lt;&gt;1,COUNTIFS(Settings!$A$29:$A$33,E200)&lt;&gt;1),"Unknown department / grade",IF(OR(F200&lt;=0,F200&gt;1,G200&lt;=0,L200&lt;=0,H200&lt;0,I200&lt;0,J200&lt;0,K200&lt;0,K200&gt;1,MIN(M200:X200)&lt;0,W200=0,V200&gt;W200,M200&gt;W200-V200,P200&gt;8,Q200&gt;4,R200&gt;12,S200&gt;12,T200&gt;1,AB200&lt;0),"Review quantity / rate",IF(OR(N200&gt;Settings!$C$17,AK200&gt;Settings!$C$19),"Review benefit ceiling","OK"))))))</x:f>
        <x:v>OK</x:v>
      </x:c>
    </x:row>
    <x:row r="201" ht="23" customHeight="1">
      <x:c r="A201" s="8" t="str">
        <x:v>BE-0193</x:v>
      </x:c>
      <x:c r="B201" s="8" t="str">
        <x:v>Finance</x:v>
      </x:c>
      <x:c r="C201" s="8" t="str">
        <x:v>Brussels</x:v>
      </x:c>
      <x:c r="D201" s="8" t="str">
        <x:v>Senior analyst</x:v>
      </x:c>
      <x:c r="E201" s="8" t="str">
        <x:v>G3</x:v>
      </x:c>
      <x:c r="F201" s="20" t="n">
        <x:v>1</x:v>
      </x:c>
      <x:c r="G201" s="12" t="n">
        <x:v>4220</x:v>
      </x:c>
      <x:c r="H201" s="21" t="n">
        <x:v>0.08</x:v>
      </x:c>
      <x:c r="I201" s="20" t="n">
        <x:v>0.8</x:v>
      </x:c>
      <x:c r="J201" s="20" t="n">
        <x:v>1</x:v>
      </x:c>
      <x:c r="K201" s="20" t="n">
        <x:v>1</x:v>
      </x:c>
      <x:c r="L201" s="12" t="n">
        <x:v>4220</x:v>
      </x:c>
      <x:c r="M201" s="8" t="n">
        <x:v>211</x:v>
      </x:c>
      <x:c r="N201" s="12" t="n">
        <x:v>250</x:v>
      </x:c>
      <x:c r="O201" s="8" t="n">
        <x:v>520</x:v>
      </x:c>
      <x:c r="P201" s="8" t="n">
        <x:v>0</x:v>
      </x:c>
      <x:c r="Q201" s="8" t="n">
        <x:v>0</x:v>
      </x:c>
      <x:c r="R201" s="8" t="n">
        <x:v>0</x:v>
      </x:c>
      <x:c r="S201" s="8" t="n">
        <x:v>0</x:v>
      </x:c>
      <x:c r="T201" s="8" t="n">
        <x:v>1</x:v>
      </x:c>
      <x:c r="U201" s="12" t="n">
        <x:v>0</x:v>
      </x:c>
      <x:c r="V201" s="8" t="n">
        <x:v>0</x:v>
      </x:c>
      <x:c r="W201" s="8" t="n">
        <x:v>230</x:v>
      </x:c>
      <x:c r="X201" s="12" t="n">
        <x:v>81800</x:v>
      </x:c>
      <x:c r="Y201" s="21"/>
      <x:c r="Z201" s="24" t="n">
        <x:f>IF($A201="","",INDEX(Settings!$C$29:$C$33,MATCH(E201,Settings!$A$29:$A$33,0)))</x:f>
        <x:v>4200</x:v>
      </x:c>
      <x:c r="AA201" s="22" t="n">
        <x:f>IF($A201="","",G201/Z201)</x:f>
        <x:v>1.0047619047619047</x:v>
      </x:c>
      <x:c r="AB201" s="25" t="n">
        <x:f>IF($A201="","",IF(ISNUMBER(Y201),Y201,Settings!$B$10))</x:f>
        <x:v>0.03</x:v>
      </x:c>
      <x:c r="AC201" s="23" t="n">
        <x:f>IF($A201="","",G201*(1+AB201))</x:f>
        <x:v>4346.6</x:v>
      </x:c>
      <x:c r="AD201" s="23" t="n">
        <x:f>IF($A201="","",G201*F201*12)</x:f>
        <x:v>50640</x:v>
      </x:c>
      <x:c r="AE201" s="23" t="n">
        <x:f>IF($A201="","",G201*F201*J201)</x:f>
        <x:v>4220</x:v>
      </x:c>
      <x:c r="AF201" s="24" t="n">
        <x:f>IF($A201="","",L201*F201*K201*Settings!$B$13)</x:f>
        <x:v>3882.4</x:v>
      </x:c>
      <x:c r="AG201" s="23" t="n">
        <x:f>IF($A201="","",AD201*H201*I201)</x:f>
        <x:v>3240.9600000000005</x:v>
      </x:c>
      <x:c r="AH201" s="24" t="n">
        <x:f>IF($A201="","",SUM(AD201:AE201,AG201)*SUM(Settings!$B$11:$B$12))</x:f>
        <x:v>14525.24</x:v>
      </x:c>
      <x:c r="AI201" s="24" t="n">
        <x:f>IF($A201="","",M201*Settings!$B$16)</x:f>
        <x:v>1880.01</x:v>
      </x:c>
      <x:c r="AJ201" s="24" t="n">
        <x:f>IF($A201="","",M201*Settings!$B$15)</x:f>
        <x:v>229.99</x:v>
      </x:c>
      <x:c r="AK201" s="24" t="n">
        <x:f>IF($A201="","",O201*Settings!$B$18)</x:f>
        <x:v>192.4</x:v>
      </x:c>
      <x:c r="AL201" s="24" t="n">
        <x:f>IF($A201="","",P201*Settings!$B$20+Q201*Settings!$B$21+R201*Settings!$B$22+S201*Settings!$B$23)</x:f>
        <x:v>0</x:v>
      </x:c>
      <x:c r="AM201" s="24" t="n">
        <x:f>IF($A201="","",T201*Settings!$B$24)</x:f>
        <x:v>40</x:v>
      </x:c>
      <x:c r="AN201" s="23" t="n">
        <x:f>IF($A201="","",SUM(AI201,N201,AK201:AM201,U201))</x:f>
        <x:v>2362.4100000000003</x:v>
      </x:c>
      <x:c r="AO201" s="23" t="n">
        <x:f>IF($A201="","",SUM(AD201:AI201,N201,AK201:AM201,U201))</x:f>
        <x:v>78871.01</x:v>
      </x:c>
      <x:c r="AP201" s="24" t="n">
        <x:f>IF($A201="","",G201*F201*AB201*((13-Settings!$B$9)*(1+H201*I201)+J201)*(1+SUM(Settings!$B$11:$B$12)))</x:f>
        <x:v>1673.6519999999998</x:v>
      </x:c>
      <x:c r="AQ201" s="23" t="n">
        <x:f>IF($A201="","",SUM(AO201:AP201))</x:f>
        <x:v>80544.662</x:v>
      </x:c>
      <x:c r="AR201" s="23" t="n">
        <x:f>IF($A201="","",AQ201-X201)</x:f>
        <x:v>-1255.3380000000034</x:v>
      </x:c>
      <x:c r="AS201" s="22" t="n">
        <x:f>IF($A201="","",IF(W201=0,"n.a.",V201/W201))</x:f>
        <x:v>0</x:v>
      </x:c>
      <x:c r="AT201" s="26" t="str">
        <x:f>IF($A201="",IF(COUNTA(B201:Y201)&gt;0,"Missing ID",""),IF(COUNTIFS($A$9:$A$508,A201)&gt;1,"Duplicate ID",IF(OR(B201="",C201="",D201="",E201="",COUNT(F201:X201)&lt;&gt;19),"Missing / text input",IF(OR(COUNTIFS(Settings!$A$59:$A$64,B201)&lt;&gt;1,COUNTIFS(Settings!$A$29:$A$33,E201)&lt;&gt;1),"Unknown department / grade",IF(OR(F201&lt;=0,F201&gt;1,G201&lt;=0,L201&lt;=0,H201&lt;0,I201&lt;0,J201&lt;0,K201&lt;0,K201&gt;1,MIN(M201:X201)&lt;0,W201=0,V201&gt;W201,M201&gt;W201-V201,P201&gt;8,Q201&gt;4,R201&gt;12,S201&gt;12,T201&gt;1,AB201&lt;0),"Review quantity / rate",IF(OR(N201&gt;Settings!$C$17,AK201&gt;Settings!$C$19),"Review benefit ceiling","OK"))))))</x:f>
        <x:v>OK</x:v>
      </x:c>
    </x:row>
    <x:row r="202" ht="23" customHeight="1">
      <x:c r="A202" s="8" t="str">
        <x:v>BE-0194</x:v>
      </x:c>
      <x:c r="B202" s="8" t="str">
        <x:v>People &amp; Culture</x:v>
      </x:c>
      <x:c r="C202" s="8" t="str">
        <x:v>Antwerp</x:v>
      </x:c>
      <x:c r="D202" s="8" t="str">
        <x:v>Reward specialist</x:v>
      </x:c>
      <x:c r="E202" s="8" t="str">
        <x:v>G3</x:v>
      </x:c>
      <x:c r="F202" s="20" t="n">
        <x:v>1</x:v>
      </x:c>
      <x:c r="G202" s="12" t="n">
        <x:v>4070</x:v>
      </x:c>
      <x:c r="H202" s="21" t="n">
        <x:v>0.08</x:v>
      </x:c>
      <x:c r="I202" s="20" t="n">
        <x:v>1</x:v>
      </x:c>
      <x:c r="J202" s="20" t="n">
        <x:v>1</x:v>
      </x:c>
      <x:c r="K202" s="20" t="n">
        <x:v>1</x:v>
      </x:c>
      <x:c r="L202" s="12" t="n">
        <x:v>4070</x:v>
      </x:c>
      <x:c r="M202" s="8" t="n">
        <x:v>210</x:v>
      </x:c>
      <x:c r="N202" s="12" t="n">
        <x:v>250</x:v>
      </x:c>
      <x:c r="O202" s="8" t="n">
        <x:v>0</x:v>
      </x:c>
      <x:c r="P202" s="8" t="n">
        <x:v>8</x:v>
      </x:c>
      <x:c r="Q202" s="8" t="n">
        <x:v>4</x:v>
      </x:c>
      <x:c r="R202" s="8" t="n">
        <x:v>12</x:v>
      </x:c>
      <x:c r="S202" s="8" t="n">
        <x:v>0</x:v>
      </x:c>
      <x:c r="T202" s="8" t="n">
        <x:v>1</x:v>
      </x:c>
      <x:c r="U202" s="12" t="n">
        <x:v>0</x:v>
      </x:c>
      <x:c r="V202" s="8" t="n">
        <x:v>1</x:v>
      </x:c>
      <x:c r="W202" s="8" t="n">
        <x:v>230</x:v>
      </x:c>
      <x:c r="X202" s="12" t="n">
        <x:v>82000</x:v>
      </x:c>
      <x:c r="Y202" s="21"/>
      <x:c r="Z202" s="24" t="n">
        <x:f>IF($A202="","",INDEX(Settings!$C$29:$C$33,MATCH(E202,Settings!$A$29:$A$33,0)))</x:f>
        <x:v>4200</x:v>
      </x:c>
      <x:c r="AA202" s="22" t="n">
        <x:f>IF($A202="","",G202/Z202)</x:f>
        <x:v>0.969047619047619</x:v>
      </x:c>
      <x:c r="AB202" s="25" t="n">
        <x:f>IF($A202="","",IF(ISNUMBER(Y202),Y202,Settings!$B$10))</x:f>
        <x:v>0.03</x:v>
      </x:c>
      <x:c r="AC202" s="23" t="n">
        <x:f>IF($A202="","",G202*(1+AB202))</x:f>
        <x:v>4192.1</x:v>
      </x:c>
      <x:c r="AD202" s="23" t="n">
        <x:f>IF($A202="","",G202*F202*12)</x:f>
        <x:v>48840</x:v>
      </x:c>
      <x:c r="AE202" s="23" t="n">
        <x:f>IF($A202="","",G202*F202*J202)</x:f>
        <x:v>4070</x:v>
      </x:c>
      <x:c r="AF202" s="24" t="n">
        <x:f>IF($A202="","",L202*F202*K202*Settings!$B$13)</x:f>
        <x:v>3744.4</x:v>
      </x:c>
      <x:c r="AG202" s="23" t="n">
        <x:f>IF($A202="","",AD202*H202*I202)</x:f>
        <x:v>3907.2000000000003</x:v>
      </x:c>
      <x:c r="AH202" s="24" t="n">
        <x:f>IF($A202="","",SUM(AD202:AE202,AG202)*SUM(Settings!$B$11:$B$12))</x:f>
        <x:v>14204.3</x:v>
      </x:c>
      <x:c r="AI202" s="24" t="n">
        <x:f>IF($A202="","",M202*Settings!$B$16)</x:f>
        <x:v>1871.1000000000001</x:v>
      </x:c>
      <x:c r="AJ202" s="24" t="n">
        <x:f>IF($A202="","",M202*Settings!$B$15)</x:f>
        <x:v>228.9</x:v>
      </x:c>
      <x:c r="AK202" s="24" t="n">
        <x:f>IF($A202="","",O202*Settings!$B$18)</x:f>
        <x:v>0</x:v>
      </x:c>
      <x:c r="AL202" s="24" t="n">
        <x:f>IF($A202="","",P202*Settings!$B$20+Q202*Settings!$B$21+R202*Settings!$B$22+S202*Settings!$B$23)</x:f>
        <x:v>2184.76</x:v>
      </x:c>
      <x:c r="AM202" s="24" t="n">
        <x:f>IF($A202="","",T202*Settings!$B$24)</x:f>
        <x:v>40</x:v>
      </x:c>
      <x:c r="AN202" s="23" t="n">
        <x:f>IF($A202="","",SUM(AI202,N202,AK202:AM202,U202))</x:f>
        <x:v>4345.860000000001</x:v>
      </x:c>
      <x:c r="AO202" s="23" t="n">
        <x:f>IF($A202="","",SUM(AD202:AI202,N202,AK202:AM202,U202))</x:f>
        <x:v>79111.76</x:v>
      </x:c>
      <x:c r="AP202" s="24" t="n">
        <x:f>IF($A202="","",G202*F202*AB202*((13-Settings!$B$9)*(1+H202*I202)+J202)*(1+SUM(Settings!$B$11:$B$12)))</x:f>
        <x:v>1636.14</x:v>
      </x:c>
      <x:c r="AQ202" s="23" t="n">
        <x:f>IF($A202="","",SUM(AO202:AP202))</x:f>
        <x:v>80747.9</x:v>
      </x:c>
      <x:c r="AR202" s="23" t="n">
        <x:f>IF($A202="","",AQ202-X202)</x:f>
        <x:v>-1252.1000000000058</x:v>
      </x:c>
      <x:c r="AS202" s="22" t="n">
        <x:f>IF($A202="","",IF(W202=0,"n.a.",V202/W202))</x:f>
        <x:v>0.004347826086956522</x:v>
      </x:c>
      <x:c r="AT202" s="26" t="str">
        <x:f>IF($A202="",IF(COUNTA(B202:Y202)&gt;0,"Missing ID",""),IF(COUNTIFS($A$9:$A$508,A202)&gt;1,"Duplicate ID",IF(OR(B202="",C202="",D202="",E202="",COUNT(F202:X202)&lt;&gt;19),"Missing / text input",IF(OR(COUNTIFS(Settings!$A$59:$A$64,B202)&lt;&gt;1,COUNTIFS(Settings!$A$29:$A$33,E202)&lt;&gt;1),"Unknown department / grade",IF(OR(F202&lt;=0,F202&gt;1,G202&lt;=0,L202&lt;=0,H202&lt;0,I202&lt;0,J202&lt;0,K202&lt;0,K202&gt;1,MIN(M202:X202)&lt;0,W202=0,V202&gt;W202,M202&gt;W202-V202,P202&gt;8,Q202&gt;4,R202&gt;12,S202&gt;12,T202&gt;1,AB202&lt;0),"Review quantity / rate",IF(OR(N202&gt;Settings!$C$17,AK202&gt;Settings!$C$19),"Review benefit ceiling","OK"))))))</x:f>
        <x:v>OK</x:v>
      </x:c>
    </x:row>
    <x:row r="203" ht="23" customHeight="1">
      <x:c r="A203" s="8" t="str">
        <x:v>BE-0195</x:v>
      </x:c>
      <x:c r="B203" s="8" t="str">
        <x:v>Technology</x:v>
      </x:c>
      <x:c r="C203" s="8" t="str">
        <x:v>Ghent</x:v>
      </x:c>
      <x:c r="D203" s="8" t="str">
        <x:v>Senior engineer</x:v>
      </x:c>
      <x:c r="E203" s="8" t="str">
        <x:v>G3</x:v>
      </x:c>
      <x:c r="F203" s="20" t="n">
        <x:v>1</x:v>
      </x:c>
      <x:c r="G203" s="12" t="n">
        <x:v>3910</x:v>
      </x:c>
      <x:c r="H203" s="21" t="n">
        <x:v>0.08</x:v>
      </x:c>
      <x:c r="I203" s="20" t="n">
        <x:v>1.1</x:v>
      </x:c>
      <x:c r="J203" s="20" t="n">
        <x:v>1</x:v>
      </x:c>
      <x:c r="K203" s="20" t="n">
        <x:v>1</x:v>
      </x:c>
      <x:c r="L203" s="12" t="n">
        <x:v>3910</x:v>
      </x:c>
      <x:c r="M203" s="8" t="n">
        <x:v>209</x:v>
      </x:c>
      <x:c r="N203" s="12" t="n">
        <x:v>250</x:v>
      </x:c>
      <x:c r="O203" s="8" t="n">
        <x:v>0</x:v>
      </x:c>
      <x:c r="P203" s="8" t="n">
        <x:v>8</x:v>
      </x:c>
      <x:c r="Q203" s="8" t="n">
        <x:v>4</x:v>
      </x:c>
      <x:c r="R203" s="8" t="n">
        <x:v>12</x:v>
      </x:c>
      <x:c r="S203" s="8" t="n">
        <x:v>0</x:v>
      </x:c>
      <x:c r="T203" s="8" t="n">
        <x:v>1</x:v>
      </x:c>
      <x:c r="U203" s="12" t="n">
        <x:v>0</x:v>
      </x:c>
      <x:c r="V203" s="8" t="n">
        <x:v>2</x:v>
      </x:c>
      <x:c r="W203" s="8" t="n">
        <x:v>230</x:v>
      </x:c>
      <x:c r="X203" s="12" t="n">
        <x:v>79400</x:v>
      </x:c>
      <x:c r="Y203" s="21"/>
      <x:c r="Z203" s="24" t="n">
        <x:f>IF($A203="","",INDEX(Settings!$C$29:$C$33,MATCH(E203,Settings!$A$29:$A$33,0)))</x:f>
        <x:v>4200</x:v>
      </x:c>
      <x:c r="AA203" s="22" t="n">
        <x:f>IF($A203="","",G203/Z203)</x:f>
        <x:v>0.930952380952381</x:v>
      </x:c>
      <x:c r="AB203" s="25" t="n">
        <x:f>IF($A203="","",IF(ISNUMBER(Y203),Y203,Settings!$B$10))</x:f>
        <x:v>0.03</x:v>
      </x:c>
      <x:c r="AC203" s="23" t="n">
        <x:f>IF($A203="","",G203*(1+AB203))</x:f>
        <x:v>4027.3</x:v>
      </x:c>
      <x:c r="AD203" s="23" t="n">
        <x:f>IF($A203="","",G203*F203*12)</x:f>
        <x:v>46920</x:v>
      </x:c>
      <x:c r="AE203" s="23" t="n">
        <x:f>IF($A203="","",G203*F203*J203)</x:f>
        <x:v>3910</x:v>
      </x:c>
      <x:c r="AF203" s="24" t="n">
        <x:f>IF($A203="","",L203*F203*K203*Settings!$B$13)</x:f>
        <x:v>3597.2000000000003</x:v>
      </x:c>
      <x:c r="AG203" s="23" t="n">
        <x:f>IF($A203="","",AD203*H203*I203)</x:f>
        <x:v>4128.96</x:v>
      </x:c>
      <x:c r="AH203" s="24" t="n">
        <x:f>IF($A203="","",SUM(AD203:AE203,AG203)*SUM(Settings!$B$11:$B$12))</x:f>
        <x:v>13739.74</x:v>
      </x:c>
      <x:c r="AI203" s="24" t="n">
        <x:f>IF($A203="","",M203*Settings!$B$16)</x:f>
        <x:v>1862.19</x:v>
      </x:c>
      <x:c r="AJ203" s="24" t="n">
        <x:f>IF($A203="","",M203*Settings!$B$15)</x:f>
        <x:v>227.81000000000003</x:v>
      </x:c>
      <x:c r="AK203" s="24" t="n">
        <x:f>IF($A203="","",O203*Settings!$B$18)</x:f>
        <x:v>0</x:v>
      </x:c>
      <x:c r="AL203" s="24" t="n">
        <x:f>IF($A203="","",P203*Settings!$B$20+Q203*Settings!$B$21+R203*Settings!$B$22+S203*Settings!$B$23)</x:f>
        <x:v>2184.76</x:v>
      </x:c>
      <x:c r="AM203" s="24" t="n">
        <x:f>IF($A203="","",T203*Settings!$B$24)</x:f>
        <x:v>40</x:v>
      </x:c>
      <x:c r="AN203" s="23" t="n">
        <x:f>IF($A203="","",SUM(AI203,N203,AK203:AM203,U203))</x:f>
        <x:v>4336.950000000001</x:v>
      </x:c>
      <x:c r="AO203" s="23" t="n">
        <x:f>IF($A203="","",SUM(AD203:AI203,N203,AK203:AM203,U203))</x:f>
        <x:v>76632.84999999999</x:v>
      </x:c>
      <x:c r="AP203" s="24" t="n">
        <x:f>IF($A203="","",G203*F203*AB203*((13-Settings!$B$9)*(1+H203*I203)+J203)*(1+SUM(Settings!$B$11:$B$12)))</x:f>
        <x:v>1582.3770000000002</x:v>
      </x:c>
      <x:c r="AQ203" s="23" t="n">
        <x:f>IF($A203="","",SUM(AO203:AP203))</x:f>
        <x:v>78215.22699999998</x:v>
      </x:c>
      <x:c r="AR203" s="23" t="n">
        <x:f>IF($A203="","",AQ203-X203)</x:f>
        <x:v>-1184.7730000000156</x:v>
      </x:c>
      <x:c r="AS203" s="22" t="n">
        <x:f>IF($A203="","",IF(W203=0,"n.a.",V203/W203))</x:f>
        <x:v>0.008695652173913044</x:v>
      </x:c>
      <x:c r="AT203" s="26" t="str">
        <x:f>IF($A203="",IF(COUNTA(B203:Y203)&gt;0,"Missing ID",""),IF(COUNTIFS($A$9:$A$508,A203)&gt;1,"Duplicate ID",IF(OR(B203="",C203="",D203="",E203="",COUNT(F203:X203)&lt;&gt;19),"Missing / text input",IF(OR(COUNTIFS(Settings!$A$59:$A$64,B203)&lt;&gt;1,COUNTIFS(Settings!$A$29:$A$33,E203)&lt;&gt;1),"Unknown department / grade",IF(OR(F203&lt;=0,F203&gt;1,G203&lt;=0,L203&lt;=0,H203&lt;0,I203&lt;0,J203&lt;0,K203&lt;0,K203&gt;1,MIN(M203:X203)&lt;0,W203=0,V203&gt;W203,M203&gt;W203-V203,P203&gt;8,Q203&gt;4,R203&gt;12,S203&gt;12,T203&gt;1,AB203&lt;0),"Review quantity / rate",IF(OR(N203&gt;Settings!$C$17,AK203&gt;Settings!$C$19),"Review benefit ceiling","OK"))))))</x:f>
        <x:v>OK</x:v>
      </x:c>
    </x:row>
    <x:row r="204" ht="23" customHeight="1">
      <x:c r="A204" s="8" t="str">
        <x:v>BE-0196</x:v>
      </x:c>
      <x:c r="B204" s="8" t="str">
        <x:v>Sales</x:v>
      </x:c>
      <x:c r="C204" s="8" t="str">
        <x:v>Brussels</x:v>
      </x:c>
      <x:c r="D204" s="8" t="str">
        <x:v>Senior account manager</x:v>
      </x:c>
      <x:c r="E204" s="8" t="str">
        <x:v>G3</x:v>
      </x:c>
      <x:c r="F204" s="20" t="n">
        <x:v>1</x:v>
      </x:c>
      <x:c r="G204" s="12" t="n">
        <x:v>4360</x:v>
      </x:c>
      <x:c r="H204" s="21" t="n">
        <x:v>0.08</x:v>
      </x:c>
      <x:c r="I204" s="20" t="n">
        <x:v>0.8</x:v>
      </x:c>
      <x:c r="J204" s="20" t="n">
        <x:v>1</x:v>
      </x:c>
      <x:c r="K204" s="20" t="n">
        <x:v>1</x:v>
      </x:c>
      <x:c r="L204" s="12" t="n">
        <x:v>4360</x:v>
      </x:c>
      <x:c r="M204" s="8" t="n">
        <x:v>208</x:v>
      </x:c>
      <x:c r="N204" s="12" t="n">
        <x:v>250</x:v>
      </x:c>
      <x:c r="O204" s="8" t="n">
        <x:v>850</x:v>
      </x:c>
      <x:c r="P204" s="8" t="n">
        <x:v>8</x:v>
      </x:c>
      <x:c r="Q204" s="8" t="n">
        <x:v>4</x:v>
      </x:c>
      <x:c r="R204" s="8" t="n">
        <x:v>12</x:v>
      </x:c>
      <x:c r="S204" s="8" t="n">
        <x:v>12</x:v>
      </x:c>
      <x:c r="T204" s="8" t="n">
        <x:v>1</x:v>
      </x:c>
      <x:c r="U204" s="12" t="n">
        <x:v>0</x:v>
      </x:c>
      <x:c r="V204" s="8" t="n">
        <x:v>3</x:v>
      </x:c>
      <x:c r="W204" s="8" t="n">
        <x:v>230</x:v>
      </x:c>
      <x:c r="X204" s="12" t="n">
        <x:v>84400</x:v>
      </x:c>
      <x:c r="Y204" s="21"/>
      <x:c r="Z204" s="24" t="n">
        <x:f>IF($A204="","",INDEX(Settings!$C$29:$C$33,MATCH(E204,Settings!$A$29:$A$33,0)))</x:f>
        <x:v>4200</x:v>
      </x:c>
      <x:c r="AA204" s="22" t="n">
        <x:f>IF($A204="","",G204/Z204)</x:f>
        <x:v>1.0380952380952382</x:v>
      </x:c>
      <x:c r="AB204" s="25" t="n">
        <x:f>IF($A204="","",IF(ISNUMBER(Y204),Y204,Settings!$B$10))</x:f>
        <x:v>0.03</x:v>
      </x:c>
      <x:c r="AC204" s="23" t="n">
        <x:f>IF($A204="","",G204*(1+AB204))</x:f>
        <x:v>4490.8</x:v>
      </x:c>
      <x:c r="AD204" s="23" t="n">
        <x:f>IF($A204="","",G204*F204*12)</x:f>
        <x:v>52320</x:v>
      </x:c>
      <x:c r="AE204" s="23" t="n">
        <x:f>IF($A204="","",G204*F204*J204)</x:f>
        <x:v>4360</x:v>
      </x:c>
      <x:c r="AF204" s="24" t="n">
        <x:f>IF($A204="","",L204*F204*K204*Settings!$B$13)</x:f>
        <x:v>4011.2000000000003</x:v>
      </x:c>
      <x:c r="AG204" s="23" t="n">
        <x:f>IF($A204="","",AD204*H204*I204)</x:f>
        <x:v>3348.4800000000005</x:v>
      </x:c>
      <x:c r="AH204" s="24" t="n">
        <x:f>IF($A204="","",SUM(AD204:AE204,AG204)*SUM(Settings!$B$11:$B$12))</x:f>
        <x:v>15007.12</x:v>
      </x:c>
      <x:c r="AI204" s="24" t="n">
        <x:f>IF($A204="","",M204*Settings!$B$16)</x:f>
        <x:v>1853.28</x:v>
      </x:c>
      <x:c r="AJ204" s="24" t="n">
        <x:f>IF($A204="","",M204*Settings!$B$15)</x:f>
        <x:v>226.72000000000003</x:v>
      </x:c>
      <x:c r="AK204" s="24" t="n">
        <x:f>IF($A204="","",O204*Settings!$B$18)</x:f>
        <x:v>314.5</x:v>
      </x:c>
      <x:c r="AL204" s="24" t="n">
        <x:f>IF($A204="","",P204*Settings!$B$20+Q204*Settings!$B$21+R204*Settings!$B$22+S204*Settings!$B$23)</x:f>
        <x:v>2424.76</x:v>
      </x:c>
      <x:c r="AM204" s="24" t="n">
        <x:f>IF($A204="","",T204*Settings!$B$24)</x:f>
        <x:v>40</x:v>
      </x:c>
      <x:c r="AN204" s="23" t="n">
        <x:f>IF($A204="","",SUM(AI204,N204,AK204:AM204,U204))</x:f>
        <x:v>4882.54</x:v>
      </x:c>
      <x:c r="AO204" s="23" t="n">
        <x:f>IF($A204="","",SUM(AD204:AI204,N204,AK204:AM204,U204))</x:f>
        <x:v>83929.34</x:v>
      </x:c>
      <x:c r="AP204" s="24" t="n">
        <x:f>IF($A204="","",G204*F204*AB204*((13-Settings!$B$9)*(1+H204*I204)+J204)*(1+SUM(Settings!$B$11:$B$12)))</x:f>
        <x:v>1729.176</x:v>
      </x:c>
      <x:c r="AQ204" s="23" t="n">
        <x:f>IF($A204="","",SUM(AO204:AP204))</x:f>
        <x:v>85658.516</x:v>
      </x:c>
      <x:c r="AR204" s="23" t="n">
        <x:f>IF($A204="","",AQ204-X204)</x:f>
        <x:v>1258.5160000000033</x:v>
      </x:c>
      <x:c r="AS204" s="22" t="n">
        <x:f>IF($A204="","",IF(W204=0,"n.a.",V204/W204))</x:f>
        <x:v>0.013043478260869565</x:v>
      </x:c>
      <x:c r="AT204" s="26" t="str">
        <x:f>IF($A204="",IF(COUNTA(B204:Y204)&gt;0,"Missing ID",""),IF(COUNTIFS($A$9:$A$508,A204)&gt;1,"Duplicate ID",IF(OR(B204="",C204="",D204="",E204="",COUNT(F204:X204)&lt;&gt;19),"Missing / text input",IF(OR(COUNTIFS(Settings!$A$59:$A$64,B204)&lt;&gt;1,COUNTIFS(Settings!$A$29:$A$33,E204)&lt;&gt;1),"Unknown department / grade",IF(OR(F204&lt;=0,F204&gt;1,G204&lt;=0,L204&lt;=0,H204&lt;0,I204&lt;0,J204&lt;0,K204&lt;0,K204&gt;1,MIN(M204:X204)&lt;0,W204=0,V204&gt;W204,M204&gt;W204-V204,P204&gt;8,Q204&gt;4,R204&gt;12,S204&gt;12,T204&gt;1,AB204&lt;0),"Review quantity / rate",IF(OR(N204&gt;Settings!$C$17,AK204&gt;Settings!$C$19),"Review benefit ceiling","OK"))))))</x:f>
        <x:v>OK</x:v>
      </x:c>
    </x:row>
    <x:row r="205" ht="23" customHeight="1">
      <x:c r="A205" s="8" t="str">
        <x:v>BE-0197</x:v>
      </x:c>
      <x:c r="B205" s="8" t="str">
        <x:v>Customer Operations</x:v>
      </x:c>
      <x:c r="C205" s="8" t="str">
        <x:v>Antwerp</x:v>
      </x:c>
      <x:c r="D205" s="8" t="str">
        <x:v>Senior service specialist</x:v>
      </x:c>
      <x:c r="E205" s="8" t="str">
        <x:v>G3</x:v>
      </x:c>
      <x:c r="F205" s="20" t="n">
        <x:v>0.8</x:v>
      </x:c>
      <x:c r="G205" s="12" t="n">
        <x:v>4400</x:v>
      </x:c>
      <x:c r="H205" s="21" t="n">
        <x:v>0.08</x:v>
      </x:c>
      <x:c r="I205" s="20" t="n">
        <x:v>1</x:v>
      </x:c>
      <x:c r="J205" s="20" t="n">
        <x:v>1</x:v>
      </x:c>
      <x:c r="K205" s="20" t="n">
        <x:v>1</x:v>
      </x:c>
      <x:c r="L205" s="12" t="n">
        <x:v>4400</x:v>
      </x:c>
      <x:c r="M205" s="8" t="n">
        <x:v>171</x:v>
      </x:c>
      <x:c r="N205" s="12" t="n">
        <x:v>200</x:v>
      </x:c>
      <x:c r="O205" s="8" t="n">
        <x:v>0</x:v>
      </x:c>
      <x:c r="P205" s="8" t="n">
        <x:v>0</x:v>
      </x:c>
      <x:c r="Q205" s="8" t="n">
        <x:v>0</x:v>
      </x:c>
      <x:c r="R205" s="8" t="n">
        <x:v>0</x:v>
      </x:c>
      <x:c r="S205" s="8" t="n">
        <x:v>0</x:v>
      </x:c>
      <x:c r="T205" s="8" t="n">
        <x:v>1</x:v>
      </x:c>
      <x:c r="U205" s="12" t="n">
        <x:v>0</x:v>
      </x:c>
      <x:c r="V205" s="8" t="n">
        <x:v>4</x:v>
      </x:c>
      <x:c r="W205" s="8" t="n">
        <x:v>184</x:v>
      </x:c>
      <x:c r="X205" s="12" t="n">
        <x:v>68900</x:v>
      </x:c>
      <x:c r="Y205" s="21"/>
      <x:c r="Z205" s="24" t="n">
        <x:f>IF($A205="","",INDEX(Settings!$C$29:$C$33,MATCH(E205,Settings!$A$29:$A$33,0)))</x:f>
        <x:v>4200</x:v>
      </x:c>
      <x:c r="AA205" s="22" t="n">
        <x:f>IF($A205="","",G205/Z205)</x:f>
        <x:v>1.0476190476190477</x:v>
      </x:c>
      <x:c r="AB205" s="25" t="n">
        <x:f>IF($A205="","",IF(ISNUMBER(Y205),Y205,Settings!$B$10))</x:f>
        <x:v>0.03</x:v>
      </x:c>
      <x:c r="AC205" s="23" t="n">
        <x:f>IF($A205="","",G205*(1+AB205))</x:f>
        <x:v>4532</x:v>
      </x:c>
      <x:c r="AD205" s="23" t="n">
        <x:f>IF($A205="","",G205*F205*12)</x:f>
        <x:v>42240</x:v>
      </x:c>
      <x:c r="AE205" s="23" t="n">
        <x:f>IF($A205="","",G205*F205*J205)</x:f>
        <x:v>3520</x:v>
      </x:c>
      <x:c r="AF205" s="24" t="n">
        <x:f>IF($A205="","",L205*F205*K205*Settings!$B$13)</x:f>
        <x:v>3238.4</x:v>
      </x:c>
      <x:c r="AG205" s="23" t="n">
        <x:f>IF($A205="","",AD205*H205*I205)</x:f>
        <x:v>3379.2000000000003</x:v>
      </x:c>
      <x:c r="AH205" s="24" t="n">
        <x:f>IF($A205="","",SUM(AD205:AE205,AG205)*SUM(Settings!$B$11:$B$12))</x:f>
        <x:v>12284.8</x:v>
      </x:c>
      <x:c r="AI205" s="24" t="n">
        <x:f>IF($A205="","",M205*Settings!$B$16)</x:f>
        <x:v>1523.6100000000001</x:v>
      </x:c>
      <x:c r="AJ205" s="24" t="n">
        <x:f>IF($A205="","",M205*Settings!$B$15)</x:f>
        <x:v>186.39000000000001</x:v>
      </x:c>
      <x:c r="AK205" s="24" t="n">
        <x:f>IF($A205="","",O205*Settings!$B$18)</x:f>
        <x:v>0</x:v>
      </x:c>
      <x:c r="AL205" s="24" t="n">
        <x:f>IF($A205="","",P205*Settings!$B$20+Q205*Settings!$B$21+R205*Settings!$B$22+S205*Settings!$B$23)</x:f>
        <x:v>0</x:v>
      </x:c>
      <x:c r="AM205" s="24" t="n">
        <x:f>IF($A205="","",T205*Settings!$B$24)</x:f>
        <x:v>40</x:v>
      </x:c>
      <x:c r="AN205" s="23" t="n">
        <x:f>IF($A205="","",SUM(AI205,N205,AK205:AM205,U205))</x:f>
        <x:v>1763.6100000000001</x:v>
      </x:c>
      <x:c r="AO205" s="23" t="n">
        <x:f>IF($A205="","",SUM(AD205:AI205,N205,AK205:AM205,U205))</x:f>
        <x:v>66426.01</x:v>
      </x:c>
      <x:c r="AP205" s="24" t="n">
        <x:f>IF($A205="","",G205*F205*AB205*((13-Settings!$B$9)*(1+H205*I205)+J205)*(1+SUM(Settings!$B$11:$B$12)))</x:f>
        <x:v>1415.04</x:v>
      </x:c>
      <x:c r="AQ205" s="23" t="n">
        <x:f>IF($A205="","",SUM(AO205:AP205))</x:f>
        <x:v>67841.04999999999</x:v>
      </x:c>
      <x:c r="AR205" s="23" t="n">
        <x:f>IF($A205="","",AQ205-X205)</x:f>
        <x:v>-1058.9500000000116</x:v>
      </x:c>
      <x:c r="AS205" s="22" t="n">
        <x:f>IF($A205="","",IF(W205=0,"n.a.",V205/W205))</x:f>
        <x:v>0.021739130434782608</x:v>
      </x:c>
      <x:c r="AT205" s="26" t="str">
        <x:f>IF($A205="",IF(COUNTA(B205:Y205)&gt;0,"Missing ID",""),IF(COUNTIFS($A$9:$A$508,A205)&gt;1,"Duplicate ID",IF(OR(B205="",C205="",D205="",E205="",COUNT(F205:X205)&lt;&gt;19),"Missing / text input",IF(OR(COUNTIFS(Settings!$A$59:$A$64,B205)&lt;&gt;1,COUNTIFS(Settings!$A$29:$A$33,E205)&lt;&gt;1),"Unknown department / grade",IF(OR(F205&lt;=0,F205&gt;1,G205&lt;=0,L205&lt;=0,H205&lt;0,I205&lt;0,J205&lt;0,K205&lt;0,K205&gt;1,MIN(M205:X205)&lt;0,W205=0,V205&gt;W205,M205&gt;W205-V205,P205&gt;8,Q205&gt;4,R205&gt;12,S205&gt;12,T205&gt;1,AB205&lt;0),"Review quantity / rate",IF(OR(N205&gt;Settings!$C$17,AK205&gt;Settings!$C$19),"Review benefit ceiling","OK"))))))</x:f>
        <x:v>OK</x:v>
      </x:c>
    </x:row>
    <x:row r="206" ht="23" customHeight="1">
      <x:c r="A206" s="8" t="str">
        <x:v>BE-0198</x:v>
      </x:c>
      <x:c r="B206" s="8" t="str">
        <x:v>Business Support</x:v>
      </x:c>
      <x:c r="C206" s="8" t="str">
        <x:v>Ghent</x:v>
      </x:c>
      <x:c r="D206" s="8" t="str">
        <x:v>Support manager</x:v>
      </x:c>
      <x:c r="E206" s="8" t="str">
        <x:v>G4</x:v>
      </x:c>
      <x:c r="F206" s="20" t="n">
        <x:v>1</x:v>
      </x:c>
      <x:c r="G206" s="12" t="n">
        <x:v>5360</x:v>
      </x:c>
      <x:c r="H206" s="21" t="n">
        <x:v>0.12</x:v>
      </x:c>
      <x:c r="I206" s="20" t="n">
        <x:v>1.1</x:v>
      </x:c>
      <x:c r="J206" s="20" t="n">
        <x:v>1</x:v>
      </x:c>
      <x:c r="K206" s="20" t="n">
        <x:v>1</x:v>
      </x:c>
      <x:c r="L206" s="12" t="n">
        <x:v>5360</x:v>
      </x:c>
      <x:c r="M206" s="8" t="n">
        <x:v>213</x:v>
      </x:c>
      <x:c r="N206" s="12" t="n">
        <x:v>250</x:v>
      </x:c>
      <x:c r="O206" s="8" t="n">
        <x:v>0</x:v>
      </x:c>
      <x:c r="P206" s="8" t="n">
        <x:v>8</x:v>
      </x:c>
      <x:c r="Q206" s="8" t="n">
        <x:v>4</x:v>
      </x:c>
      <x:c r="R206" s="8" t="n">
        <x:v>12</x:v>
      </x:c>
      <x:c r="S206" s="8" t="n">
        <x:v>0</x:v>
      </x:c>
      <x:c r="T206" s="8" t="n">
        <x:v>1</x:v>
      </x:c>
      <x:c r="U206" s="12" t="n">
        <x:v>0</x:v>
      </x:c>
      <x:c r="V206" s="8" t="n">
        <x:v>5</x:v>
      </x:c>
      <x:c r="W206" s="8" t="n">
        <x:v>230</x:v>
      </x:c>
      <x:c r="X206" s="12" t="n">
        <x:v>110900</x:v>
      </x:c>
      <x:c r="Y206" s="21"/>
      <x:c r="Z206" s="24" t="n">
        <x:f>IF($A206="","",INDEX(Settings!$C$29:$C$33,MATCH(E206,Settings!$A$29:$A$33,0)))</x:f>
        <x:v>5400</x:v>
      </x:c>
      <x:c r="AA206" s="22" t="n">
        <x:f>IF($A206="","",G206/Z206)</x:f>
        <x:v>0.9925925925925926</x:v>
      </x:c>
      <x:c r="AB206" s="25" t="n">
        <x:f>IF($A206="","",IF(ISNUMBER(Y206),Y206,Settings!$B$10))</x:f>
        <x:v>0.03</x:v>
      </x:c>
      <x:c r="AC206" s="23" t="n">
        <x:f>IF($A206="","",G206*(1+AB206))</x:f>
        <x:v>5520.8</x:v>
      </x:c>
      <x:c r="AD206" s="23" t="n">
        <x:f>IF($A206="","",G206*F206*12)</x:f>
        <x:v>64320</x:v>
      </x:c>
      <x:c r="AE206" s="23" t="n">
        <x:f>IF($A206="","",G206*F206*J206)</x:f>
        <x:v>5360</x:v>
      </x:c>
      <x:c r="AF206" s="24" t="n">
        <x:f>IF($A206="","",L206*F206*K206*Settings!$B$13)</x:f>
        <x:v>4931.2</x:v>
      </x:c>
      <x:c r="AG206" s="23" t="n">
        <x:f>IF($A206="","",AD206*H206*I206)</x:f>
        <x:v>8490.24</x:v>
      </x:c>
      <x:c r="AH206" s="24" t="n">
        <x:f>IF($A206="","",SUM(AD206:AE206,AG206)*SUM(Settings!$B$11:$B$12))</x:f>
        <x:v>19542.56</x:v>
      </x:c>
      <x:c r="AI206" s="24" t="n">
        <x:f>IF($A206="","",M206*Settings!$B$16)</x:f>
        <x:v>1897.83</x:v>
      </x:c>
      <x:c r="AJ206" s="24" t="n">
        <x:f>IF($A206="","",M206*Settings!$B$15)</x:f>
        <x:v>232.17000000000002</x:v>
      </x:c>
      <x:c r="AK206" s="24" t="n">
        <x:f>IF($A206="","",O206*Settings!$B$18)</x:f>
        <x:v>0</x:v>
      </x:c>
      <x:c r="AL206" s="24" t="n">
        <x:f>IF($A206="","",P206*Settings!$B$20+Q206*Settings!$B$21+R206*Settings!$B$22+S206*Settings!$B$23)</x:f>
        <x:v>2184.76</x:v>
      </x:c>
      <x:c r="AM206" s="24" t="n">
        <x:f>IF($A206="","",T206*Settings!$B$24)</x:f>
        <x:v>40</x:v>
      </x:c>
      <x:c r="AN206" s="23" t="n">
        <x:f>IF($A206="","",SUM(AI206,N206,AK206:AM206,U206))</x:f>
        <x:v>4372.59</x:v>
      </x:c>
      <x:c r="AO206" s="23" t="n">
        <x:f>IF($A206="","",SUM(AD206:AI206,N206,AK206:AM206,U206))</x:f>
        <x:v>107016.59</x:v>
      </x:c>
      <x:c r="AP206" s="24" t="n">
        <x:f>IF($A206="","",G206*F206*AB206*((13-Settings!$B$9)*(1+H206*I206)+J206)*(1+SUM(Settings!$B$11:$B$12)))</x:f>
        <x:v>2248.788</x:v>
      </x:c>
      <x:c r="AQ206" s="23" t="n">
        <x:f>IF($A206="","",SUM(AO206:AP206))</x:f>
        <x:v>109265.378</x:v>
      </x:c>
      <x:c r="AR206" s="23" t="n">
        <x:f>IF($A206="","",AQ206-X206)</x:f>
        <x:v>-1634.622000000003</x:v>
      </x:c>
      <x:c r="AS206" s="22" t="n">
        <x:f>IF($A206="","",IF(W206=0,"n.a.",V206/W206))</x:f>
        <x:v>0.021739130434782608</x:v>
      </x:c>
      <x:c r="AT206" s="26" t="str">
        <x:f>IF($A206="",IF(COUNTA(B206:Y206)&gt;0,"Missing ID",""),IF(COUNTIFS($A$9:$A$508,A206)&gt;1,"Duplicate ID",IF(OR(B206="",C206="",D206="",E206="",COUNT(F206:X206)&lt;&gt;19),"Missing / text input",IF(OR(COUNTIFS(Settings!$A$59:$A$64,B206)&lt;&gt;1,COUNTIFS(Settings!$A$29:$A$33,E206)&lt;&gt;1),"Unknown department / grade",IF(OR(F206&lt;=0,F206&gt;1,G206&lt;=0,L206&lt;=0,H206&lt;0,I206&lt;0,J206&lt;0,K206&lt;0,K206&gt;1,MIN(M206:X206)&lt;0,W206=0,V206&gt;W206,M206&gt;W206-V206,P206&gt;8,Q206&gt;4,R206&gt;12,S206&gt;12,T206&gt;1,AB206&lt;0),"Review quantity / rate",IF(OR(N206&gt;Settings!$C$17,AK206&gt;Settings!$C$19),"Review benefit ceiling","OK"))))))</x:f>
        <x:v>OK</x:v>
      </x:c>
    </x:row>
    <x:row r="207" ht="23" customHeight="1">
      <x:c r="A207" s="8" t="str">
        <x:v>BE-0199</x:v>
      </x:c>
      <x:c r="B207" s="8" t="str">
        <x:v>Finance</x:v>
      </x:c>
      <x:c r="C207" s="8" t="str">
        <x:v>Brussels</x:v>
      </x:c>
      <x:c r="D207" s="8" t="str">
        <x:v>Finance manager</x:v>
      </x:c>
      <x:c r="E207" s="8" t="str">
        <x:v>G4</x:v>
      </x:c>
      <x:c r="F207" s="20" t="n">
        <x:v>0.6</x:v>
      </x:c>
      <x:c r="G207" s="12" t="n">
        <x:v>4910</x:v>
      </x:c>
      <x:c r="H207" s="21" t="n">
        <x:v>0.12</x:v>
      </x:c>
      <x:c r="I207" s="20" t="n">
        <x:v>0.8</x:v>
      </x:c>
      <x:c r="J207" s="20" t="n">
        <x:v>1</x:v>
      </x:c>
      <x:c r="K207" s="20" t="n">
        <x:v>1</x:v>
      </x:c>
      <x:c r="L207" s="12" t="n">
        <x:v>4910</x:v>
      </x:c>
      <x:c r="M207" s="8" t="n">
        <x:v>126</x:v>
      </x:c>
      <x:c r="N207" s="12" t="n">
        <x:v>150</x:v>
      </x:c>
      <x:c r="O207" s="8" t="n">
        <x:v>1180</x:v>
      </x:c>
      <x:c r="P207" s="8" t="n">
        <x:v>8</x:v>
      </x:c>
      <x:c r="Q207" s="8" t="n">
        <x:v>4</x:v>
      </x:c>
      <x:c r="R207" s="8" t="n">
        <x:v>12</x:v>
      </x:c>
      <x:c r="S207" s="8" t="n">
        <x:v>0</x:v>
      </x:c>
      <x:c r="T207" s="8" t="n">
        <x:v>1</x:v>
      </x:c>
      <x:c r="U207" s="12" t="n">
        <x:v>0</x:v>
      </x:c>
      <x:c r="V207" s="8" t="n">
        <x:v>6</x:v>
      </x:c>
      <x:c r="W207" s="8" t="n">
        <x:v>138</x:v>
      </x:c>
      <x:c r="X207" s="12" t="n">
        <x:v>59600</x:v>
      </x:c>
      <x:c r="Y207" s="21" t="n">
        <x:v>0</x:v>
      </x:c>
      <x:c r="Z207" s="24" t="n">
        <x:f>IF($A207="","",INDEX(Settings!$C$29:$C$33,MATCH(E207,Settings!$A$29:$A$33,0)))</x:f>
        <x:v>5400</x:v>
      </x:c>
      <x:c r="AA207" s="22" t="n">
        <x:f>IF($A207="","",G207/Z207)</x:f>
        <x:v>0.9092592592592592</x:v>
      </x:c>
      <x:c r="AB207" s="25" t="n">
        <x:f>IF($A207="","",IF(ISNUMBER(Y207),Y207,Settings!$B$10))</x:f>
        <x:v>0</x:v>
      </x:c>
      <x:c r="AC207" s="23" t="n">
        <x:f>IF($A207="","",G207*(1+AB207))</x:f>
        <x:v>4910</x:v>
      </x:c>
      <x:c r="AD207" s="23" t="n">
        <x:f>IF($A207="","",G207*F207*12)</x:f>
        <x:v>35352</x:v>
      </x:c>
      <x:c r="AE207" s="23" t="n">
        <x:f>IF($A207="","",G207*F207*J207)</x:f>
        <x:v>2946</x:v>
      </x:c>
      <x:c r="AF207" s="24" t="n">
        <x:f>IF($A207="","",L207*F207*K207*Settings!$B$13)</x:f>
        <x:v>2710.32</x:v>
      </x:c>
      <x:c r="AG207" s="23" t="n">
        <x:f>IF($A207="","",AD207*H207*I207)</x:f>
        <x:v>3393.792</x:v>
      </x:c>
      <x:c r="AH207" s="24" t="n">
        <x:f>IF($A207="","",SUM(AD207:AE207,AG207)*SUM(Settings!$B$11:$B$12))</x:f>
        <x:v>10422.948</x:v>
      </x:c>
      <x:c r="AI207" s="24" t="n">
        <x:f>IF($A207="","",M207*Settings!$B$16)</x:f>
        <x:v>1122.66</x:v>
      </x:c>
      <x:c r="AJ207" s="24" t="n">
        <x:f>IF($A207="","",M207*Settings!$B$15)</x:f>
        <x:v>137.34</x:v>
      </x:c>
      <x:c r="AK207" s="24" t="n">
        <x:f>IF($A207="","",O207*Settings!$B$18)</x:f>
        <x:v>436.6</x:v>
      </x:c>
      <x:c r="AL207" s="24" t="n">
        <x:f>IF($A207="","",P207*Settings!$B$20+Q207*Settings!$B$21+R207*Settings!$B$22+S207*Settings!$B$23)</x:f>
        <x:v>2184.76</x:v>
      </x:c>
      <x:c r="AM207" s="24" t="n">
        <x:f>IF($A207="","",T207*Settings!$B$24)</x:f>
        <x:v>40</x:v>
      </x:c>
      <x:c r="AN207" s="23" t="n">
        <x:f>IF($A207="","",SUM(AI207,N207,AK207:AM207,U207))</x:f>
        <x:v>3934.0200000000004</x:v>
      </x:c>
      <x:c r="AO207" s="23" t="n">
        <x:f>IF($A207="","",SUM(AD207:AI207,N207,AK207:AM207,U207))</x:f>
        <x:v>58759.08</x:v>
      </x:c>
      <x:c r="AP207" s="24" t="n">
        <x:f>IF($A207="","",G207*F207*AB207*((13-Settings!$B$9)*(1+H207*I207)+J207)*(1+SUM(Settings!$B$11:$B$12)))</x:f>
        <x:v>0</x:v>
      </x:c>
      <x:c r="AQ207" s="23" t="n">
        <x:f>IF($A207="","",SUM(AO207:AP207))</x:f>
        <x:v>58759.08</x:v>
      </x:c>
      <x:c r="AR207" s="23" t="n">
        <x:f>IF($A207="","",AQ207-X207)</x:f>
        <x:v>-840.9199999999983</x:v>
      </x:c>
      <x:c r="AS207" s="22" t="n">
        <x:f>IF($A207="","",IF(W207=0,"n.a.",V207/W207))</x:f>
        <x:v>0.043478260869565216</x:v>
      </x:c>
      <x:c r="AT207" s="26" t="str">
        <x:f>IF($A207="",IF(COUNTA(B207:Y207)&gt;0,"Missing ID",""),IF(COUNTIFS($A$9:$A$508,A207)&gt;1,"Duplicate ID",IF(OR(B207="",C207="",D207="",E207="",COUNT(F207:X207)&lt;&gt;19),"Missing / text input",IF(OR(COUNTIFS(Settings!$A$59:$A$64,B207)&lt;&gt;1,COUNTIFS(Settings!$A$29:$A$33,E207)&lt;&gt;1),"Unknown department / grade",IF(OR(F207&lt;=0,F207&gt;1,G207&lt;=0,L207&lt;=0,H207&lt;0,I207&lt;0,J207&lt;0,K207&lt;0,K207&gt;1,MIN(M207:X207)&lt;0,W207=0,V207&gt;W207,M207&gt;W207-V207,P207&gt;8,Q207&gt;4,R207&gt;12,S207&gt;12,T207&gt;1,AB207&lt;0),"Review quantity / rate",IF(OR(N207&gt;Settings!$C$17,AK207&gt;Settings!$C$19),"Review benefit ceiling","OK"))))))</x:f>
        <x:v>OK</x:v>
      </x:c>
    </x:row>
    <x:row r="208" ht="23" customHeight="1">
      <x:c r="A208" s="8" t="str">
        <x:v>BE-0200</x:v>
      </x:c>
      <x:c r="B208" s="8" t="str">
        <x:v>People &amp; Culture</x:v>
      </x:c>
      <x:c r="C208" s="8" t="str">
        <x:v>Antwerp</x:v>
      </x:c>
      <x:c r="D208" s="8" t="str">
        <x:v>Head of People</x:v>
      </x:c>
      <x:c r="E208" s="8" t="str">
        <x:v>G5</x:v>
      </x:c>
      <x:c r="F208" s="20" t="n">
        <x:v>1</x:v>
      </x:c>
      <x:c r="G208" s="12" t="n">
        <x:v>7110</x:v>
      </x:c>
      <x:c r="H208" s="21" t="n">
        <x:v>0.18</x:v>
      </x:c>
      <x:c r="I208" s="20" t="n">
        <x:v>1</x:v>
      </x:c>
      <x:c r="J208" s="20" t="n">
        <x:v>1</x:v>
      </x:c>
      <x:c r="K208" s="20" t="n">
        <x:v>1</x:v>
      </x:c>
      <x:c r="L208" s="12" t="n">
        <x:v>7110</x:v>
      </x:c>
      <x:c r="M208" s="8" t="n">
        <x:v>211</x:v>
      </x:c>
      <x:c r="N208" s="12" t="n">
        <x:v>250</x:v>
      </x:c>
      <x:c r="O208" s="8" t="n">
        <x:v>0</x:v>
      </x:c>
      <x:c r="P208" s="8" t="n">
        <x:v>8</x:v>
      </x:c>
      <x:c r="Q208" s="8" t="n">
        <x:v>4</x:v>
      </x:c>
      <x:c r="R208" s="8" t="n">
        <x:v>12</x:v>
      </x:c>
      <x:c r="S208" s="8" t="n">
        <x:v>0</x:v>
      </x:c>
      <x:c r="T208" s="8" t="n">
        <x:v>1</x:v>
      </x:c>
      <x:c r="U208" s="12" t="n">
        <x:v>0</x:v>
      </x:c>
      <x:c r="V208" s="8" t="n">
        <x:v>7</x:v>
      </x:c>
      <x:c r="W208" s="8" t="n">
        <x:v>230</x:v>
      </x:c>
      <x:c r="X208" s="12" t="n">
        <x:v>151000</x:v>
      </x:c>
      <x:c r="Y208" s="21"/>
      <x:c r="Z208" s="24" t="n">
        <x:f>IF($A208="","",INDEX(Settings!$C$29:$C$33,MATCH(E208,Settings!$A$29:$A$33,0)))</x:f>
        <x:v>7500</x:v>
      </x:c>
      <x:c r="AA208" s="22" t="n">
        <x:f>IF($A208="","",G208/Z208)</x:f>
        <x:v>0.948</x:v>
      </x:c>
      <x:c r="AB208" s="25" t="n">
        <x:f>IF($A208="","",IF(ISNUMBER(Y208),Y208,Settings!$B$10))</x:f>
        <x:v>0.03</x:v>
      </x:c>
      <x:c r="AC208" s="23" t="n">
        <x:f>IF($A208="","",G208*(1+AB208))</x:f>
        <x:v>7323.3</x:v>
      </x:c>
      <x:c r="AD208" s="23" t="n">
        <x:f>IF($A208="","",G208*F208*12)</x:f>
        <x:v>85320</x:v>
      </x:c>
      <x:c r="AE208" s="23" t="n">
        <x:f>IF($A208="","",G208*F208*J208)</x:f>
        <x:v>7110</x:v>
      </x:c>
      <x:c r="AF208" s="24" t="n">
        <x:f>IF($A208="","",L208*F208*K208*Settings!$B$13)</x:f>
        <x:v>6541.200000000001</x:v>
      </x:c>
      <x:c r="AG208" s="23" t="n">
        <x:f>IF($A208="","",AD208*H208*I208)</x:f>
        <x:v>15357.599999999999</x:v>
      </x:c>
      <x:c r="AH208" s="24" t="n">
        <x:f>IF($A208="","",SUM(AD208:AE208,AG208)*SUM(Settings!$B$11:$B$12))</x:f>
        <x:v>26946.9</x:v>
      </x:c>
      <x:c r="AI208" s="24" t="n">
        <x:f>IF($A208="","",M208*Settings!$B$16)</x:f>
        <x:v>1880.01</x:v>
      </x:c>
      <x:c r="AJ208" s="24" t="n">
        <x:f>IF($A208="","",M208*Settings!$B$15)</x:f>
        <x:v>229.99</x:v>
      </x:c>
      <x:c r="AK208" s="24" t="n">
        <x:f>IF($A208="","",O208*Settings!$B$18)</x:f>
        <x:v>0</x:v>
      </x:c>
      <x:c r="AL208" s="24" t="n">
        <x:f>IF($A208="","",P208*Settings!$B$20+Q208*Settings!$B$21+R208*Settings!$B$22+S208*Settings!$B$23)</x:f>
        <x:v>2184.76</x:v>
      </x:c>
      <x:c r="AM208" s="24" t="n">
        <x:f>IF($A208="","",T208*Settings!$B$24)</x:f>
        <x:v>40</x:v>
      </x:c>
      <x:c r="AN208" s="23" t="n">
        <x:f>IF($A208="","",SUM(AI208,N208,AK208:AM208,U208))</x:f>
        <x:v>4354.77</x:v>
      </x:c>
      <x:c r="AO208" s="23" t="n">
        <x:f>IF($A208="","",SUM(AD208:AI208,N208,AK208:AM208,U208))</x:f>
        <x:v>145630.47</x:v>
      </x:c>
      <x:c r="AP208" s="24" t="n">
        <x:f>IF($A208="","",G208*F208*AB208*((13-Settings!$B$9)*(1+H208*I208)+J208)*(1+SUM(Settings!$B$11:$B$12)))</x:f>
        <x:v>3098.1825</x:v>
      </x:c>
      <x:c r="AQ208" s="23" t="n">
        <x:f>IF($A208="","",SUM(AO208:AP208))</x:f>
        <x:v>148728.6525</x:v>
      </x:c>
      <x:c r="AR208" s="23" t="n">
        <x:f>IF($A208="","",AQ208-X208)</x:f>
        <x:v>-2271.3475000000035</x:v>
      </x:c>
      <x:c r="AS208" s="22" t="n">
        <x:f>IF($A208="","",IF(W208=0,"n.a.",V208/W208))</x:f>
        <x:v>0.030434782608695653</x:v>
      </x:c>
      <x:c r="AT208" s="26" t="str">
        <x:f>IF($A208="",IF(COUNTA(B208:Y208)&gt;0,"Missing ID",""),IF(COUNTIFS($A$9:$A$508,A208)&gt;1,"Duplicate ID",IF(OR(B208="",C208="",D208="",E208="",COUNT(F208:X208)&lt;&gt;19),"Missing / text input",IF(OR(COUNTIFS(Settings!$A$59:$A$64,B208)&lt;&gt;1,COUNTIFS(Settings!$A$29:$A$33,E208)&lt;&gt;1),"Unknown department / grade",IF(OR(F208&lt;=0,F208&gt;1,G208&lt;=0,L208&lt;=0,H208&lt;0,I208&lt;0,J208&lt;0,K208&lt;0,K208&gt;1,MIN(M208:X208)&lt;0,W208=0,V208&gt;W208,M208&gt;W208-V208,P208&gt;8,Q208&gt;4,R208&gt;12,S208&gt;12,T208&gt;1,AB208&lt;0),"Review quantity / rate",IF(OR(N208&gt;Settings!$C$17,AK208&gt;Settings!$C$19),"Review benefit ceiling","OK"))))))</x:f>
        <x:v>OK</x:v>
      </x:c>
    </x:row>
    <x:row r="209" ht="23" customHeight="1">
      <x:c r="A209" s="8" t="str">
        <x:v>BE-0201</x:v>
      </x:c>
      <x:c r="B209" s="8" t="str">
        <x:v>Technology</x:v>
      </x:c>
      <x:c r="C209" s="8" t="str">
        <x:v>Ghent</x:v>
      </x:c>
      <x:c r="D209" s="8" t="str">
        <x:v>IT coordinator</x:v>
      </x:c>
      <x:c r="E209" s="8" t="str">
        <x:v>G1</x:v>
      </x:c>
      <x:c r="F209" s="20" t="n">
        <x:v>1</x:v>
      </x:c>
      <x:c r="G209" s="12" t="n">
        <x:v>2730</x:v>
      </x:c>
      <x:c r="H209" s="21" t="n">
        <x:v>0.03</x:v>
      </x:c>
      <x:c r="I209" s="20" t="n">
        <x:v>1.1</x:v>
      </x:c>
      <x:c r="J209" s="20" t="n">
        <x:v>1</x:v>
      </x:c>
      <x:c r="K209" s="20" t="n">
        <x:v>1</x:v>
      </x:c>
      <x:c r="L209" s="12" t="n">
        <x:v>2730</x:v>
      </x:c>
      <x:c r="M209" s="8" t="n">
        <x:v>210</x:v>
      </x:c>
      <x:c r="N209" s="12" t="n">
        <x:v>250</x:v>
      </x:c>
      <x:c r="O209" s="8" t="n">
        <x:v>0</x:v>
      </x:c>
      <x:c r="P209" s="8" t="n">
        <x:v>0</x:v>
      </x:c>
      <x:c r="Q209" s="8" t="n">
        <x:v>0</x:v>
      </x:c>
      <x:c r="R209" s="8" t="n">
        <x:v>0</x:v>
      </x:c>
      <x:c r="S209" s="8" t="n">
        <x:v>0</x:v>
      </x:c>
      <x:c r="T209" s="8" t="n">
        <x:v>1</x:v>
      </x:c>
      <x:c r="U209" s="12" t="n">
        <x:v>0</x:v>
      </x:c>
      <x:c r="V209" s="8" t="n">
        <x:v>8</x:v>
      </x:c>
      <x:c r="W209" s="8" t="n">
        <x:v>230</x:v>
      </x:c>
      <x:c r="X209" s="12" t="n">
        <x:v>50700</x:v>
      </x:c>
      <x:c r="Y209" s="21"/>
      <x:c r="Z209" s="24" t="n">
        <x:f>IF($A209="","",INDEX(Settings!$C$29:$C$33,MATCH(E209,Settings!$A$29:$A$33,0)))</x:f>
        <x:v>2700</x:v>
      </x:c>
      <x:c r="AA209" s="22" t="n">
        <x:f>IF($A209="","",G209/Z209)</x:f>
        <x:v>1.011111111111111</x:v>
      </x:c>
      <x:c r="AB209" s="25" t="n">
        <x:f>IF($A209="","",IF(ISNUMBER(Y209),Y209,Settings!$B$10))</x:f>
        <x:v>0.03</x:v>
      </x:c>
      <x:c r="AC209" s="23" t="n">
        <x:f>IF($A209="","",G209*(1+AB209))</x:f>
        <x:v>2811.9</x:v>
      </x:c>
      <x:c r="AD209" s="23" t="n">
        <x:f>IF($A209="","",G209*F209*12)</x:f>
        <x:v>32760</x:v>
      </x:c>
      <x:c r="AE209" s="23" t="n">
        <x:f>IF($A209="","",G209*F209*J209)</x:f>
        <x:v>2730</x:v>
      </x:c>
      <x:c r="AF209" s="24" t="n">
        <x:f>IF($A209="","",L209*F209*K209*Settings!$B$13)</x:f>
        <x:v>2511.6</x:v>
      </x:c>
      <x:c r="AG209" s="23" t="n">
        <x:f>IF($A209="","",AD209*H209*I209)</x:f>
        <x:v>1081.08</x:v>
      </x:c>
      <x:c r="AH209" s="24" t="n">
        <x:f>IF($A209="","",SUM(AD209:AE209,AG209)*SUM(Settings!$B$11:$B$12))</x:f>
        <x:v>9142.77</x:v>
      </x:c>
      <x:c r="AI209" s="24" t="n">
        <x:f>IF($A209="","",M209*Settings!$B$16)</x:f>
        <x:v>1871.1000000000001</x:v>
      </x:c>
      <x:c r="AJ209" s="24" t="n">
        <x:f>IF($A209="","",M209*Settings!$B$15)</x:f>
        <x:v>228.9</x:v>
      </x:c>
      <x:c r="AK209" s="24" t="n">
        <x:f>IF($A209="","",O209*Settings!$B$18)</x:f>
        <x:v>0</x:v>
      </x:c>
      <x:c r="AL209" s="24" t="n">
        <x:f>IF($A209="","",P209*Settings!$B$20+Q209*Settings!$B$21+R209*Settings!$B$22+S209*Settings!$B$23)</x:f>
        <x:v>0</x:v>
      </x:c>
      <x:c r="AM209" s="24" t="n">
        <x:f>IF($A209="","",T209*Settings!$B$24)</x:f>
        <x:v>40</x:v>
      </x:c>
      <x:c r="AN209" s="23" t="n">
        <x:f>IF($A209="","",SUM(AI209,N209,AK209:AM209,U209))</x:f>
        <x:v>2161.1000000000004</x:v>
      </x:c>
      <x:c r="AO209" s="23" t="n">
        <x:f>IF($A209="","",SUM(AD209:AI209,N209,AK209:AM209,U209))</x:f>
        <x:v>50386.549999999996</x:v>
      </x:c>
      <x:c r="AP209" s="24" t="n">
        <x:f>IF($A209="","",G209*F209*AB209*((13-Settings!$B$9)*(1+H209*I209)+J209)*(1+SUM(Settings!$B$11:$B$12)))</x:f>
        <x:v>1054.1553749999998</x:v>
      </x:c>
      <x:c r="AQ209" s="23" t="n">
        <x:f>IF($A209="","",SUM(AO209:AP209))</x:f>
        <x:v>51440.705375</x:v>
      </x:c>
      <x:c r="AR209" s="23" t="n">
        <x:f>IF($A209="","",AQ209-X209)</x:f>
        <x:v>740.7053749999977</x:v>
      </x:c>
      <x:c r="AS209" s="22" t="n">
        <x:f>IF($A209="","",IF(W209=0,"n.a.",V209/W209))</x:f>
        <x:v>0.034782608695652174</x:v>
      </x:c>
      <x:c r="AT209" s="26" t="str">
        <x:f>IF($A209="",IF(COUNTA(B209:Y209)&gt;0,"Missing ID",""),IF(COUNTIFS($A$9:$A$508,A209)&gt;1,"Duplicate ID",IF(OR(B209="",C209="",D209="",E209="",COUNT(F209:X209)&lt;&gt;19),"Missing / text input",IF(OR(COUNTIFS(Settings!$A$59:$A$64,B209)&lt;&gt;1,COUNTIFS(Settings!$A$29:$A$33,E209)&lt;&gt;1),"Unknown department / grade",IF(OR(F209&lt;=0,F209&gt;1,G209&lt;=0,L209&lt;=0,H209&lt;0,I209&lt;0,J209&lt;0,K209&lt;0,K209&gt;1,MIN(M209:X209)&lt;0,W209=0,V209&gt;W209,M209&gt;W209-V209,P209&gt;8,Q209&gt;4,R209&gt;12,S209&gt;12,T209&gt;1,AB209&lt;0),"Review quantity / rate",IF(OR(N209&gt;Settings!$C$17,AK209&gt;Settings!$C$19),"Review benefit ceiling","OK"))))))</x:f>
        <x:v>OK</x:v>
      </x:c>
    </x:row>
    <x:row r="210" ht="23" customHeight="1">
      <x:c r="A210" s="8" t="str">
        <x:v>BE-0202</x:v>
      </x:c>
      <x:c r="B210" s="8" t="str">
        <x:v>Sales</x:v>
      </x:c>
      <x:c r="C210" s="8" t="str">
        <x:v>Brussels</x:v>
      </x:c>
      <x:c r="D210" s="8" t="str">
        <x:v>Sales coordinator</x:v>
      </x:c>
      <x:c r="E210" s="8" t="str">
        <x:v>G1</x:v>
      </x:c>
      <x:c r="F210" s="20" t="n">
        <x:v>1</x:v>
      </x:c>
      <x:c r="G210" s="12" t="n">
        <x:v>2520</x:v>
      </x:c>
      <x:c r="H210" s="21" t="n">
        <x:v>0.03</x:v>
      </x:c>
      <x:c r="I210" s="20" t="n">
        <x:v>0.8</x:v>
      </x:c>
      <x:c r="J210" s="20" t="n">
        <x:v>1</x:v>
      </x:c>
      <x:c r="K210" s="20" t="n">
        <x:v>1</x:v>
      </x:c>
      <x:c r="L210" s="12" t="n">
        <x:v>2520</x:v>
      </x:c>
      <x:c r="M210" s="8" t="n">
        <x:v>209</x:v>
      </x:c>
      <x:c r="N210" s="12" t="n">
        <x:v>250</x:v>
      </x:c>
      <x:c r="O210" s="8" t="n">
        <x:v>1510</x:v>
      </x:c>
      <x:c r="P210" s="8" t="n">
        <x:v>8</x:v>
      </x:c>
      <x:c r="Q210" s="8" t="n">
        <x:v>4</x:v>
      </x:c>
      <x:c r="R210" s="8" t="n">
        <x:v>12</x:v>
      </x:c>
      <x:c r="S210" s="8" t="n">
        <x:v>0</x:v>
      </x:c>
      <x:c r="T210" s="8" t="n">
        <x:v>1</x:v>
      </x:c>
      <x:c r="U210" s="12" t="n">
        <x:v>0</x:v>
      </x:c>
      <x:c r="V210" s="8" t="n">
        <x:v>9</x:v>
      </x:c>
      <x:c r="W210" s="8" t="n">
        <x:v>230</x:v>
      </x:c>
      <x:c r="X210" s="12" t="n">
        <x:v>50800</x:v>
      </x:c>
      <x:c r="Y210" s="21"/>
      <x:c r="Z210" s="24" t="n">
        <x:f>IF($A210="","",INDEX(Settings!$C$29:$C$33,MATCH(E210,Settings!$A$29:$A$33,0)))</x:f>
        <x:v>2700</x:v>
      </x:c>
      <x:c r="AA210" s="22" t="n">
        <x:f>IF($A210="","",G210/Z210)</x:f>
        <x:v>0.9333333333333333</x:v>
      </x:c>
      <x:c r="AB210" s="25" t="n">
        <x:f>IF($A210="","",IF(ISNUMBER(Y210),Y210,Settings!$B$10))</x:f>
        <x:v>0.03</x:v>
      </x:c>
      <x:c r="AC210" s="23" t="n">
        <x:f>IF($A210="","",G210*(1+AB210))</x:f>
        <x:v>2595.6</x:v>
      </x:c>
      <x:c r="AD210" s="23" t="n">
        <x:f>IF($A210="","",G210*F210*12)</x:f>
        <x:v>30240</x:v>
      </x:c>
      <x:c r="AE210" s="23" t="n">
        <x:f>IF($A210="","",G210*F210*J210)</x:f>
        <x:v>2520</x:v>
      </x:c>
      <x:c r="AF210" s="24" t="n">
        <x:f>IF($A210="","",L210*F210*K210*Settings!$B$13)</x:f>
        <x:v>2318.4</x:v>
      </x:c>
      <x:c r="AG210" s="23" t="n">
        <x:f>IF($A210="","",AD210*H210*I210)</x:f>
        <x:v>725.76</x:v>
      </x:c>
      <x:c r="AH210" s="24" t="n">
        <x:f>IF($A210="","",SUM(AD210:AE210,AG210)*SUM(Settings!$B$11:$B$12))</x:f>
        <x:v>8371.44</x:v>
      </x:c>
      <x:c r="AI210" s="24" t="n">
        <x:f>IF($A210="","",M210*Settings!$B$16)</x:f>
        <x:v>1862.19</x:v>
      </x:c>
      <x:c r="AJ210" s="24" t="n">
        <x:f>IF($A210="","",M210*Settings!$B$15)</x:f>
        <x:v>227.81000000000003</x:v>
      </x:c>
      <x:c r="AK210" s="24" t="n">
        <x:f>IF($A210="","",O210*Settings!$B$18)</x:f>
        <x:v>558.7</x:v>
      </x:c>
      <x:c r="AL210" s="24" t="n">
        <x:f>IF($A210="","",P210*Settings!$B$20+Q210*Settings!$B$21+R210*Settings!$B$22+S210*Settings!$B$23)</x:f>
        <x:v>2184.76</x:v>
      </x:c>
      <x:c r="AM210" s="24" t="n">
        <x:f>IF($A210="","",T210*Settings!$B$24)</x:f>
        <x:v>40</x:v>
      </x:c>
      <x:c r="AN210" s="23" t="n">
        <x:f>IF($A210="","",SUM(AI210,N210,AK210:AM210,U210))</x:f>
        <x:v>4895.65</x:v>
      </x:c>
      <x:c r="AO210" s="23" t="n">
        <x:f>IF($A210="","",SUM(AD210:AI210,N210,AK210:AM210,U210))</x:f>
        <x:v>49071.25000000001</x:v>
      </x:c>
      <x:c r="AP210" s="24" t="n">
        <x:f>IF($A210="","",G210*F210*AB210*((13-Settings!$B$9)*(1+H210*I210)+J210)*(1+SUM(Settings!$B$11:$B$12)))</x:f>
        <x:v>965.412</x:v>
      </x:c>
      <x:c r="AQ210" s="23" t="n">
        <x:f>IF($A210="","",SUM(AO210:AP210))</x:f>
        <x:v>50036.662000000004</x:v>
      </x:c>
      <x:c r="AR210" s="23" t="n">
        <x:f>IF($A210="","",AQ210-X210)</x:f>
        <x:v>-763.3379999999961</x:v>
      </x:c>
      <x:c r="AS210" s="22" t="n">
        <x:f>IF($A210="","",IF(W210=0,"n.a.",V210/W210))</x:f>
        <x:v>0.0391304347826087</x:v>
      </x:c>
      <x:c r="AT210" s="26" t="str">
        <x:f>IF($A210="",IF(COUNTA(B210:Y210)&gt;0,"Missing ID",""),IF(COUNTIFS($A$9:$A$508,A210)&gt;1,"Duplicate ID",IF(OR(B210="",C210="",D210="",E210="",COUNT(F210:X210)&lt;&gt;19),"Missing / text input",IF(OR(COUNTIFS(Settings!$A$59:$A$64,B210)&lt;&gt;1,COUNTIFS(Settings!$A$29:$A$33,E210)&lt;&gt;1),"Unknown department / grade",IF(OR(F210&lt;=0,F210&gt;1,G210&lt;=0,L210&lt;=0,H210&lt;0,I210&lt;0,J210&lt;0,K210&lt;0,K210&gt;1,MIN(M210:X210)&lt;0,W210=0,V210&gt;W210,M210&gt;W210-V210,P210&gt;8,Q210&gt;4,R210&gt;12,S210&gt;12,T210&gt;1,AB210&lt;0),"Review quantity / rate",IF(OR(N210&gt;Settings!$C$17,AK210&gt;Settings!$C$19),"Review benefit ceiling","OK"))))))</x:f>
        <x:v>OK</x:v>
      </x:c>
    </x:row>
    <x:row r="211" ht="23" customHeight="1">
      <x:c r="A211" s="8" t="str">
        <x:v>BE-0203</x:v>
      </x:c>
      <x:c r="B211" s="8" t="str">
        <x:v>Customer Operations</x:v>
      </x:c>
      <x:c r="C211" s="8" t="str">
        <x:v>Antwerp</x:v>
      </x:c>
      <x:c r="D211" s="8" t="str">
        <x:v>Service administrator</x:v>
      </x:c>
      <x:c r="E211" s="8" t="str">
        <x:v>G1</x:v>
      </x:c>
      <x:c r="F211" s="20" t="n">
        <x:v>1</x:v>
      </x:c>
      <x:c r="G211" s="12" t="n">
        <x:v>2920</x:v>
      </x:c>
      <x:c r="H211" s="21" t="n">
        <x:v>0.03</x:v>
      </x:c>
      <x:c r="I211" s="20" t="n">
        <x:v>1</x:v>
      </x:c>
      <x:c r="J211" s="20" t="n">
        <x:v>1</x:v>
      </x:c>
      <x:c r="K211" s="20" t="n">
        <x:v>1</x:v>
      </x:c>
      <x:c r="L211" s="12" t="n">
        <x:v>2920</x:v>
      </x:c>
      <x:c r="M211" s="8" t="n">
        <x:v>208</x:v>
      </x:c>
      <x:c r="N211" s="12" t="n">
        <x:v>250</x:v>
      </x:c>
      <x:c r="O211" s="8" t="n">
        <x:v>0</x:v>
      </x:c>
      <x:c r="P211" s="8" t="n">
        <x:v>8</x:v>
      </x:c>
      <x:c r="Q211" s="8" t="n">
        <x:v>4</x:v>
      </x:c>
      <x:c r="R211" s="8" t="n">
        <x:v>12</x:v>
      </x:c>
      <x:c r="S211" s="8" t="n">
        <x:v>0</x:v>
      </x:c>
      <x:c r="T211" s="8" t="n">
        <x:v>1</x:v>
      </x:c>
      <x:c r="U211" s="12" t="n">
        <x:v>0</x:v>
      </x:c>
      <x:c r="V211" s="8" t="n">
        <x:v>10</x:v>
      </x:c>
      <x:c r="W211" s="8" t="n">
        <x:v>230</x:v>
      </x:c>
      <x:c r="X211" s="12" t="n">
        <x:v>57800</x:v>
      </x:c>
      <x:c r="Y211" s="21"/>
      <x:c r="Z211" s="24" t="n">
        <x:f>IF($A211="","",INDEX(Settings!$C$29:$C$33,MATCH(E211,Settings!$A$29:$A$33,0)))</x:f>
        <x:v>2700</x:v>
      </x:c>
      <x:c r="AA211" s="22" t="n">
        <x:f>IF($A211="","",G211/Z211)</x:f>
        <x:v>1.0814814814814815</x:v>
      </x:c>
      <x:c r="AB211" s="25" t="n">
        <x:f>IF($A211="","",IF(ISNUMBER(Y211),Y211,Settings!$B$10))</x:f>
        <x:v>0.03</x:v>
      </x:c>
      <x:c r="AC211" s="23" t="n">
        <x:f>IF($A211="","",G211*(1+AB211))</x:f>
        <x:v>3007.6</x:v>
      </x:c>
      <x:c r="AD211" s="23" t="n">
        <x:f>IF($A211="","",G211*F211*12)</x:f>
        <x:v>35040</x:v>
      </x:c>
      <x:c r="AE211" s="23" t="n">
        <x:f>IF($A211="","",G211*F211*J211)</x:f>
        <x:v>2920</x:v>
      </x:c>
      <x:c r="AF211" s="24" t="n">
        <x:f>IF($A211="","",L211*F211*K211*Settings!$B$13)</x:f>
        <x:v>2686.4</x:v>
      </x:c>
      <x:c r="AG211" s="23" t="n">
        <x:f>IF($A211="","",AD211*H211*I211)</x:f>
        <x:v>1051.2</x:v>
      </x:c>
      <x:c r="AH211" s="24" t="n">
        <x:f>IF($A211="","",SUM(AD211:AE211,AG211)*SUM(Settings!$B$11:$B$12))</x:f>
        <x:v>9752.8</x:v>
      </x:c>
      <x:c r="AI211" s="24" t="n">
        <x:f>IF($A211="","",M211*Settings!$B$16)</x:f>
        <x:v>1853.28</x:v>
      </x:c>
      <x:c r="AJ211" s="24" t="n">
        <x:f>IF($A211="","",M211*Settings!$B$15)</x:f>
        <x:v>226.72000000000003</x:v>
      </x:c>
      <x:c r="AK211" s="24" t="n">
        <x:f>IF($A211="","",O211*Settings!$B$18)</x:f>
        <x:v>0</x:v>
      </x:c>
      <x:c r="AL211" s="24" t="n">
        <x:f>IF($A211="","",P211*Settings!$B$20+Q211*Settings!$B$21+R211*Settings!$B$22+S211*Settings!$B$23)</x:f>
        <x:v>2184.76</x:v>
      </x:c>
      <x:c r="AM211" s="24" t="n">
        <x:f>IF($A211="","",T211*Settings!$B$24)</x:f>
        <x:v>40</x:v>
      </x:c>
      <x:c r="AN211" s="23" t="n">
        <x:f>IF($A211="","",SUM(AI211,N211,AK211:AM211,U211))</x:f>
        <x:v>4328.04</x:v>
      </x:c>
      <x:c r="AO211" s="23" t="n">
        <x:f>IF($A211="","",SUM(AD211:AI211,N211,AK211:AM211,U211))</x:f>
        <x:v>55778.439999999995</x:v>
      </x:c>
      <x:c r="AP211" s="24" t="n">
        <x:f>IF($A211="","",G211*F211*AB211*((13-Settings!$B$9)*(1+H211*I211)+J211)*(1+SUM(Settings!$B$11:$B$12)))</x:f>
        <x:v>1124.5649999999998</x:v>
      </x:c>
      <x:c r="AQ211" s="23" t="n">
        <x:f>IF($A211="","",SUM(AO211:AP211))</x:f>
        <x:v>56903.005</x:v>
      </x:c>
      <x:c r="AR211" s="23" t="n">
        <x:f>IF($A211="","",AQ211-X211)</x:f>
        <x:v>-896.9950000000026</x:v>
      </x:c>
      <x:c r="AS211" s="22" t="n">
        <x:f>IF($A211="","",IF(W211=0,"n.a.",V211/W211))</x:f>
        <x:v>0.043478260869565216</x:v>
      </x:c>
      <x:c r="AT211" s="26" t="str">
        <x:f>IF($A211="",IF(COUNTA(B211:Y211)&gt;0,"Missing ID",""),IF(COUNTIFS($A$9:$A$508,A211)&gt;1,"Duplicate ID",IF(OR(B211="",C211="",D211="",E211="",COUNT(F211:X211)&lt;&gt;19),"Missing / text input",IF(OR(COUNTIFS(Settings!$A$59:$A$64,B211)&lt;&gt;1,COUNTIFS(Settings!$A$29:$A$33,E211)&lt;&gt;1),"Unknown department / grade",IF(OR(F211&lt;=0,F211&gt;1,G211&lt;=0,L211&lt;=0,H211&lt;0,I211&lt;0,J211&lt;0,K211&lt;0,K211&gt;1,MIN(M211:X211)&lt;0,W211=0,V211&gt;W211,M211&gt;W211-V211,P211&gt;8,Q211&gt;4,R211&gt;12,S211&gt;12,T211&gt;1,AB211&lt;0),"Review quantity / rate",IF(OR(N211&gt;Settings!$C$17,AK211&gt;Settings!$C$19),"Review benefit ceiling","OK"))))))</x:f>
        <x:v>OK</x:v>
      </x:c>
    </x:row>
    <x:row r="212" ht="23" customHeight="1">
      <x:c r="A212" s="8" t="str">
        <x:v>BE-0204</x:v>
      </x:c>
      <x:c r="B212" s="8" t="str">
        <x:v>Business Support</x:v>
      </x:c>
      <x:c r="C212" s="8" t="str">
        <x:v>Ghent</x:v>
      </x:c>
      <x:c r="D212" s="8" t="str">
        <x:v>Office administrator</x:v>
      </x:c>
      <x:c r="E212" s="8" t="str">
        <x:v>G1</x:v>
      </x:c>
      <x:c r="F212" s="20" t="n">
        <x:v>0.8</x:v>
      </x:c>
      <x:c r="G212" s="12" t="n">
        <x:v>2960</x:v>
      </x:c>
      <x:c r="H212" s="21" t="n">
        <x:v>0.03</x:v>
      </x:c>
      <x:c r="I212" s="20" t="n">
        <x:v>1.1</x:v>
      </x:c>
      <x:c r="J212" s="20" t="n">
        <x:v>1</x:v>
      </x:c>
      <x:c r="K212" s="20" t="n">
        <x:v>1</x:v>
      </x:c>
      <x:c r="L212" s="12" t="n">
        <x:v>2960</x:v>
      </x:c>
      <x:c r="M212" s="8" t="n">
        <x:v>171</x:v>
      </x:c>
      <x:c r="N212" s="12" t="n">
        <x:v>200</x:v>
      </x:c>
      <x:c r="O212" s="8" t="n">
        <x:v>0</x:v>
      </x:c>
      <x:c r="P212" s="8" t="n">
        <x:v>8</x:v>
      </x:c>
      <x:c r="Q212" s="8" t="n">
        <x:v>4</x:v>
      </x:c>
      <x:c r="R212" s="8" t="n">
        <x:v>12</x:v>
      </x:c>
      <x:c r="S212" s="8" t="n">
        <x:v>0</x:v>
      </x:c>
      <x:c r="T212" s="8" t="n">
        <x:v>1</x:v>
      </x:c>
      <x:c r="U212" s="12" t="n">
        <x:v>0</x:v>
      </x:c>
      <x:c r="V212" s="8" t="n">
        <x:v>11</x:v>
      </x:c>
      <x:c r="W212" s="8" t="n">
        <x:v>184</x:v>
      </x:c>
      <x:c r="X212" s="12" t="n">
        <x:v>47400</x:v>
      </x:c>
      <x:c r="Y212" s="21"/>
      <x:c r="Z212" s="24" t="n">
        <x:f>IF($A212="","",INDEX(Settings!$C$29:$C$33,MATCH(E212,Settings!$A$29:$A$33,0)))</x:f>
        <x:v>2700</x:v>
      </x:c>
      <x:c r="AA212" s="22" t="n">
        <x:f>IF($A212="","",G212/Z212)</x:f>
        <x:v>1.0962962962962963</x:v>
      </x:c>
      <x:c r="AB212" s="25" t="n">
        <x:f>IF($A212="","",IF(ISNUMBER(Y212),Y212,Settings!$B$10))</x:f>
        <x:v>0.03</x:v>
      </x:c>
      <x:c r="AC212" s="23" t="n">
        <x:f>IF($A212="","",G212*(1+AB212))</x:f>
        <x:v>3048.8</x:v>
      </x:c>
      <x:c r="AD212" s="23" t="n">
        <x:f>IF($A212="","",G212*F212*12)</x:f>
        <x:v>28416</x:v>
      </x:c>
      <x:c r="AE212" s="23" t="n">
        <x:f>IF($A212="","",G212*F212*J212)</x:f>
        <x:v>2368</x:v>
      </x:c>
      <x:c r="AF212" s="24" t="n">
        <x:f>IF($A212="","",L212*F212*K212*Settings!$B$13)</x:f>
        <x:v>2178.56</x:v>
      </x:c>
      <x:c r="AG212" s="23" t="n">
        <x:f>IF($A212="","",AD212*H212*I212)</x:f>
        <x:v>937.7280000000001</x:v>
      </x:c>
      <x:c r="AH212" s="24" t="n">
        <x:f>IF($A212="","",SUM(AD212:AE212,AG212)*SUM(Settings!$B$11:$B$12))</x:f>
        <x:v>7930.432</x:v>
      </x:c>
      <x:c r="AI212" s="24" t="n">
        <x:f>IF($A212="","",M212*Settings!$B$16)</x:f>
        <x:v>1523.6100000000001</x:v>
      </x:c>
      <x:c r="AJ212" s="24" t="n">
        <x:f>IF($A212="","",M212*Settings!$B$15)</x:f>
        <x:v>186.39000000000001</x:v>
      </x:c>
      <x:c r="AK212" s="24" t="n">
        <x:f>IF($A212="","",O212*Settings!$B$18)</x:f>
        <x:v>0</x:v>
      </x:c>
      <x:c r="AL212" s="24" t="n">
        <x:f>IF($A212="","",P212*Settings!$B$20+Q212*Settings!$B$21+R212*Settings!$B$22+S212*Settings!$B$23)</x:f>
        <x:v>2184.76</x:v>
      </x:c>
      <x:c r="AM212" s="24" t="n">
        <x:f>IF($A212="","",T212*Settings!$B$24)</x:f>
        <x:v>40</x:v>
      </x:c>
      <x:c r="AN212" s="23" t="n">
        <x:f>IF($A212="","",SUM(AI212,N212,AK212:AM212,U212))</x:f>
        <x:v>3948.3700000000003</x:v>
      </x:c>
      <x:c r="AO212" s="23" t="n">
        <x:f>IF($A212="","",SUM(AD212:AI212,N212,AK212:AM212,U212))</x:f>
        <x:v>45779.090000000004</x:v>
      </x:c>
      <x:c r="AP212" s="24" t="n">
        <x:f>IF($A212="","",G212*F212*AB212*((13-Settings!$B$9)*(1+H212*I212)+J212)*(1+SUM(Settings!$B$11:$B$12)))</x:f>
        <x:v>914.3735999999999</x:v>
      </x:c>
      <x:c r="AQ212" s="23" t="n">
        <x:f>IF($A212="","",SUM(AO212:AP212))</x:f>
        <x:v>46693.4636</x:v>
      </x:c>
      <x:c r="AR212" s="23" t="n">
        <x:f>IF($A212="","",AQ212-X212)</x:f>
        <x:v>-706.5363999999972</x:v>
      </x:c>
      <x:c r="AS212" s="22" t="n">
        <x:f>IF($A212="","",IF(W212=0,"n.a.",V212/W212))</x:f>
        <x:v>0.059782608695652176</x:v>
      </x:c>
      <x:c r="AT212" s="26" t="str">
        <x:f>IF($A212="",IF(COUNTA(B212:Y212)&gt;0,"Missing ID",""),IF(COUNTIFS($A$9:$A$508,A212)&gt;1,"Duplicate ID",IF(OR(B212="",C212="",D212="",E212="",COUNT(F212:X212)&lt;&gt;19),"Missing / text input",IF(OR(COUNTIFS(Settings!$A$59:$A$64,B212)&lt;&gt;1,COUNTIFS(Settings!$A$29:$A$33,E212)&lt;&gt;1),"Unknown department / grade",IF(OR(F212&lt;=0,F212&gt;1,G212&lt;=0,L212&lt;=0,H212&lt;0,I212&lt;0,J212&lt;0,K212&lt;0,K212&gt;1,MIN(M212:X212)&lt;0,W212=0,V212&gt;W212,M212&gt;W212-V212,P212&gt;8,Q212&gt;4,R212&gt;12,S212&gt;12,T212&gt;1,AB212&lt;0),"Review quantity / rate",IF(OR(N212&gt;Settings!$C$17,AK212&gt;Settings!$C$19),"Review benefit ceiling","OK"))))))</x:f>
        <x:v>OK</x:v>
      </x:c>
    </x:row>
    <x:row r="213" ht="23" customHeight="1">
      <x:c r="A213" s="8" t="str">
        <x:v>BE-0205</x:v>
      </x:c>
      <x:c r="B213" s="8" t="str">
        <x:v>Finance</x:v>
      </x:c>
      <x:c r="C213" s="8" t="str">
        <x:v>Brussels</x:v>
      </x:c>
      <x:c r="D213" s="8" t="str">
        <x:v>Finance administrator</x:v>
      </x:c>
      <x:c r="E213" s="8" t="str">
        <x:v>G1</x:v>
      </x:c>
      <x:c r="F213" s="20" t="n">
        <x:v>1</x:v>
      </x:c>
      <x:c r="G213" s="12" t="n">
        <x:v>2600</x:v>
      </x:c>
      <x:c r="H213" s="21" t="n">
        <x:v>0.03</x:v>
      </x:c>
      <x:c r="I213" s="20" t="n">
        <x:v>0.8</x:v>
      </x:c>
      <x:c r="J213" s="20" t="n">
        <x:v>1</x:v>
      </x:c>
      <x:c r="K213" s="20" t="n">
        <x:v>1</x:v>
      </x:c>
      <x:c r="L213" s="12" t="n">
        <x:v>2600</x:v>
      </x:c>
      <x:c r="M213" s="8" t="n">
        <x:v>213</x:v>
      </x:c>
      <x:c r="N213" s="12" t="n">
        <x:v>250</x:v>
      </x:c>
      <x:c r="O213" s="8" t="n">
        <x:v>1840</x:v>
      </x:c>
      <x:c r="P213" s="8" t="n">
        <x:v>0</x:v>
      </x:c>
      <x:c r="Q213" s="8" t="n">
        <x:v>0</x:v>
      </x:c>
      <x:c r="R213" s="8" t="n">
        <x:v>0</x:v>
      </x:c>
      <x:c r="S213" s="8" t="n">
        <x:v>0</x:v>
      </x:c>
      <x:c r="T213" s="8" t="n">
        <x:v>1</x:v>
      </x:c>
      <x:c r="U213" s="12" t="n">
        <x:v>0</x:v>
      </x:c>
      <x:c r="V213" s="8" t="n">
        <x:v>0</x:v>
      </x:c>
      <x:c r="W213" s="8" t="n">
        <x:v>230</x:v>
      </x:c>
      <x:c r="X213" s="12" t="n">
        <x:v>50200</x:v>
      </x:c>
      <x:c r="Y213" s="21"/>
      <x:c r="Z213" s="24" t="n">
        <x:f>IF($A213="","",INDEX(Settings!$C$29:$C$33,MATCH(E213,Settings!$A$29:$A$33,0)))</x:f>
        <x:v>2700</x:v>
      </x:c>
      <x:c r="AA213" s="22" t="n">
        <x:f>IF($A213="","",G213/Z213)</x:f>
        <x:v>0.9629629629629629</x:v>
      </x:c>
      <x:c r="AB213" s="25" t="n">
        <x:f>IF($A213="","",IF(ISNUMBER(Y213),Y213,Settings!$B$10))</x:f>
        <x:v>0.03</x:v>
      </x:c>
      <x:c r="AC213" s="23" t="n">
        <x:f>IF($A213="","",G213*(1+AB213))</x:f>
        <x:v>2678</x:v>
      </x:c>
      <x:c r="AD213" s="23" t="n">
        <x:f>IF($A213="","",G213*F213*12)</x:f>
        <x:v>31200</x:v>
      </x:c>
      <x:c r="AE213" s="23" t="n">
        <x:f>IF($A213="","",G213*F213*J213)</x:f>
        <x:v>2600</x:v>
      </x:c>
      <x:c r="AF213" s="24" t="n">
        <x:f>IF($A213="","",L213*F213*K213*Settings!$B$13)</x:f>
        <x:v>2392</x:v>
      </x:c>
      <x:c r="AG213" s="23" t="n">
        <x:f>IF($A213="","",AD213*H213*I213)</x:f>
        <x:v>748.8000000000001</x:v>
      </x:c>
      <x:c r="AH213" s="24" t="n">
        <x:f>IF($A213="","",SUM(AD213:AE213,AG213)*SUM(Settings!$B$11:$B$12))</x:f>
        <x:v>8637.2</x:v>
      </x:c>
      <x:c r="AI213" s="24" t="n">
        <x:f>IF($A213="","",M213*Settings!$B$16)</x:f>
        <x:v>1897.83</x:v>
      </x:c>
      <x:c r="AJ213" s="24" t="n">
        <x:f>IF($A213="","",M213*Settings!$B$15)</x:f>
        <x:v>232.17000000000002</x:v>
      </x:c>
      <x:c r="AK213" s="24" t="n">
        <x:f>IF($A213="","",O213*Settings!$B$18)</x:f>
        <x:v>680.8</x:v>
      </x:c>
      <x:c r="AL213" s="24" t="n">
        <x:f>IF($A213="","",P213*Settings!$B$20+Q213*Settings!$B$21+R213*Settings!$B$22+S213*Settings!$B$23)</x:f>
        <x:v>0</x:v>
      </x:c>
      <x:c r="AM213" s="24" t="n">
        <x:f>IF($A213="","",T213*Settings!$B$24)</x:f>
        <x:v>40</x:v>
      </x:c>
      <x:c r="AN213" s="23" t="n">
        <x:f>IF($A213="","",SUM(AI213,N213,AK213:AM213,U213))</x:f>
        <x:v>2868.63</x:v>
      </x:c>
      <x:c r="AO213" s="23" t="n">
        <x:f>IF($A213="","",SUM(AD213:AI213,N213,AK213:AM213,U213))</x:f>
        <x:v>48446.630000000005</x:v>
      </x:c>
      <x:c r="AP213" s="24" t="n">
        <x:f>IF($A213="","",G213*F213*AB213*((13-Settings!$B$9)*(1+H213*I213)+J213)*(1+SUM(Settings!$B$11:$B$12)))</x:f>
        <x:v>996.0600000000001</x:v>
      </x:c>
      <x:c r="AQ213" s="23" t="n">
        <x:f>IF($A213="","",SUM(AO213:AP213))</x:f>
        <x:v>49442.69</x:v>
      </x:c>
      <x:c r="AR213" s="23" t="n">
        <x:f>IF($A213="","",AQ213-X213)</x:f>
        <x:v>-757.3099999999977</x:v>
      </x:c>
      <x:c r="AS213" s="22" t="n">
        <x:f>IF($A213="","",IF(W213=0,"n.a.",V213/W213))</x:f>
        <x:v>0</x:v>
      </x:c>
      <x:c r="AT213" s="26" t="str">
        <x:f>IF($A213="",IF(COUNTA(B213:Y213)&gt;0,"Missing ID",""),IF(COUNTIFS($A$9:$A$508,A213)&gt;1,"Duplicate ID",IF(OR(B213="",C213="",D213="",E213="",COUNT(F213:X213)&lt;&gt;19),"Missing / text input",IF(OR(COUNTIFS(Settings!$A$59:$A$64,B213)&lt;&gt;1,COUNTIFS(Settings!$A$29:$A$33,E213)&lt;&gt;1),"Unknown department / grade",IF(OR(F213&lt;=0,F213&gt;1,G213&lt;=0,L213&lt;=0,H213&lt;0,I213&lt;0,J213&lt;0,K213&lt;0,K213&gt;1,MIN(M213:X213)&lt;0,W213=0,V213&gt;W213,M213&gt;W213-V213,P213&gt;8,Q213&gt;4,R213&gt;12,S213&gt;12,T213&gt;1,AB213&lt;0),"Review quantity / rate",IF(OR(N213&gt;Settings!$C$17,AK213&gt;Settings!$C$19),"Review benefit ceiling","OK"))))))</x:f>
        <x:v>OK</x:v>
      </x:c>
    </x:row>
    <x:row r="214" ht="23" customHeight="1">
      <x:c r="A214" s="8" t="str">
        <x:v>BE-0206</x:v>
      </x:c>
      <x:c r="B214" s="8" t="str">
        <x:v>People &amp; Culture</x:v>
      </x:c>
      <x:c r="C214" s="8" t="str">
        <x:v>Antwerp</x:v>
      </x:c>
      <x:c r="D214" s="8" t="str">
        <x:v>HR specialist</x:v>
      </x:c>
      <x:c r="E214" s="8" t="str">
        <x:v>G2</x:v>
      </x:c>
      <x:c r="F214" s="20" t="n">
        <x:v>1</x:v>
      </x:c>
      <x:c r="G214" s="12" t="n">
        <x:v>3450</x:v>
      </x:c>
      <x:c r="H214" s="21" t="n">
        <x:v>0.05</x:v>
      </x:c>
      <x:c r="I214" s="20" t="n">
        <x:v>1</x:v>
      </x:c>
      <x:c r="J214" s="20" t="n">
        <x:v>1</x:v>
      </x:c>
      <x:c r="K214" s="20" t="n">
        <x:v>1</x:v>
      </x:c>
      <x:c r="L214" s="12" t="n">
        <x:v>3450</x:v>
      </x:c>
      <x:c r="M214" s="8" t="n">
        <x:v>212</x:v>
      </x:c>
      <x:c r="N214" s="12" t="n">
        <x:v>250</x:v>
      </x:c>
      <x:c r="O214" s="8" t="n">
        <x:v>0</x:v>
      </x:c>
      <x:c r="P214" s="8" t="n">
        <x:v>8</x:v>
      </x:c>
      <x:c r="Q214" s="8" t="n">
        <x:v>4</x:v>
      </x:c>
      <x:c r="R214" s="8" t="n">
        <x:v>12</x:v>
      </x:c>
      <x:c r="S214" s="8" t="n">
        <x:v>12</x:v>
      </x:c>
      <x:c r="T214" s="8" t="n">
        <x:v>1</x:v>
      </x:c>
      <x:c r="U214" s="12" t="n">
        <x:v>0</x:v>
      </x:c>
      <x:c r="V214" s="8" t="n">
        <x:v>1</x:v>
      </x:c>
      <x:c r="W214" s="8" t="n">
        <x:v>230</x:v>
      </x:c>
      <x:c r="X214" s="12" t="n">
        <x:v>66800</x:v>
      </x:c>
      <x:c r="Y214" s="21"/>
      <x:c r="Z214" s="24" t="n">
        <x:f>IF($A214="","",INDEX(Settings!$C$29:$C$33,MATCH(E214,Settings!$A$29:$A$33,0)))</x:f>
        <x:v>3300</x:v>
      </x:c>
      <x:c r="AA214" s="22" t="n">
        <x:f>IF($A214="","",G214/Z214)</x:f>
        <x:v>1.0454545454545454</x:v>
      </x:c>
      <x:c r="AB214" s="25" t="n">
        <x:f>IF($A214="","",IF(ISNUMBER(Y214),Y214,Settings!$B$10))</x:f>
        <x:v>0.03</x:v>
      </x:c>
      <x:c r="AC214" s="23" t="n">
        <x:f>IF($A214="","",G214*(1+AB214))</x:f>
        <x:v>3553.5</x:v>
      </x:c>
      <x:c r="AD214" s="23" t="n">
        <x:f>IF($A214="","",G214*F214*12)</x:f>
        <x:v>41400</x:v>
      </x:c>
      <x:c r="AE214" s="23" t="n">
        <x:f>IF($A214="","",G214*F214*J214)</x:f>
        <x:v>3450</x:v>
      </x:c>
      <x:c r="AF214" s="24" t="n">
        <x:f>IF($A214="","",L214*F214*K214*Settings!$B$13)</x:f>
        <x:v>3174</x:v>
      </x:c>
      <x:c r="AG214" s="23" t="n">
        <x:f>IF($A214="","",AD214*H214*I214)</x:f>
        <x:v>2070</x:v>
      </x:c>
      <x:c r="AH214" s="24" t="n">
        <x:f>IF($A214="","",SUM(AD214:AE214,AG214)*SUM(Settings!$B$11:$B$12))</x:f>
        <x:v>11730</x:v>
      </x:c>
      <x:c r="AI214" s="24" t="n">
        <x:f>IF($A214="","",M214*Settings!$B$16)</x:f>
        <x:v>1888.92</x:v>
      </x:c>
      <x:c r="AJ214" s="24" t="n">
        <x:f>IF($A214="","",M214*Settings!$B$15)</x:f>
        <x:v>231.08</x:v>
      </x:c>
      <x:c r="AK214" s="24" t="n">
        <x:f>IF($A214="","",O214*Settings!$B$18)</x:f>
        <x:v>0</x:v>
      </x:c>
      <x:c r="AL214" s="24" t="n">
        <x:f>IF($A214="","",P214*Settings!$B$20+Q214*Settings!$B$21+R214*Settings!$B$22+S214*Settings!$B$23)</x:f>
        <x:v>2424.76</x:v>
      </x:c>
      <x:c r="AM214" s="24" t="n">
        <x:f>IF($A214="","",T214*Settings!$B$24)</x:f>
        <x:v>40</x:v>
      </x:c>
      <x:c r="AN214" s="23" t="n">
        <x:f>IF($A214="","",SUM(AI214,N214,AK214:AM214,U214))</x:f>
        <x:v>4603.68</x:v>
      </x:c>
      <x:c r="AO214" s="23" t="n">
        <x:f>IF($A214="","",SUM(AD214:AI214,N214,AK214:AM214,U214))</x:f>
        <x:v>66427.68</x:v>
      </x:c>
      <x:c r="AP214" s="24" t="n">
        <x:f>IF($A214="","",G214*F214*AB214*((13-Settings!$B$9)*(1+H214*I214)+J214)*(1+SUM(Settings!$B$11:$B$12)))</x:f>
        <x:v>1351.96875</x:v>
      </x:c>
      <x:c r="AQ214" s="23" t="n">
        <x:f>IF($A214="","",SUM(AO214:AP214))</x:f>
        <x:v>67779.64875</x:v>
      </x:c>
      <x:c r="AR214" s="23" t="n">
        <x:f>IF($A214="","",AQ214-X214)</x:f>
        <x:v>979.648749999993</x:v>
      </x:c>
      <x:c r="AS214" s="22" t="n">
        <x:f>IF($A214="","",IF(W214=0,"n.a.",V214/W214))</x:f>
        <x:v>0.004347826086956522</x:v>
      </x:c>
      <x:c r="AT214" s="26" t="str">
        <x:f>IF($A214="",IF(COUNTA(B214:Y214)&gt;0,"Missing ID",""),IF(COUNTIFS($A$9:$A$508,A214)&gt;1,"Duplicate ID",IF(OR(B214="",C214="",D214="",E214="",COUNT(F214:X214)&lt;&gt;19),"Missing / text input",IF(OR(COUNTIFS(Settings!$A$59:$A$64,B214)&lt;&gt;1,COUNTIFS(Settings!$A$29:$A$33,E214)&lt;&gt;1),"Unknown department / grade",IF(OR(F214&lt;=0,F214&gt;1,G214&lt;=0,L214&lt;=0,H214&lt;0,I214&lt;0,J214&lt;0,K214&lt;0,K214&gt;1,MIN(M214:X214)&lt;0,W214=0,V214&gt;W214,M214&gt;W214-V214,P214&gt;8,Q214&gt;4,R214&gt;12,S214&gt;12,T214&gt;1,AB214&lt;0),"Review quantity / rate",IF(OR(N214&gt;Settings!$C$17,AK214&gt;Settings!$C$19),"Review benefit ceiling","OK"))))))</x:f>
        <x:v>OK</x:v>
      </x:c>
    </x:row>
    <x:row r="215" ht="23" customHeight="1">
      <x:c r="A215" s="8" t="str">
        <x:v>BE-0207</x:v>
      </x:c>
      <x:c r="B215" s="8" t="str">
        <x:v>Technology</x:v>
      </x:c>
      <x:c r="C215" s="8" t="str">
        <x:v>Ghent</x:v>
      </x:c>
      <x:c r="D215" s="8" t="str">
        <x:v>Developer</x:v>
      </x:c>
      <x:c r="E215" s="8" t="str">
        <x:v>G2</x:v>
      </x:c>
      <x:c r="F215" s="20" t="n">
        <x:v>1</x:v>
      </x:c>
      <x:c r="G215" s="12" t="n">
        <x:v>3460</x:v>
      </x:c>
      <x:c r="H215" s="21" t="n">
        <x:v>0.05</x:v>
      </x:c>
      <x:c r="I215" s="20" t="n">
        <x:v>1.1</x:v>
      </x:c>
      <x:c r="J215" s="20" t="n">
        <x:v>1</x:v>
      </x:c>
      <x:c r="K215" s="20" t="n">
        <x:v>1</x:v>
      </x:c>
      <x:c r="L215" s="12" t="n">
        <x:v>3460</x:v>
      </x:c>
      <x:c r="M215" s="8" t="n">
        <x:v>211</x:v>
      </x:c>
      <x:c r="N215" s="12" t="n">
        <x:v>250</x:v>
      </x:c>
      <x:c r="O215" s="8" t="n">
        <x:v>0</x:v>
      </x:c>
      <x:c r="P215" s="8" t="n">
        <x:v>8</x:v>
      </x:c>
      <x:c r="Q215" s="8" t="n">
        <x:v>4</x:v>
      </x:c>
      <x:c r="R215" s="8" t="n">
        <x:v>12</x:v>
      </x:c>
      <x:c r="S215" s="8" t="n">
        <x:v>0</x:v>
      </x:c>
      <x:c r="T215" s="8" t="n">
        <x:v>1</x:v>
      </x:c>
      <x:c r="U215" s="12" t="n">
        <x:v>0</x:v>
      </x:c>
      <x:c r="V215" s="8" t="n">
        <x:v>2</x:v>
      </x:c>
      <x:c r="W215" s="8" t="n">
        <x:v>230</x:v>
      </x:c>
      <x:c r="X215" s="12" t="n">
        <x:v>69000</x:v>
      </x:c>
      <x:c r="Y215" s="21"/>
      <x:c r="Z215" s="24" t="n">
        <x:f>IF($A215="","",INDEX(Settings!$C$29:$C$33,MATCH(E215,Settings!$A$29:$A$33,0)))</x:f>
        <x:v>3300</x:v>
      </x:c>
      <x:c r="AA215" s="22" t="n">
        <x:f>IF($A215="","",G215/Z215)</x:f>
        <x:v>1.0484848484848486</x:v>
      </x:c>
      <x:c r="AB215" s="25" t="n">
        <x:f>IF($A215="","",IF(ISNUMBER(Y215),Y215,Settings!$B$10))</x:f>
        <x:v>0.03</x:v>
      </x:c>
      <x:c r="AC215" s="23" t="n">
        <x:f>IF($A215="","",G215*(1+AB215))</x:f>
        <x:v>3563.8</x:v>
      </x:c>
      <x:c r="AD215" s="23" t="n">
        <x:f>IF($A215="","",G215*F215*12)</x:f>
        <x:v>41520</x:v>
      </x:c>
      <x:c r="AE215" s="23" t="n">
        <x:f>IF($A215="","",G215*F215*J215)</x:f>
        <x:v>3460</x:v>
      </x:c>
      <x:c r="AF215" s="24" t="n">
        <x:f>IF($A215="","",L215*F215*K215*Settings!$B$13)</x:f>
        <x:v>3183.2000000000003</x:v>
      </x:c>
      <x:c r="AG215" s="23" t="n">
        <x:f>IF($A215="","",AD215*H215*I215)</x:f>
        <x:v>2283.6000000000004</x:v>
      </x:c>
      <x:c r="AH215" s="24" t="n">
        <x:f>IF($A215="","",SUM(AD215:AE215,AG215)*SUM(Settings!$B$11:$B$12))</x:f>
        <x:v>11815.9</x:v>
      </x:c>
      <x:c r="AI215" s="24" t="n">
        <x:f>IF($A215="","",M215*Settings!$B$16)</x:f>
        <x:v>1880.01</x:v>
      </x:c>
      <x:c r="AJ215" s="24" t="n">
        <x:f>IF($A215="","",M215*Settings!$B$15)</x:f>
        <x:v>229.99</x:v>
      </x:c>
      <x:c r="AK215" s="24" t="n">
        <x:f>IF($A215="","",O215*Settings!$B$18)</x:f>
        <x:v>0</x:v>
      </x:c>
      <x:c r="AL215" s="24" t="n">
        <x:f>IF($A215="","",P215*Settings!$B$20+Q215*Settings!$B$21+R215*Settings!$B$22+S215*Settings!$B$23)</x:f>
        <x:v>2184.76</x:v>
      </x:c>
      <x:c r="AM215" s="24" t="n">
        <x:f>IF($A215="","",T215*Settings!$B$24)</x:f>
        <x:v>40</x:v>
      </x:c>
      <x:c r="AN215" s="23" t="n">
        <x:f>IF($A215="","",SUM(AI215,N215,AK215:AM215,U215))</x:f>
        <x:v>4354.77</x:v>
      </x:c>
      <x:c r="AO215" s="23" t="n">
        <x:f>IF($A215="","",SUM(AD215:AI215,N215,AK215:AM215,U215))</x:f>
        <x:v>66617.47</x:v>
      </x:c>
      <x:c r="AP215" s="24" t="n">
        <x:f>IF($A215="","",G215*F215*AB215*((13-Settings!$B$9)*(1+H215*I215)+J215)*(1+SUM(Settings!$B$11:$B$12)))</x:f>
        <x:v>1361.7262499999997</x:v>
      </x:c>
      <x:c r="AQ215" s="23" t="n">
        <x:f>IF($A215="","",SUM(AO215:AP215))</x:f>
        <x:v>67979.19625000001</x:v>
      </x:c>
      <x:c r="AR215" s="23" t="n">
        <x:f>IF($A215="","",AQ215-X215)</x:f>
        <x:v>-1020.8037499999919</x:v>
      </x:c>
      <x:c r="AS215" s="22" t="n">
        <x:f>IF($A215="","",IF(W215=0,"n.a.",V215/W215))</x:f>
        <x:v>0.008695652173913044</x:v>
      </x:c>
      <x:c r="AT215" s="26" t="str">
        <x:f>IF($A215="",IF(COUNTA(B215:Y215)&gt;0,"Missing ID",""),IF(COUNTIFS($A$9:$A$508,A215)&gt;1,"Duplicate ID",IF(OR(B215="",C215="",D215="",E215="",COUNT(F215:X215)&lt;&gt;19),"Missing / text input",IF(OR(COUNTIFS(Settings!$A$59:$A$64,B215)&lt;&gt;1,COUNTIFS(Settings!$A$29:$A$33,E215)&lt;&gt;1),"Unknown department / grade",IF(OR(F215&lt;=0,F215&gt;1,G215&lt;=0,L215&lt;=0,H215&lt;0,I215&lt;0,J215&lt;0,K215&lt;0,K215&gt;1,MIN(M215:X215)&lt;0,W215=0,V215&gt;W215,M215&gt;W215-V215,P215&gt;8,Q215&gt;4,R215&gt;12,S215&gt;12,T215&gt;1,AB215&lt;0),"Review quantity / rate",IF(OR(N215&gt;Settings!$C$17,AK215&gt;Settings!$C$19),"Review benefit ceiling","OK"))))))</x:f>
        <x:v>OK</x:v>
      </x:c>
    </x:row>
    <x:row r="216" ht="23" customHeight="1">
      <x:c r="A216" s="8" t="str">
        <x:v>BE-0208</x:v>
      </x:c>
      <x:c r="B216" s="8" t="str">
        <x:v>Sales</x:v>
      </x:c>
      <x:c r="C216" s="8" t="str">
        <x:v>Brussels</x:v>
      </x:c>
      <x:c r="D216" s="8" t="str">
        <x:v>Account manager</x:v>
      </x:c>
      <x:c r="E216" s="8" t="str">
        <x:v>G2</x:v>
      </x:c>
      <x:c r="F216" s="20" t="n">
        <x:v>0.6</x:v>
      </x:c>
      <x:c r="G216" s="12" t="n">
        <x:v>3560</x:v>
      </x:c>
      <x:c r="H216" s="21" t="n">
        <x:v>0.05</x:v>
      </x:c>
      <x:c r="I216" s="20" t="n">
        <x:v>0.8</x:v>
      </x:c>
      <x:c r="J216" s="20" t="n">
        <x:v>1</x:v>
      </x:c>
      <x:c r="K216" s="20" t="n">
        <x:v>1</x:v>
      </x:c>
      <x:c r="L216" s="12" t="n">
        <x:v>3560</x:v>
      </x:c>
      <x:c r="M216" s="8" t="n">
        <x:v>124</x:v>
      </x:c>
      <x:c r="N216" s="12" t="n">
        <x:v>150</x:v>
      </x:c>
      <x:c r="O216" s="8" t="n">
        <x:v>2170</x:v>
      </x:c>
      <x:c r="P216" s="8" t="n">
        <x:v>8</x:v>
      </x:c>
      <x:c r="Q216" s="8" t="n">
        <x:v>4</x:v>
      </x:c>
      <x:c r="R216" s="8" t="n">
        <x:v>12</x:v>
      </x:c>
      <x:c r="S216" s="8" t="n">
        <x:v>0</x:v>
      </x:c>
      <x:c r="T216" s="8" t="n">
        <x:v>1</x:v>
      </x:c>
      <x:c r="U216" s="12" t="n">
        <x:v>0</x:v>
      </x:c>
      <x:c r="V216" s="8" t="n">
        <x:v>3</x:v>
      </x:c>
      <x:c r="W216" s="8" t="n">
        <x:v>138</x:v>
      </x:c>
      <x:c r="X216" s="12" t="n">
        <x:v>43700</x:v>
      </x:c>
      <x:c r="Y216" s="21"/>
      <x:c r="Z216" s="24" t="n">
        <x:f>IF($A216="","",INDEX(Settings!$C$29:$C$33,MATCH(E216,Settings!$A$29:$A$33,0)))</x:f>
        <x:v>3300</x:v>
      </x:c>
      <x:c r="AA216" s="22" t="n">
        <x:f>IF($A216="","",G216/Z216)</x:f>
        <x:v>1.0787878787878789</x:v>
      </x:c>
      <x:c r="AB216" s="25" t="n">
        <x:f>IF($A216="","",IF(ISNUMBER(Y216),Y216,Settings!$B$10))</x:f>
        <x:v>0.03</x:v>
      </x:c>
      <x:c r="AC216" s="23" t="n">
        <x:f>IF($A216="","",G216*(1+AB216))</x:f>
        <x:v>3666.8</x:v>
      </x:c>
      <x:c r="AD216" s="23" t="n">
        <x:f>IF($A216="","",G216*F216*12)</x:f>
        <x:v>25632</x:v>
      </x:c>
      <x:c r="AE216" s="23" t="n">
        <x:f>IF($A216="","",G216*F216*J216)</x:f>
        <x:v>2136</x:v>
      </x:c>
      <x:c r="AF216" s="24" t="n">
        <x:f>IF($A216="","",L216*F216*K216*Settings!$B$13)</x:f>
        <x:v>1965.1200000000001</x:v>
      </x:c>
      <x:c r="AG216" s="23" t="n">
        <x:f>IF($A216="","",AD216*H216*I216)</x:f>
        <x:v>1025.2800000000002</x:v>
      </x:c>
      <x:c r="AH216" s="24" t="n">
        <x:f>IF($A216="","",SUM(AD216:AE216,AG216)*SUM(Settings!$B$11:$B$12))</x:f>
        <x:v>7198.32</x:v>
      </x:c>
      <x:c r="AI216" s="24" t="n">
        <x:f>IF($A216="","",M216*Settings!$B$16)</x:f>
        <x:v>1104.84</x:v>
      </x:c>
      <x:c r="AJ216" s="24" t="n">
        <x:f>IF($A216="","",M216*Settings!$B$15)</x:f>
        <x:v>135.16</x:v>
      </x:c>
      <x:c r="AK216" s="24" t="n">
        <x:f>IF($A216="","",O216*Settings!$B$18)</x:f>
        <x:v>802.9</x:v>
      </x:c>
      <x:c r="AL216" s="24" t="n">
        <x:f>IF($A216="","",P216*Settings!$B$20+Q216*Settings!$B$21+R216*Settings!$B$22+S216*Settings!$B$23)</x:f>
        <x:v>2184.76</x:v>
      </x:c>
      <x:c r="AM216" s="24" t="n">
        <x:f>IF($A216="","",T216*Settings!$B$24)</x:f>
        <x:v>40</x:v>
      </x:c>
      <x:c r="AN216" s="23" t="n">
        <x:f>IF($A216="","",SUM(AI216,N216,AK216:AM216,U216))</x:f>
        <x:v>4282.5</x:v>
      </x:c>
      <x:c r="AO216" s="23" t="n">
        <x:f>IF($A216="","",SUM(AD216:AI216,N216,AK216:AM216,U216))</x:f>
        <x:v>42239.22</x:v>
      </x:c>
      <x:c r="AP216" s="24" t="n">
        <x:f>IF($A216="","",G216*F216*AB216*((13-Settings!$B$9)*(1+H216*I216)+J216)*(1+SUM(Settings!$B$11:$B$12)))</x:f>
        <x:v>829.836</x:v>
      </x:c>
      <x:c r="AQ216" s="23" t="n">
        <x:f>IF($A216="","",SUM(AO216:AP216))</x:f>
        <x:v>43069.056000000004</x:v>
      </x:c>
      <x:c r="AR216" s="23" t="n">
        <x:f>IF($A216="","",AQ216-X216)</x:f>
        <x:v>-630.9439999999959</x:v>
      </x:c>
      <x:c r="AS216" s="22" t="n">
        <x:f>IF($A216="","",IF(W216=0,"n.a.",V216/W216))</x:f>
        <x:v>0.021739130434782608</x:v>
      </x:c>
      <x:c r="AT216" s="26" t="str">
        <x:f>IF($A216="",IF(COUNTA(B216:Y216)&gt;0,"Missing ID",""),IF(COUNTIFS($A$9:$A$508,A216)&gt;1,"Duplicate ID",IF(OR(B216="",C216="",D216="",E216="",COUNT(F216:X216)&lt;&gt;19),"Missing / text input",IF(OR(COUNTIFS(Settings!$A$59:$A$64,B216)&lt;&gt;1,COUNTIFS(Settings!$A$29:$A$33,E216)&lt;&gt;1),"Unknown department / grade",IF(OR(F216&lt;=0,F216&gt;1,G216&lt;=0,L216&lt;=0,H216&lt;0,I216&lt;0,J216&lt;0,K216&lt;0,K216&gt;1,MIN(M216:X216)&lt;0,W216=0,V216&gt;W216,M216&gt;W216-V216,P216&gt;8,Q216&gt;4,R216&gt;12,S216&gt;12,T216&gt;1,AB216&lt;0),"Review quantity / rate",IF(OR(N216&gt;Settings!$C$17,AK216&gt;Settings!$C$19),"Review benefit ceiling","OK"))))))</x:f>
        <x:v>OK</x:v>
      </x:c>
    </x:row>
    <x:row r="217" ht="23" customHeight="1">
      <x:c r="A217" s="8" t="str">
        <x:v>BE-0209</x:v>
      </x:c>
      <x:c r="B217" s="8" t="str">
        <x:v>Customer Operations</x:v>
      </x:c>
      <x:c r="C217" s="8" t="str">
        <x:v>Antwerp</x:v>
      </x:c>
      <x:c r="D217" s="8" t="str">
        <x:v>Service specialist</x:v>
      </x:c>
      <x:c r="E217" s="8" t="str">
        <x:v>G2</x:v>
      </x:c>
      <x:c r="F217" s="20" t="n">
        <x:v>1</x:v>
      </x:c>
      <x:c r="G217" s="12" t="n">
        <x:v>3230</x:v>
      </x:c>
      <x:c r="H217" s="21" t="n">
        <x:v>0.05</x:v>
      </x:c>
      <x:c r="I217" s="20" t="n">
        <x:v>1</x:v>
      </x:c>
      <x:c r="J217" s="20" t="n">
        <x:v>1</x:v>
      </x:c>
      <x:c r="K217" s="20" t="n">
        <x:v>1</x:v>
      </x:c>
      <x:c r="L217" s="12" t="n">
        <x:v>3230</x:v>
      </x:c>
      <x:c r="M217" s="8" t="n">
        <x:v>209</x:v>
      </x:c>
      <x:c r="N217" s="12" t="n">
        <x:v>250</x:v>
      </x:c>
      <x:c r="O217" s="8" t="n">
        <x:v>0</x:v>
      </x:c>
      <x:c r="P217" s="8" t="n">
        <x:v>0</x:v>
      </x:c>
      <x:c r="Q217" s="8" t="n">
        <x:v>0</x:v>
      </x:c>
      <x:c r="R217" s="8" t="n">
        <x:v>0</x:v>
      </x:c>
      <x:c r="S217" s="8" t="n">
        <x:v>0</x:v>
      </x:c>
      <x:c r="T217" s="8" t="n">
        <x:v>1</x:v>
      </x:c>
      <x:c r="U217" s="12" t="n">
        <x:v>0</x:v>
      </x:c>
      <x:c r="V217" s="8" t="n">
        <x:v>4</x:v>
      </x:c>
      <x:c r="W217" s="8" t="n">
        <x:v>230</x:v>
      </x:c>
      <x:c r="X217" s="12" t="n">
        <x:v>62200</x:v>
      </x:c>
      <x:c r="Y217" s="21"/>
      <x:c r="Z217" s="24" t="n">
        <x:f>IF($A217="","",INDEX(Settings!$C$29:$C$33,MATCH(E217,Settings!$A$29:$A$33,0)))</x:f>
        <x:v>3300</x:v>
      </x:c>
      <x:c r="AA217" s="22" t="n">
        <x:f>IF($A217="","",G217/Z217)</x:f>
        <x:v>0.9787878787878788</x:v>
      </x:c>
      <x:c r="AB217" s="25" t="n">
        <x:f>IF($A217="","",IF(ISNUMBER(Y217),Y217,Settings!$B$10))</x:f>
        <x:v>0.03</x:v>
      </x:c>
      <x:c r="AC217" s="23" t="n">
        <x:f>IF($A217="","",G217*(1+AB217))</x:f>
        <x:v>3326.9</x:v>
      </x:c>
      <x:c r="AD217" s="23" t="n">
        <x:f>IF($A217="","",G217*F217*12)</x:f>
        <x:v>38760</x:v>
      </x:c>
      <x:c r="AE217" s="23" t="n">
        <x:f>IF($A217="","",G217*F217*J217)</x:f>
        <x:v>3230</x:v>
      </x:c>
      <x:c r="AF217" s="24" t="n">
        <x:f>IF($A217="","",L217*F217*K217*Settings!$B$13)</x:f>
        <x:v>2971.6</x:v>
      </x:c>
      <x:c r="AG217" s="23" t="n">
        <x:f>IF($A217="","",AD217*H217*I217)</x:f>
        <x:v>1938</x:v>
      </x:c>
      <x:c r="AH217" s="24" t="n">
        <x:f>IF($A217="","",SUM(AD217:AE217,AG217)*SUM(Settings!$B$11:$B$12))</x:f>
        <x:v>10982</x:v>
      </x:c>
      <x:c r="AI217" s="24" t="n">
        <x:f>IF($A217="","",M217*Settings!$B$16)</x:f>
        <x:v>1862.19</x:v>
      </x:c>
      <x:c r="AJ217" s="24" t="n">
        <x:f>IF($A217="","",M217*Settings!$B$15)</x:f>
        <x:v>227.81000000000003</x:v>
      </x:c>
      <x:c r="AK217" s="24" t="n">
        <x:f>IF($A217="","",O217*Settings!$B$18)</x:f>
        <x:v>0</x:v>
      </x:c>
      <x:c r="AL217" s="24" t="n">
        <x:f>IF($A217="","",P217*Settings!$B$20+Q217*Settings!$B$21+R217*Settings!$B$22+S217*Settings!$B$23)</x:f>
        <x:v>0</x:v>
      </x:c>
      <x:c r="AM217" s="24" t="n">
        <x:f>IF($A217="","",T217*Settings!$B$24)</x:f>
        <x:v>40</x:v>
      </x:c>
      <x:c r="AN217" s="23" t="n">
        <x:f>IF($A217="","",SUM(AI217,N217,AK217:AM217,U217))</x:f>
        <x:v>2152.19</x:v>
      </x:c>
      <x:c r="AO217" s="23" t="n">
        <x:f>IF($A217="","",SUM(AD217:AI217,N217,AK217:AM217,U217))</x:f>
        <x:v>60033.79</x:v>
      </x:c>
      <x:c r="AP217" s="24" t="n">
        <x:f>IF($A217="","",G217*F217*AB217*((13-Settings!$B$9)*(1+H217*I217)+J217)*(1+SUM(Settings!$B$11:$B$12)))</x:f>
        <x:v>1265.75625</x:v>
      </x:c>
      <x:c r="AQ217" s="23" t="n">
        <x:f>IF($A217="","",SUM(AO217:AP217))</x:f>
        <x:v>61299.54625</x:v>
      </x:c>
      <x:c r="AR217" s="23" t="n">
        <x:f>IF($A217="","",AQ217-X217)</x:f>
        <x:v>-900.4537500000006</x:v>
      </x:c>
      <x:c r="AS217" s="22" t="n">
        <x:f>IF($A217="","",IF(W217=0,"n.a.",V217/W217))</x:f>
        <x:v>0.017391304347826087</x:v>
      </x:c>
      <x:c r="AT217" s="26" t="str">
        <x:f>IF($A217="",IF(COUNTA(B217:Y217)&gt;0,"Missing ID",""),IF(COUNTIFS($A$9:$A$508,A217)&gt;1,"Duplicate ID",IF(OR(B217="",C217="",D217="",E217="",COUNT(F217:X217)&lt;&gt;19),"Missing / text input",IF(OR(COUNTIFS(Settings!$A$59:$A$64,B217)&lt;&gt;1,COUNTIFS(Settings!$A$29:$A$33,E217)&lt;&gt;1),"Unknown department / grade",IF(OR(F217&lt;=0,F217&gt;1,G217&lt;=0,L217&lt;=0,H217&lt;0,I217&lt;0,J217&lt;0,K217&lt;0,K217&gt;1,MIN(M217:X217)&lt;0,W217=0,V217&gt;W217,M217&gt;W217-V217,P217&gt;8,Q217&gt;4,R217&gt;12,S217&gt;12,T217&gt;1,AB217&lt;0),"Review quantity / rate",IF(OR(N217&gt;Settings!$C$17,AK217&gt;Settings!$C$19),"Review benefit ceiling","OK"))))))</x:f>
        <x:v>OK</x:v>
      </x:c>
    </x:row>
    <x:row r="218" ht="23" customHeight="1">
      <x:c r="A218" s="8" t="str">
        <x:v>BE-0210</x:v>
      </x:c>
      <x:c r="B218" s="8" t="str">
        <x:v>Business Support</x:v>
      </x:c>
      <x:c r="C218" s="8" t="str">
        <x:v>Ghent</x:v>
      </x:c>
      <x:c r="D218" s="8" t="str">
        <x:v>Business specialist</x:v>
      </x:c>
      <x:c r="E218" s="8" t="str">
        <x:v>G2</x:v>
      </x:c>
      <x:c r="F218" s="20" t="n">
        <x:v>1</x:v>
      </x:c>
      <x:c r="G218" s="12" t="n">
        <x:v>3240</x:v>
      </x:c>
      <x:c r="H218" s="21" t="n">
        <x:v>0.05</x:v>
      </x:c>
      <x:c r="I218" s="20" t="n">
        <x:v>1.1</x:v>
      </x:c>
      <x:c r="J218" s="20" t="n">
        <x:v>1</x:v>
      </x:c>
      <x:c r="K218" s="20" t="n">
        <x:v>1</x:v>
      </x:c>
      <x:c r="L218" s="12" t="n">
        <x:v>3240</x:v>
      </x:c>
      <x:c r="M218" s="8" t="n">
        <x:v>208</x:v>
      </x:c>
      <x:c r="N218" s="12" t="n">
        <x:v>250</x:v>
      </x:c>
      <x:c r="O218" s="8" t="n">
        <x:v>0</x:v>
      </x:c>
      <x:c r="P218" s="8" t="n">
        <x:v>8</x:v>
      </x:c>
      <x:c r="Q218" s="8" t="n">
        <x:v>4</x:v>
      </x:c>
      <x:c r="R218" s="8" t="n">
        <x:v>12</x:v>
      </x:c>
      <x:c r="S218" s="8" t="n">
        <x:v>0</x:v>
      </x:c>
      <x:c r="T218" s="8" t="n">
        <x:v>1</x:v>
      </x:c>
      <x:c r="U218" s="12" t="n">
        <x:v>0</x:v>
      </x:c>
      <x:c r="V218" s="8" t="n">
        <x:v>5</x:v>
      </x:c>
      <x:c r="W218" s="8" t="n">
        <x:v>230</x:v>
      </x:c>
      <x:c r="X218" s="12" t="n">
        <x:v>63600</x:v>
      </x:c>
      <x:c r="Y218" s="21" t="n">
        <x:v>0</x:v>
      </x:c>
      <x:c r="Z218" s="24" t="n">
        <x:f>IF($A218="","",INDEX(Settings!$C$29:$C$33,MATCH(E218,Settings!$A$29:$A$33,0)))</x:f>
        <x:v>3300</x:v>
      </x:c>
      <x:c r="AA218" s="22" t="n">
        <x:f>IF($A218="","",G218/Z218)</x:f>
        <x:v>0.9818181818181818</x:v>
      </x:c>
      <x:c r="AB218" s="25" t="n">
        <x:f>IF($A218="","",IF(ISNUMBER(Y218),Y218,Settings!$B$10))</x:f>
        <x:v>0</x:v>
      </x:c>
      <x:c r="AC218" s="23" t="n">
        <x:f>IF($A218="","",G218*(1+AB218))</x:f>
        <x:v>3240</x:v>
      </x:c>
      <x:c r="AD218" s="23" t="n">
        <x:f>IF($A218="","",G218*F218*12)</x:f>
        <x:v>38880</x:v>
      </x:c>
      <x:c r="AE218" s="23" t="n">
        <x:f>IF($A218="","",G218*F218*J218)</x:f>
        <x:v>3240</x:v>
      </x:c>
      <x:c r="AF218" s="24" t="n">
        <x:f>IF($A218="","",L218*F218*K218*Settings!$B$13)</x:f>
        <x:v>2980.8</x:v>
      </x:c>
      <x:c r="AG218" s="23" t="n">
        <x:f>IF($A218="","",AD218*H218*I218)</x:f>
        <x:v>2138.4</x:v>
      </x:c>
      <x:c r="AH218" s="24" t="n">
        <x:f>IF($A218="","",SUM(AD218:AE218,AG218)*SUM(Settings!$B$11:$B$12))</x:f>
        <x:v>11064.6</x:v>
      </x:c>
      <x:c r="AI218" s="24" t="n">
        <x:f>IF($A218="","",M218*Settings!$B$16)</x:f>
        <x:v>1853.28</x:v>
      </x:c>
      <x:c r="AJ218" s="24" t="n">
        <x:f>IF($A218="","",M218*Settings!$B$15)</x:f>
        <x:v>226.72000000000003</x:v>
      </x:c>
      <x:c r="AK218" s="24" t="n">
        <x:f>IF($A218="","",O218*Settings!$B$18)</x:f>
        <x:v>0</x:v>
      </x:c>
      <x:c r="AL218" s="24" t="n">
        <x:f>IF($A218="","",P218*Settings!$B$20+Q218*Settings!$B$21+R218*Settings!$B$22+S218*Settings!$B$23)</x:f>
        <x:v>2184.76</x:v>
      </x:c>
      <x:c r="AM218" s="24" t="n">
        <x:f>IF($A218="","",T218*Settings!$B$24)</x:f>
        <x:v>40</x:v>
      </x:c>
      <x:c r="AN218" s="23" t="n">
        <x:f>IF($A218="","",SUM(AI218,N218,AK218:AM218,U218))</x:f>
        <x:v>4328.04</x:v>
      </x:c>
      <x:c r="AO218" s="23" t="n">
        <x:f>IF($A218="","",SUM(AD218:AI218,N218,AK218:AM218,U218))</x:f>
        <x:v>62631.840000000004</x:v>
      </x:c>
      <x:c r="AP218" s="24" t="n">
        <x:f>IF($A218="","",G218*F218*AB218*((13-Settings!$B$9)*(1+H218*I218)+J218)*(1+SUM(Settings!$B$11:$B$12)))</x:f>
        <x:v>0</x:v>
      </x:c>
      <x:c r="AQ218" s="23" t="n">
        <x:f>IF($A218="","",SUM(AO218:AP218))</x:f>
        <x:v>62631.840000000004</x:v>
      </x:c>
      <x:c r="AR218" s="23" t="n">
        <x:f>IF($A218="","",AQ218-X218)</x:f>
        <x:v>-968.1599999999962</x:v>
      </x:c>
      <x:c r="AS218" s="22" t="n">
        <x:f>IF($A218="","",IF(W218=0,"n.a.",V218/W218))</x:f>
        <x:v>0.021739130434782608</x:v>
      </x:c>
      <x:c r="AT218" s="26" t="str">
        <x:f>IF($A218="",IF(COUNTA(B218:Y218)&gt;0,"Missing ID",""),IF(COUNTIFS($A$9:$A$508,A218)&gt;1,"Duplicate ID",IF(OR(B218="",C218="",D218="",E218="",COUNT(F218:X218)&lt;&gt;19),"Missing / text input",IF(OR(COUNTIFS(Settings!$A$59:$A$64,B218)&lt;&gt;1,COUNTIFS(Settings!$A$29:$A$33,E218)&lt;&gt;1),"Unknown department / grade",IF(OR(F218&lt;=0,F218&gt;1,G218&lt;=0,L218&lt;=0,H218&lt;0,I218&lt;0,J218&lt;0,K218&lt;0,K218&gt;1,MIN(M218:X218)&lt;0,W218=0,V218&gt;W218,M218&gt;W218-V218,P218&gt;8,Q218&gt;4,R218&gt;12,S218&gt;12,T218&gt;1,AB218&lt;0),"Review quantity / rate",IF(OR(N218&gt;Settings!$C$17,AK218&gt;Settings!$C$19),"Review benefit ceiling","OK"))))))</x:f>
        <x:v>OK</x:v>
      </x:c>
    </x:row>
    <x:row r="219" ht="23" customHeight="1">
      <x:c r="A219" s="8" t="str">
        <x:v>BE-0211</x:v>
      </x:c>
      <x:c r="B219" s="8" t="str">
        <x:v>Finance</x:v>
      </x:c>
      <x:c r="C219" s="8" t="str">
        <x:v>Brussels</x:v>
      </x:c>
      <x:c r="D219" s="8" t="str">
        <x:v>Accountant</x:v>
      </x:c>
      <x:c r="E219" s="8" t="str">
        <x:v>G2</x:v>
      </x:c>
      <x:c r="F219" s="20" t="n">
        <x:v>0.8</x:v>
      </x:c>
      <x:c r="G219" s="12" t="n">
        <x:v>3050</x:v>
      </x:c>
      <x:c r="H219" s="21" t="n">
        <x:v>0.05</x:v>
      </x:c>
      <x:c r="I219" s="20" t="n">
        <x:v>0.8</x:v>
      </x:c>
      <x:c r="J219" s="20" t="n">
        <x:v>1</x:v>
      </x:c>
      <x:c r="K219" s="20" t="n">
        <x:v>1</x:v>
      </x:c>
      <x:c r="L219" s="12" t="n">
        <x:v>3050</x:v>
      </x:c>
      <x:c r="M219" s="8" t="n">
        <x:v>171</x:v>
      </x:c>
      <x:c r="N219" s="12" t="n">
        <x:v>200</x:v>
      </x:c>
      <x:c r="O219" s="8" t="n">
        <x:v>410</x:v>
      </x:c>
      <x:c r="P219" s="8" t="n">
        <x:v>8</x:v>
      </x:c>
      <x:c r="Q219" s="8" t="n">
        <x:v>4</x:v>
      </x:c>
      <x:c r="R219" s="8" t="n">
        <x:v>12</x:v>
      </x:c>
      <x:c r="S219" s="8" t="n">
        <x:v>12</x:v>
      </x:c>
      <x:c r="T219" s="8" t="n">
        <x:v>1</x:v>
      </x:c>
      <x:c r="U219" s="12" t="n">
        <x:v>0</x:v>
      </x:c>
      <x:c r="V219" s="8" t="n">
        <x:v>6</x:v>
      </x:c>
      <x:c r="W219" s="8" t="n">
        <x:v>184</x:v>
      </x:c>
      <x:c r="X219" s="12" t="n">
        <x:v>47900</x:v>
      </x:c>
      <x:c r="Y219" s="21"/>
      <x:c r="Z219" s="24" t="n">
        <x:f>IF($A219="","",INDEX(Settings!$C$29:$C$33,MATCH(E219,Settings!$A$29:$A$33,0)))</x:f>
        <x:v>3300</x:v>
      </x:c>
      <x:c r="AA219" s="22" t="n">
        <x:f>IF($A219="","",G219/Z219)</x:f>
        <x:v>0.9242424242424242</x:v>
      </x:c>
      <x:c r="AB219" s="25" t="n">
        <x:f>IF($A219="","",IF(ISNUMBER(Y219),Y219,Settings!$B$10))</x:f>
        <x:v>0.03</x:v>
      </x:c>
      <x:c r="AC219" s="23" t="n">
        <x:f>IF($A219="","",G219*(1+AB219))</x:f>
        <x:v>3141.5</x:v>
      </x:c>
      <x:c r="AD219" s="23" t="n">
        <x:f>IF($A219="","",G219*F219*12)</x:f>
        <x:v>29280</x:v>
      </x:c>
      <x:c r="AE219" s="23" t="n">
        <x:f>IF($A219="","",G219*F219*J219)</x:f>
        <x:v>2440</x:v>
      </x:c>
      <x:c r="AF219" s="24" t="n">
        <x:f>IF($A219="","",L219*F219*K219*Settings!$B$13)</x:f>
        <x:v>2244.8</x:v>
      </x:c>
      <x:c r="AG219" s="23" t="n">
        <x:f>IF($A219="","",AD219*H219*I219)</x:f>
        <x:v>1171.2</x:v>
      </x:c>
      <x:c r="AH219" s="24" t="n">
        <x:f>IF($A219="","",SUM(AD219:AE219,AG219)*SUM(Settings!$B$11:$B$12))</x:f>
        <x:v>8222.8</x:v>
      </x:c>
      <x:c r="AI219" s="24" t="n">
        <x:f>IF($A219="","",M219*Settings!$B$16)</x:f>
        <x:v>1523.6100000000001</x:v>
      </x:c>
      <x:c r="AJ219" s="24" t="n">
        <x:f>IF($A219="","",M219*Settings!$B$15)</x:f>
        <x:v>186.39000000000001</x:v>
      </x:c>
      <x:c r="AK219" s="24" t="n">
        <x:f>IF($A219="","",O219*Settings!$B$18)</x:f>
        <x:v>151.7</x:v>
      </x:c>
      <x:c r="AL219" s="24" t="n">
        <x:f>IF($A219="","",P219*Settings!$B$20+Q219*Settings!$B$21+R219*Settings!$B$22+S219*Settings!$B$23)</x:f>
        <x:v>2424.76</x:v>
      </x:c>
      <x:c r="AM219" s="24" t="n">
        <x:f>IF($A219="","",T219*Settings!$B$24)</x:f>
        <x:v>40</x:v>
      </x:c>
      <x:c r="AN219" s="23" t="n">
        <x:f>IF($A219="","",SUM(AI219,N219,AK219:AM219,U219))</x:f>
        <x:v>4340.07</x:v>
      </x:c>
      <x:c r="AO219" s="23" t="n">
        <x:f>IF($A219="","",SUM(AD219:AI219,N219,AK219:AM219,U219))</x:f>
        <x:v>47698.87</x:v>
      </x:c>
      <x:c r="AP219" s="24" t="n">
        <x:f>IF($A219="","",G219*F219*AB219*((13-Settings!$B$9)*(1+H219*I219)+J219)*(1+SUM(Settings!$B$11:$B$12)))</x:f>
        <x:v>947.9399999999999</x:v>
      </x:c>
      <x:c r="AQ219" s="23" t="n">
        <x:f>IF($A219="","",SUM(AO219:AP219))</x:f>
        <x:v>48646.810000000005</x:v>
      </x:c>
      <x:c r="AR219" s="23" t="n">
        <x:f>IF($A219="","",AQ219-X219)</x:f>
        <x:v>746.810000000005</x:v>
      </x:c>
      <x:c r="AS219" s="22" t="n">
        <x:f>IF($A219="","",IF(W219=0,"n.a.",V219/W219))</x:f>
        <x:v>0.03260869565217391</x:v>
      </x:c>
      <x:c r="AT219" s="26" t="str">
        <x:f>IF($A219="",IF(COUNTA(B219:Y219)&gt;0,"Missing ID",""),IF(COUNTIFS($A$9:$A$508,A219)&gt;1,"Duplicate ID",IF(OR(B219="",C219="",D219="",E219="",COUNT(F219:X219)&lt;&gt;19),"Missing / text input",IF(OR(COUNTIFS(Settings!$A$59:$A$64,B219)&lt;&gt;1,COUNTIFS(Settings!$A$29:$A$33,E219)&lt;&gt;1),"Unknown department / grade",IF(OR(F219&lt;=0,F219&gt;1,G219&lt;=0,L219&lt;=0,H219&lt;0,I219&lt;0,J219&lt;0,K219&lt;0,K219&gt;1,MIN(M219:X219)&lt;0,W219=0,V219&gt;W219,M219&gt;W219-V219,P219&gt;8,Q219&gt;4,R219&gt;12,S219&gt;12,T219&gt;1,AB219&lt;0),"Review quantity / rate",IF(OR(N219&gt;Settings!$C$17,AK219&gt;Settings!$C$19),"Review benefit ceiling","OK"))))))</x:f>
        <x:v>OK</x:v>
      </x:c>
    </x:row>
    <x:row r="220" ht="23" customHeight="1">
      <x:c r="A220" s="8" t="str">
        <x:v>BE-0212</x:v>
      </x:c>
      <x:c r="B220" s="8" t="str">
        <x:v>People &amp; Culture</x:v>
      </x:c>
      <x:c r="C220" s="8" t="str">
        <x:v>Antwerp</x:v>
      </x:c>
      <x:c r="D220" s="8" t="str">
        <x:v>HR specialist</x:v>
      </x:c>
      <x:c r="E220" s="8" t="str">
        <x:v>G2</x:v>
      </x:c>
      <x:c r="F220" s="20" t="n">
        <x:v>1</x:v>
      </x:c>
      <x:c r="G220" s="12" t="n">
        <x:v>3540</x:v>
      </x:c>
      <x:c r="H220" s="21" t="n">
        <x:v>0.05</x:v>
      </x:c>
      <x:c r="I220" s="20" t="n">
        <x:v>1</x:v>
      </x:c>
      <x:c r="J220" s="20" t="n">
        <x:v>1</x:v>
      </x:c>
      <x:c r="K220" s="20" t="n">
        <x:v>1</x:v>
      </x:c>
      <x:c r="L220" s="12" t="n">
        <x:v>3540</x:v>
      </x:c>
      <x:c r="M220" s="8" t="n">
        <x:v>213</x:v>
      </x:c>
      <x:c r="N220" s="12" t="n">
        <x:v>250</x:v>
      </x:c>
      <x:c r="O220" s="8" t="n">
        <x:v>0</x:v>
      </x:c>
      <x:c r="P220" s="8" t="n">
        <x:v>8</x:v>
      </x:c>
      <x:c r="Q220" s="8" t="n">
        <x:v>4</x:v>
      </x:c>
      <x:c r="R220" s="8" t="n">
        <x:v>12</x:v>
      </x:c>
      <x:c r="S220" s="8" t="n">
        <x:v>0</x:v>
      </x:c>
      <x:c r="T220" s="8" t="n">
        <x:v>1</x:v>
      </x:c>
      <x:c r="U220" s="12" t="n">
        <x:v>0</x:v>
      </x:c>
      <x:c r="V220" s="8" t="n">
        <x:v>7</x:v>
      </x:c>
      <x:c r="W220" s="8" t="n">
        <x:v>230</x:v>
      </x:c>
      <x:c r="X220" s="12" t="n">
        <x:v>70200</x:v>
      </x:c>
      <x:c r="Y220" s="21"/>
      <x:c r="Z220" s="24" t="n">
        <x:f>IF($A220="","",INDEX(Settings!$C$29:$C$33,MATCH(E220,Settings!$A$29:$A$33,0)))</x:f>
        <x:v>3300</x:v>
      </x:c>
      <x:c r="AA220" s="22" t="n">
        <x:f>IF($A220="","",G220/Z220)</x:f>
        <x:v>1.0727272727272728</x:v>
      </x:c>
      <x:c r="AB220" s="25" t="n">
        <x:f>IF($A220="","",IF(ISNUMBER(Y220),Y220,Settings!$B$10))</x:f>
        <x:v>0.03</x:v>
      </x:c>
      <x:c r="AC220" s="23" t="n">
        <x:f>IF($A220="","",G220*(1+AB220))</x:f>
        <x:v>3646.2000000000003</x:v>
      </x:c>
      <x:c r="AD220" s="23" t="n">
        <x:f>IF($A220="","",G220*F220*12)</x:f>
        <x:v>42480</x:v>
      </x:c>
      <x:c r="AE220" s="23" t="n">
        <x:f>IF($A220="","",G220*F220*J220)</x:f>
        <x:v>3540</x:v>
      </x:c>
      <x:c r="AF220" s="24" t="n">
        <x:f>IF($A220="","",L220*F220*K220*Settings!$B$13)</x:f>
        <x:v>3256.8</x:v>
      </x:c>
      <x:c r="AG220" s="23" t="n">
        <x:f>IF($A220="","",AD220*H220*I220)</x:f>
        <x:v>2124</x:v>
      </x:c>
      <x:c r="AH220" s="24" t="n">
        <x:f>IF($A220="","",SUM(AD220:AE220,AG220)*SUM(Settings!$B$11:$B$12))</x:f>
        <x:v>12036</x:v>
      </x:c>
      <x:c r="AI220" s="24" t="n">
        <x:f>IF($A220="","",M220*Settings!$B$16)</x:f>
        <x:v>1897.83</x:v>
      </x:c>
      <x:c r="AJ220" s="24" t="n">
        <x:f>IF($A220="","",M220*Settings!$B$15)</x:f>
        <x:v>232.17000000000002</x:v>
      </x:c>
      <x:c r="AK220" s="24" t="n">
        <x:f>IF($A220="","",O220*Settings!$B$18)</x:f>
        <x:v>0</x:v>
      </x:c>
      <x:c r="AL220" s="24" t="n">
        <x:f>IF($A220="","",P220*Settings!$B$20+Q220*Settings!$B$21+R220*Settings!$B$22+S220*Settings!$B$23)</x:f>
        <x:v>2184.76</x:v>
      </x:c>
      <x:c r="AM220" s="24" t="n">
        <x:f>IF($A220="","",T220*Settings!$B$24)</x:f>
        <x:v>40</x:v>
      </x:c>
      <x:c r="AN220" s="23" t="n">
        <x:f>IF($A220="","",SUM(AI220,N220,AK220:AM220,U220))</x:f>
        <x:v>4372.59</x:v>
      </x:c>
      <x:c r="AO220" s="23" t="n">
        <x:f>IF($A220="","",SUM(AD220:AI220,N220,AK220:AM220,U220))</x:f>
        <x:v>67809.39</x:v>
      </x:c>
      <x:c r="AP220" s="24" t="n">
        <x:f>IF($A220="","",G220*F220*AB220*((13-Settings!$B$9)*(1+H220*I220)+J220)*(1+SUM(Settings!$B$11:$B$12)))</x:f>
        <x:v>1387.2375000000002</x:v>
      </x:c>
      <x:c r="AQ220" s="23" t="n">
        <x:f>IF($A220="","",SUM(AO220:AP220))</x:f>
        <x:v>69196.6275</x:v>
      </x:c>
      <x:c r="AR220" s="23" t="n">
        <x:f>IF($A220="","",AQ220-X220)</x:f>
        <x:v>-1003.3724999999977</x:v>
      </x:c>
      <x:c r="AS220" s="22" t="n">
        <x:f>IF($A220="","",IF(W220=0,"n.a.",V220/W220))</x:f>
        <x:v>0.030434782608695653</x:v>
      </x:c>
      <x:c r="AT220" s="26" t="str">
        <x:f>IF($A220="",IF(COUNTA(B220:Y220)&gt;0,"Missing ID",""),IF(COUNTIFS($A$9:$A$508,A220)&gt;1,"Duplicate ID",IF(OR(B220="",C220="",D220="",E220="",COUNT(F220:X220)&lt;&gt;19),"Missing / text input",IF(OR(COUNTIFS(Settings!$A$59:$A$64,B220)&lt;&gt;1,COUNTIFS(Settings!$A$29:$A$33,E220)&lt;&gt;1),"Unknown department / grade",IF(OR(F220&lt;=0,F220&gt;1,G220&lt;=0,L220&lt;=0,H220&lt;0,I220&lt;0,J220&lt;0,K220&lt;0,K220&gt;1,MIN(M220:X220)&lt;0,W220=0,V220&gt;W220,M220&gt;W220-V220,P220&gt;8,Q220&gt;4,R220&gt;12,S220&gt;12,T220&gt;1,AB220&lt;0),"Review quantity / rate",IF(OR(N220&gt;Settings!$C$17,AK220&gt;Settings!$C$19),"Review benefit ceiling","OK"))))))</x:f>
        <x:v>OK</x:v>
      </x:c>
    </x:row>
    <x:row r="221" ht="23" customHeight="1">
      <x:c r="A221" s="8" t="str">
        <x:v>BE-0213</x:v>
      </x:c>
      <x:c r="B221" s="8" t="str">
        <x:v>Technology</x:v>
      </x:c>
      <x:c r="C221" s="8" t="str">
        <x:v>Ghent</x:v>
      </x:c>
      <x:c r="D221" s="8" t="str">
        <x:v>Senior engineer</x:v>
      </x:c>
      <x:c r="E221" s="8" t="str">
        <x:v>G3</x:v>
      </x:c>
      <x:c r="F221" s="20" t="n">
        <x:v>1</x:v>
      </x:c>
      <x:c r="G221" s="12" t="n">
        <x:v>3850</x:v>
      </x:c>
      <x:c r="H221" s="21" t="n">
        <x:v>0.08</x:v>
      </x:c>
      <x:c r="I221" s="20" t="n">
        <x:v>1.1</x:v>
      </x:c>
      <x:c r="J221" s="20" t="n">
        <x:v>1</x:v>
      </x:c>
      <x:c r="K221" s="20" t="n">
        <x:v>1</x:v>
      </x:c>
      <x:c r="L221" s="12" t="n">
        <x:v>3850</x:v>
      </x:c>
      <x:c r="M221" s="8" t="n">
        <x:v>212</x:v>
      </x:c>
      <x:c r="N221" s="12" t="n">
        <x:v>250</x:v>
      </x:c>
      <x:c r="O221" s="8" t="n">
        <x:v>0</x:v>
      </x:c>
      <x:c r="P221" s="8" t="n">
        <x:v>0</x:v>
      </x:c>
      <x:c r="Q221" s="8" t="n">
        <x:v>0</x:v>
      </x:c>
      <x:c r="R221" s="8" t="n">
        <x:v>0</x:v>
      </x:c>
      <x:c r="S221" s="8" t="n">
        <x:v>0</x:v>
      </x:c>
      <x:c r="T221" s="8" t="n">
        <x:v>1</x:v>
      </x:c>
      <x:c r="U221" s="12" t="n">
        <x:v>0</x:v>
      </x:c>
      <x:c r="V221" s="8" t="n">
        <x:v>8</x:v>
      </x:c>
      <x:c r="W221" s="8" t="n">
        <x:v>230</x:v>
      </x:c>
      <x:c r="X221" s="12" t="n">
        <x:v>76000</x:v>
      </x:c>
      <x:c r="Y221" s="21"/>
      <x:c r="Z221" s="24" t="n">
        <x:f>IF($A221="","",INDEX(Settings!$C$29:$C$33,MATCH(E221,Settings!$A$29:$A$33,0)))</x:f>
        <x:v>4200</x:v>
      </x:c>
      <x:c r="AA221" s="22" t="n">
        <x:f>IF($A221="","",G221/Z221)</x:f>
        <x:v>0.9166666666666666</x:v>
      </x:c>
      <x:c r="AB221" s="25" t="n">
        <x:f>IF($A221="","",IF(ISNUMBER(Y221),Y221,Settings!$B$10))</x:f>
        <x:v>0.03</x:v>
      </x:c>
      <x:c r="AC221" s="23" t="n">
        <x:f>IF($A221="","",G221*(1+AB221))</x:f>
        <x:v>3965.5</x:v>
      </x:c>
      <x:c r="AD221" s="23" t="n">
        <x:f>IF($A221="","",G221*F221*12)</x:f>
        <x:v>46200</x:v>
      </x:c>
      <x:c r="AE221" s="23" t="n">
        <x:f>IF($A221="","",G221*F221*J221)</x:f>
        <x:v>3850</x:v>
      </x:c>
      <x:c r="AF221" s="24" t="n">
        <x:f>IF($A221="","",L221*F221*K221*Settings!$B$13)</x:f>
        <x:v>3542</x:v>
      </x:c>
      <x:c r="AG221" s="23" t="n">
        <x:f>IF($A221="","",AD221*H221*I221)</x:f>
        <x:v>4065.6000000000004</x:v>
      </x:c>
      <x:c r="AH221" s="24" t="n">
        <x:f>IF($A221="","",SUM(AD221:AE221,AG221)*SUM(Settings!$B$11:$B$12))</x:f>
        <x:v>13528.9</x:v>
      </x:c>
      <x:c r="AI221" s="24" t="n">
        <x:f>IF($A221="","",M221*Settings!$B$16)</x:f>
        <x:v>1888.92</x:v>
      </x:c>
      <x:c r="AJ221" s="24" t="n">
        <x:f>IF($A221="","",M221*Settings!$B$15)</x:f>
        <x:v>231.08</x:v>
      </x:c>
      <x:c r="AK221" s="24" t="n">
        <x:f>IF($A221="","",O221*Settings!$B$18)</x:f>
        <x:v>0</x:v>
      </x:c>
      <x:c r="AL221" s="24" t="n">
        <x:f>IF($A221="","",P221*Settings!$B$20+Q221*Settings!$B$21+R221*Settings!$B$22+S221*Settings!$B$23)</x:f>
        <x:v>0</x:v>
      </x:c>
      <x:c r="AM221" s="24" t="n">
        <x:f>IF($A221="","",T221*Settings!$B$24)</x:f>
        <x:v>40</x:v>
      </x:c>
      <x:c r="AN221" s="23" t="n">
        <x:f>IF($A221="","",SUM(AI221,N221,AK221:AM221,U221))</x:f>
        <x:v>2178.92</x:v>
      </x:c>
      <x:c r="AO221" s="23" t="n">
        <x:f>IF($A221="","",SUM(AD221:AI221,N221,AK221:AM221,U221))</x:f>
        <x:v>73365.42</x:v>
      </x:c>
      <x:c r="AP221" s="24" t="n">
        <x:f>IF($A221="","",G221*F221*AB221*((13-Settings!$B$9)*(1+H221*I221)+J221)*(1+SUM(Settings!$B$11:$B$12)))</x:f>
        <x:v>1558.0950000000003</x:v>
      </x:c>
      <x:c r="AQ221" s="23" t="n">
        <x:f>IF($A221="","",SUM(AO221:AP221))</x:f>
        <x:v>74923.515</x:v>
      </x:c>
      <x:c r="AR221" s="23" t="n">
        <x:f>IF($A221="","",AQ221-X221)</x:f>
        <x:v>-1076.4850000000006</x:v>
      </x:c>
      <x:c r="AS221" s="22" t="n">
        <x:f>IF($A221="","",IF(W221=0,"n.a.",V221/W221))</x:f>
        <x:v>0.034782608695652174</x:v>
      </x:c>
      <x:c r="AT221" s="26" t="str">
        <x:f>IF($A221="",IF(COUNTA(B221:Y221)&gt;0,"Missing ID",""),IF(COUNTIFS($A$9:$A$508,A221)&gt;1,"Duplicate ID",IF(OR(B221="",C221="",D221="",E221="",COUNT(F221:X221)&lt;&gt;19),"Missing / text input",IF(OR(COUNTIFS(Settings!$A$59:$A$64,B221)&lt;&gt;1,COUNTIFS(Settings!$A$29:$A$33,E221)&lt;&gt;1),"Unknown department / grade",IF(OR(F221&lt;=0,F221&gt;1,G221&lt;=0,L221&lt;=0,H221&lt;0,I221&lt;0,J221&lt;0,K221&lt;0,K221&gt;1,MIN(M221:X221)&lt;0,W221=0,V221&gt;W221,M221&gt;W221-V221,P221&gt;8,Q221&gt;4,R221&gt;12,S221&gt;12,T221&gt;1,AB221&lt;0),"Review quantity / rate",IF(OR(N221&gt;Settings!$C$17,AK221&gt;Settings!$C$19),"Review benefit ceiling","OK"))))))</x:f>
        <x:v>OK</x:v>
      </x:c>
    </x:row>
    <x:row r="222" ht="23" customHeight="1">
      <x:c r="A222" s="8" t="str">
        <x:v>BE-0214</x:v>
      </x:c>
      <x:c r="B222" s="8" t="str">
        <x:v>Sales</x:v>
      </x:c>
      <x:c r="C222" s="8" t="str">
        <x:v>Brussels</x:v>
      </x:c>
      <x:c r="D222" s="8" t="str">
        <x:v>Senior account manager</x:v>
      </x:c>
      <x:c r="E222" s="8" t="str">
        <x:v>G3</x:v>
      </x:c>
      <x:c r="F222" s="20" t="n">
        <x:v>1</x:v>
      </x:c>
      <x:c r="G222" s="12" t="n">
        <x:v>4200</x:v>
      </x:c>
      <x:c r="H222" s="21" t="n">
        <x:v>0.08</x:v>
      </x:c>
      <x:c r="I222" s="20" t="n">
        <x:v>0.8</x:v>
      </x:c>
      <x:c r="J222" s="20" t="n">
        <x:v>1</x:v>
      </x:c>
      <x:c r="K222" s="20" t="n">
        <x:v>1</x:v>
      </x:c>
      <x:c r="L222" s="12" t="n">
        <x:v>4200</x:v>
      </x:c>
      <x:c r="M222" s="8" t="n">
        <x:v>211</x:v>
      </x:c>
      <x:c r="N222" s="12" t="n">
        <x:v>250</x:v>
      </x:c>
      <x:c r="O222" s="8" t="n">
        <x:v>740</x:v>
      </x:c>
      <x:c r="P222" s="8" t="n">
        <x:v>8</x:v>
      </x:c>
      <x:c r="Q222" s="8" t="n">
        <x:v>4</x:v>
      </x:c>
      <x:c r="R222" s="8" t="n">
        <x:v>12</x:v>
      </x:c>
      <x:c r="S222" s="8" t="n">
        <x:v>0</x:v>
      </x:c>
      <x:c r="T222" s="8" t="n">
        <x:v>1</x:v>
      </x:c>
      <x:c r="U222" s="12" t="n">
        <x:v>0</x:v>
      </x:c>
      <x:c r="V222" s="8" t="n">
        <x:v>9</x:v>
      </x:c>
      <x:c r="W222" s="8" t="n">
        <x:v>230</x:v>
      </x:c>
      <x:c r="X222" s="12" t="n">
        <x:v>83700</x:v>
      </x:c>
      <x:c r="Y222" s="21"/>
      <x:c r="Z222" s="24" t="n">
        <x:f>IF($A222="","",INDEX(Settings!$C$29:$C$33,MATCH(E222,Settings!$A$29:$A$33,0)))</x:f>
        <x:v>4200</x:v>
      </x:c>
      <x:c r="AA222" s="22" t="n">
        <x:f>IF($A222="","",G222/Z222)</x:f>
        <x:v>1</x:v>
      </x:c>
      <x:c r="AB222" s="25" t="n">
        <x:f>IF($A222="","",IF(ISNUMBER(Y222),Y222,Settings!$B$10))</x:f>
        <x:v>0.03</x:v>
      </x:c>
      <x:c r="AC222" s="23" t="n">
        <x:f>IF($A222="","",G222*(1+AB222))</x:f>
        <x:v>4326</x:v>
      </x:c>
      <x:c r="AD222" s="23" t="n">
        <x:f>IF($A222="","",G222*F222*12)</x:f>
        <x:v>50400</x:v>
      </x:c>
      <x:c r="AE222" s="23" t="n">
        <x:f>IF($A222="","",G222*F222*J222)</x:f>
        <x:v>4200</x:v>
      </x:c>
      <x:c r="AF222" s="24" t="n">
        <x:f>IF($A222="","",L222*F222*K222*Settings!$B$13)</x:f>
        <x:v>3864</x:v>
      </x:c>
      <x:c r="AG222" s="23" t="n">
        <x:f>IF($A222="","",AD222*H222*I222)</x:f>
        <x:v>3225.6000000000004</x:v>
      </x:c>
      <x:c r="AH222" s="24" t="n">
        <x:f>IF($A222="","",SUM(AD222:AE222,AG222)*SUM(Settings!$B$11:$B$12))</x:f>
        <x:v>14456.4</x:v>
      </x:c>
      <x:c r="AI222" s="24" t="n">
        <x:f>IF($A222="","",M222*Settings!$B$16)</x:f>
        <x:v>1880.01</x:v>
      </x:c>
      <x:c r="AJ222" s="24" t="n">
        <x:f>IF($A222="","",M222*Settings!$B$15)</x:f>
        <x:v>229.99</x:v>
      </x:c>
      <x:c r="AK222" s="24" t="n">
        <x:f>IF($A222="","",O222*Settings!$B$18)</x:f>
        <x:v>273.8</x:v>
      </x:c>
      <x:c r="AL222" s="24" t="n">
        <x:f>IF($A222="","",P222*Settings!$B$20+Q222*Settings!$B$21+R222*Settings!$B$22+S222*Settings!$B$23)</x:f>
        <x:v>2184.76</x:v>
      </x:c>
      <x:c r="AM222" s="24" t="n">
        <x:f>IF($A222="","",T222*Settings!$B$24)</x:f>
        <x:v>40</x:v>
      </x:c>
      <x:c r="AN222" s="23" t="n">
        <x:f>IF($A222="","",SUM(AI222,N222,AK222:AM222,U222))</x:f>
        <x:v>4628.570000000001</x:v>
      </x:c>
      <x:c r="AO222" s="23" t="n">
        <x:f>IF($A222="","",SUM(AD222:AI222,N222,AK222:AM222,U222))</x:f>
        <x:v>80774.56999999999</x:v>
      </x:c>
      <x:c r="AP222" s="24" t="n">
        <x:f>IF($A222="","",G222*F222*AB222*((13-Settings!$B$9)*(1+H222*I222)+J222)*(1+SUM(Settings!$B$11:$B$12)))</x:f>
        <x:v>1665.72</x:v>
      </x:c>
      <x:c r="AQ222" s="23" t="n">
        <x:f>IF($A222="","",SUM(AO222:AP222))</x:f>
        <x:v>82440.29</x:v>
      </x:c>
      <x:c r="AR222" s="23" t="n">
        <x:f>IF($A222="","",AQ222-X222)</x:f>
        <x:v>-1259.7100000000064</x:v>
      </x:c>
      <x:c r="AS222" s="22" t="n">
        <x:f>IF($A222="","",IF(W222=0,"n.a.",V222/W222))</x:f>
        <x:v>0.0391304347826087</x:v>
      </x:c>
      <x:c r="AT222" s="26" t="str">
        <x:f>IF($A222="",IF(COUNTA(B222:Y222)&gt;0,"Missing ID",""),IF(COUNTIFS($A$9:$A$508,A222)&gt;1,"Duplicate ID",IF(OR(B222="",C222="",D222="",E222="",COUNT(F222:X222)&lt;&gt;19),"Missing / text input",IF(OR(COUNTIFS(Settings!$A$59:$A$64,B222)&lt;&gt;1,COUNTIFS(Settings!$A$29:$A$33,E222)&lt;&gt;1),"Unknown department / grade",IF(OR(F222&lt;=0,F222&gt;1,G222&lt;=0,L222&lt;=0,H222&lt;0,I222&lt;0,J222&lt;0,K222&lt;0,K222&gt;1,MIN(M222:X222)&lt;0,W222=0,V222&gt;W222,M222&gt;W222-V222,P222&gt;8,Q222&gt;4,R222&gt;12,S222&gt;12,T222&gt;1,AB222&lt;0),"Review quantity / rate",IF(OR(N222&gt;Settings!$C$17,AK222&gt;Settings!$C$19),"Review benefit ceiling","OK"))))))</x:f>
        <x:v>OK</x:v>
      </x:c>
    </x:row>
    <x:row r="223" ht="23" customHeight="1">
      <x:c r="A223" s="8" t="str">
        <x:v>BE-0215</x:v>
      </x:c>
      <x:c r="B223" s="8" t="str">
        <x:v>Customer Operations</x:v>
      </x:c>
      <x:c r="C223" s="8" t="str">
        <x:v>Antwerp</x:v>
      </x:c>
      <x:c r="D223" s="8" t="str">
        <x:v>Senior service specialist</x:v>
      </x:c>
      <x:c r="E223" s="8" t="str">
        <x:v>G3</x:v>
      </x:c>
      <x:c r="F223" s="20" t="n">
        <x:v>1</x:v>
      </x:c>
      <x:c r="G223" s="12" t="n">
        <x:v>3980</x:v>
      </x:c>
      <x:c r="H223" s="21" t="n">
        <x:v>0.08</x:v>
      </x:c>
      <x:c r="I223" s="20" t="n">
        <x:v>1</x:v>
      </x:c>
      <x:c r="J223" s="20" t="n">
        <x:v>1</x:v>
      </x:c>
      <x:c r="K223" s="20" t="n">
        <x:v>1</x:v>
      </x:c>
      <x:c r="L223" s="12" t="n">
        <x:v>3980</x:v>
      </x:c>
      <x:c r="M223" s="8" t="n">
        <x:v>210</x:v>
      </x:c>
      <x:c r="N223" s="12" t="n">
        <x:v>250</x:v>
      </x:c>
      <x:c r="O223" s="8" t="n">
        <x:v>0</x:v>
      </x:c>
      <x:c r="P223" s="8" t="n">
        <x:v>8</x:v>
      </x:c>
      <x:c r="Q223" s="8" t="n">
        <x:v>4</x:v>
      </x:c>
      <x:c r="R223" s="8" t="n">
        <x:v>12</x:v>
      </x:c>
      <x:c r="S223" s="8" t="n">
        <x:v>0</x:v>
      </x:c>
      <x:c r="T223" s="8" t="n">
        <x:v>1</x:v>
      </x:c>
      <x:c r="U223" s="12" t="n">
        <x:v>0</x:v>
      </x:c>
      <x:c r="V223" s="8" t="n">
        <x:v>10</x:v>
      </x:c>
      <x:c r="W223" s="8" t="n">
        <x:v>230</x:v>
      </x:c>
      <x:c r="X223" s="12" t="n">
        <x:v>80200</x:v>
      </x:c>
      <x:c r="Y223" s="21"/>
      <x:c r="Z223" s="24" t="n">
        <x:f>IF($A223="","",INDEX(Settings!$C$29:$C$33,MATCH(E223,Settings!$A$29:$A$33,0)))</x:f>
        <x:v>4200</x:v>
      </x:c>
      <x:c r="AA223" s="22" t="n">
        <x:f>IF($A223="","",G223/Z223)</x:f>
        <x:v>0.9476190476190476</x:v>
      </x:c>
      <x:c r="AB223" s="25" t="n">
        <x:f>IF($A223="","",IF(ISNUMBER(Y223),Y223,Settings!$B$10))</x:f>
        <x:v>0.03</x:v>
      </x:c>
      <x:c r="AC223" s="23" t="n">
        <x:f>IF($A223="","",G223*(1+AB223))</x:f>
        <x:v>4099.400000000001</x:v>
      </x:c>
      <x:c r="AD223" s="23" t="n">
        <x:f>IF($A223="","",G223*F223*12)</x:f>
        <x:v>47760</x:v>
      </x:c>
      <x:c r="AE223" s="23" t="n">
        <x:f>IF($A223="","",G223*F223*J223)</x:f>
        <x:v>3980</x:v>
      </x:c>
      <x:c r="AF223" s="24" t="n">
        <x:f>IF($A223="","",L223*F223*K223*Settings!$B$13)</x:f>
        <x:v>3661.6000000000004</x:v>
      </x:c>
      <x:c r="AG223" s="23" t="n">
        <x:f>IF($A223="","",AD223*H223*I223)</x:f>
        <x:v>3820.8</x:v>
      </x:c>
      <x:c r="AH223" s="24" t="n">
        <x:f>IF($A223="","",SUM(AD223:AE223,AG223)*SUM(Settings!$B$11:$B$12))</x:f>
        <x:v>13890.2</x:v>
      </x:c>
      <x:c r="AI223" s="24" t="n">
        <x:f>IF($A223="","",M223*Settings!$B$16)</x:f>
        <x:v>1871.1000000000001</x:v>
      </x:c>
      <x:c r="AJ223" s="24" t="n">
        <x:f>IF($A223="","",M223*Settings!$B$15)</x:f>
        <x:v>228.9</x:v>
      </x:c>
      <x:c r="AK223" s="24" t="n">
        <x:f>IF($A223="","",O223*Settings!$B$18)</x:f>
        <x:v>0</x:v>
      </x:c>
      <x:c r="AL223" s="24" t="n">
        <x:f>IF($A223="","",P223*Settings!$B$20+Q223*Settings!$B$21+R223*Settings!$B$22+S223*Settings!$B$23)</x:f>
        <x:v>2184.76</x:v>
      </x:c>
      <x:c r="AM223" s="24" t="n">
        <x:f>IF($A223="","",T223*Settings!$B$24)</x:f>
        <x:v>40</x:v>
      </x:c>
      <x:c r="AN223" s="23" t="n">
        <x:f>IF($A223="","",SUM(AI223,N223,AK223:AM223,U223))</x:f>
        <x:v>4345.860000000001</x:v>
      </x:c>
      <x:c r="AO223" s="23" t="n">
        <x:f>IF($A223="","",SUM(AD223:AI223,N223,AK223:AM223,U223))</x:f>
        <x:v>77458.46</x:v>
      </x:c>
      <x:c r="AP223" s="24" t="n">
        <x:f>IF($A223="","",G223*F223*AB223*((13-Settings!$B$9)*(1+H223*I223)+J223)*(1+SUM(Settings!$B$11:$B$12)))</x:f>
        <x:v>1599.96</x:v>
      </x:c>
      <x:c r="AQ223" s="23" t="n">
        <x:f>IF($A223="","",SUM(AO223:AP223))</x:f>
        <x:v>79058.42000000001</x:v>
      </x:c>
      <x:c r="AR223" s="23" t="n">
        <x:f>IF($A223="","",AQ223-X223)</x:f>
        <x:v>-1141.5799999999872</x:v>
      </x:c>
      <x:c r="AS223" s="22" t="n">
        <x:f>IF($A223="","",IF(W223=0,"n.a.",V223/W223))</x:f>
        <x:v>0.043478260869565216</x:v>
      </x:c>
      <x:c r="AT223" s="26" t="str">
        <x:f>IF($A223="",IF(COUNTA(B223:Y223)&gt;0,"Missing ID",""),IF(COUNTIFS($A$9:$A$508,A223)&gt;1,"Duplicate ID",IF(OR(B223="",C223="",D223="",E223="",COUNT(F223:X223)&lt;&gt;19),"Missing / text input",IF(OR(COUNTIFS(Settings!$A$59:$A$64,B223)&lt;&gt;1,COUNTIFS(Settings!$A$29:$A$33,E223)&lt;&gt;1),"Unknown department / grade",IF(OR(F223&lt;=0,F223&gt;1,G223&lt;=0,L223&lt;=0,H223&lt;0,I223&lt;0,J223&lt;0,K223&lt;0,K223&gt;1,MIN(M223:X223)&lt;0,W223=0,V223&gt;W223,M223&gt;W223-V223,P223&gt;8,Q223&gt;4,R223&gt;12,S223&gt;12,T223&gt;1,AB223&lt;0),"Review quantity / rate",IF(OR(N223&gt;Settings!$C$17,AK223&gt;Settings!$C$19),"Review benefit ceiling","OK"))))))</x:f>
        <x:v>OK</x:v>
      </x:c>
    </x:row>
    <x:row r="224" ht="23" customHeight="1">
      <x:c r="A224" s="8" t="str">
        <x:v>BE-0216</x:v>
      </x:c>
      <x:c r="B224" s="8" t="str">
        <x:v>Business Support</x:v>
      </x:c>
      <x:c r="C224" s="8" t="str">
        <x:v>Ghent</x:v>
      </x:c>
      <x:c r="D224" s="8" t="str">
        <x:v>Senior business analyst</x:v>
      </x:c>
      <x:c r="E224" s="8" t="str">
        <x:v>G3</x:v>
      </x:c>
      <x:c r="F224" s="20" t="n">
        <x:v>1</x:v>
      </x:c>
      <x:c r="G224" s="12" t="n">
        <x:v>4100</x:v>
      </x:c>
      <x:c r="H224" s="21" t="n">
        <x:v>0.08</x:v>
      </x:c>
      <x:c r="I224" s="20" t="n">
        <x:v>1.1</x:v>
      </x:c>
      <x:c r="J224" s="20" t="n">
        <x:v>1</x:v>
      </x:c>
      <x:c r="K224" s="20" t="n">
        <x:v>1</x:v>
      </x:c>
      <x:c r="L224" s="12" t="n">
        <x:v>4100</x:v>
      </x:c>
      <x:c r="M224" s="8" t="n">
        <x:v>209</x:v>
      </x:c>
      <x:c r="N224" s="12" t="n">
        <x:v>250</x:v>
      </x:c>
      <x:c r="O224" s="8" t="n">
        <x:v>0</x:v>
      </x:c>
      <x:c r="P224" s="8" t="n">
        <x:v>8</x:v>
      </x:c>
      <x:c r="Q224" s="8" t="n">
        <x:v>4</x:v>
      </x:c>
      <x:c r="R224" s="8" t="n">
        <x:v>12</x:v>
      </x:c>
      <x:c r="S224" s="8" t="n">
        <x:v>12</x:v>
      </x:c>
      <x:c r="T224" s="8" t="n">
        <x:v>1</x:v>
      </x:c>
      <x:c r="U224" s="12" t="n">
        <x:v>0</x:v>
      </x:c>
      <x:c r="V224" s="8" t="n">
        <x:v>11</x:v>
      </x:c>
      <x:c r="W224" s="8" t="n">
        <x:v>230</x:v>
      </x:c>
      <x:c r="X224" s="12" t="n">
        <x:v>80800</x:v>
      </x:c>
      <x:c r="Y224" s="21"/>
      <x:c r="Z224" s="24" t="n">
        <x:f>IF($A224="","",INDEX(Settings!$C$29:$C$33,MATCH(E224,Settings!$A$29:$A$33,0)))</x:f>
        <x:v>4200</x:v>
      </x:c>
      <x:c r="AA224" s="22" t="n">
        <x:f>IF($A224="","",G224/Z224)</x:f>
        <x:v>0.9761904761904762</x:v>
      </x:c>
      <x:c r="AB224" s="25" t="n">
        <x:f>IF($A224="","",IF(ISNUMBER(Y224),Y224,Settings!$B$10))</x:f>
        <x:v>0.03</x:v>
      </x:c>
      <x:c r="AC224" s="23" t="n">
        <x:f>IF($A224="","",G224*(1+AB224))</x:f>
        <x:v>4223</x:v>
      </x:c>
      <x:c r="AD224" s="23" t="n">
        <x:f>IF($A224="","",G224*F224*12)</x:f>
        <x:v>49200</x:v>
      </x:c>
      <x:c r="AE224" s="23" t="n">
        <x:f>IF($A224="","",G224*F224*J224)</x:f>
        <x:v>4100</x:v>
      </x:c>
      <x:c r="AF224" s="24" t="n">
        <x:f>IF($A224="","",L224*F224*K224*Settings!$B$13)</x:f>
        <x:v>3772</x:v>
      </x:c>
      <x:c r="AG224" s="23" t="n">
        <x:f>IF($A224="","",AD224*H224*I224)</x:f>
        <x:v>4329.6</x:v>
      </x:c>
      <x:c r="AH224" s="24" t="n">
        <x:f>IF($A224="","",SUM(AD224:AE224,AG224)*SUM(Settings!$B$11:$B$12))</x:f>
        <x:v>14407.4</x:v>
      </x:c>
      <x:c r="AI224" s="24" t="n">
        <x:f>IF($A224="","",M224*Settings!$B$16)</x:f>
        <x:v>1862.19</x:v>
      </x:c>
      <x:c r="AJ224" s="24" t="n">
        <x:f>IF($A224="","",M224*Settings!$B$15)</x:f>
        <x:v>227.81000000000003</x:v>
      </x:c>
      <x:c r="AK224" s="24" t="n">
        <x:f>IF($A224="","",O224*Settings!$B$18)</x:f>
        <x:v>0</x:v>
      </x:c>
      <x:c r="AL224" s="24" t="n">
        <x:f>IF($A224="","",P224*Settings!$B$20+Q224*Settings!$B$21+R224*Settings!$B$22+S224*Settings!$B$23)</x:f>
        <x:v>2424.76</x:v>
      </x:c>
      <x:c r="AM224" s="24" t="n">
        <x:f>IF($A224="","",T224*Settings!$B$24)</x:f>
        <x:v>40</x:v>
      </x:c>
      <x:c r="AN224" s="23" t="n">
        <x:f>IF($A224="","",SUM(AI224,N224,AK224:AM224,U224))</x:f>
        <x:v>4576.950000000001</x:v>
      </x:c>
      <x:c r="AO224" s="23" t="n">
        <x:f>IF($A224="","",SUM(AD224:AI224,N224,AK224:AM224,U224))</x:f>
        <x:v>80385.95</x:v>
      </x:c>
      <x:c r="AP224" s="24" t="n">
        <x:f>IF($A224="","",G224*F224*AB224*((13-Settings!$B$9)*(1+H224*I224)+J224)*(1+SUM(Settings!$B$11:$B$12)))</x:f>
        <x:v>1659.2700000000002</x:v>
      </x:c>
      <x:c r="AQ224" s="23" t="n">
        <x:f>IF($A224="","",SUM(AO224:AP224))</x:f>
        <x:v>82045.22</x:v>
      </x:c>
      <x:c r="AR224" s="23" t="n">
        <x:f>IF($A224="","",AQ224-X224)</x:f>
        <x:v>1245.2200000000012</x:v>
      </x:c>
      <x:c r="AS224" s="22" t="n">
        <x:f>IF($A224="","",IF(W224=0,"n.a.",V224/W224))</x:f>
        <x:v>0.04782608695652174</x:v>
      </x:c>
      <x:c r="AT224" s="26" t="str">
        <x:f>IF($A224="",IF(COUNTA(B224:Y224)&gt;0,"Missing ID",""),IF(COUNTIFS($A$9:$A$508,A224)&gt;1,"Duplicate ID",IF(OR(B224="",C224="",D224="",E224="",COUNT(F224:X224)&lt;&gt;19),"Missing / text input",IF(OR(COUNTIFS(Settings!$A$59:$A$64,B224)&lt;&gt;1,COUNTIFS(Settings!$A$29:$A$33,E224)&lt;&gt;1),"Unknown department / grade",IF(OR(F224&lt;=0,F224&gt;1,G224&lt;=0,L224&lt;=0,H224&lt;0,I224&lt;0,J224&lt;0,K224&lt;0,K224&gt;1,MIN(M224:X224)&lt;0,W224=0,V224&gt;W224,M224&gt;W224-V224,P224&gt;8,Q224&gt;4,R224&gt;12,S224&gt;12,T224&gt;1,AB224&lt;0),"Review quantity / rate",IF(OR(N224&gt;Settings!$C$17,AK224&gt;Settings!$C$19),"Review benefit ceiling","OK"))))))</x:f>
        <x:v>OK</x:v>
      </x:c>
    </x:row>
    <x:row r="225" ht="23" customHeight="1">
      <x:c r="A225" s="8" t="str">
        <x:v>BE-0217</x:v>
      </x:c>
      <x:c r="B225" s="8" t="str">
        <x:v>Finance</x:v>
      </x:c>
      <x:c r="C225" s="8" t="str">
        <x:v>Brussels</x:v>
      </x:c>
      <x:c r="D225" s="8" t="str">
        <x:v>Senior analyst</x:v>
      </x:c>
      <x:c r="E225" s="8" t="str">
        <x:v>G3</x:v>
      </x:c>
      <x:c r="F225" s="20" t="n">
        <x:v>0.6</x:v>
      </x:c>
      <x:c r="G225" s="12" t="n">
        <x:v>3900</x:v>
      </x:c>
      <x:c r="H225" s="21" t="n">
        <x:v>0.08</x:v>
      </x:c>
      <x:c r="I225" s="20" t="n">
        <x:v>0.8</x:v>
      </x:c>
      <x:c r="J225" s="20" t="n">
        <x:v>1</x:v>
      </x:c>
      <x:c r="K225" s="20" t="n">
        <x:v>1</x:v>
      </x:c>
      <x:c r="L225" s="12" t="n">
        <x:v>3900</x:v>
      </x:c>
      <x:c r="M225" s="8" t="n">
        <x:v>122</x:v>
      </x:c>
      <x:c r="N225" s="12" t="n">
        <x:v>150</x:v>
      </x:c>
      <x:c r="O225" s="8" t="n">
        <x:v>1070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1</x:v>
      </x:c>
      <x:c r="U225" s="12" t="n">
        <x:v>0</x:v>
      </x:c>
      <x:c r="V225" s="8" t="n">
        <x:v>0</x:v>
      </x:c>
      <x:c r="W225" s="8" t="n">
        <x:v>138</x:v>
      </x:c>
      <x:c r="X225" s="12" t="n">
        <x:v>45700</x:v>
      </x:c>
      <x:c r="Y225" s="21"/>
      <x:c r="Z225" s="24" t="n">
        <x:f>IF($A225="","",INDEX(Settings!$C$29:$C$33,MATCH(E225,Settings!$A$29:$A$33,0)))</x:f>
        <x:v>4200</x:v>
      </x:c>
      <x:c r="AA225" s="22" t="n">
        <x:f>IF($A225="","",G225/Z225)</x:f>
        <x:v>0.9285714285714286</x:v>
      </x:c>
      <x:c r="AB225" s="25" t="n">
        <x:f>IF($A225="","",IF(ISNUMBER(Y225),Y225,Settings!$B$10))</x:f>
        <x:v>0.03</x:v>
      </x:c>
      <x:c r="AC225" s="23" t="n">
        <x:f>IF($A225="","",G225*(1+AB225))</x:f>
        <x:v>4017</x:v>
      </x:c>
      <x:c r="AD225" s="23" t="n">
        <x:f>IF($A225="","",G225*F225*12)</x:f>
        <x:v>28080</x:v>
      </x:c>
      <x:c r="AE225" s="23" t="n">
        <x:f>IF($A225="","",G225*F225*J225)</x:f>
        <x:v>2340</x:v>
      </x:c>
      <x:c r="AF225" s="24" t="n">
        <x:f>IF($A225="","",L225*F225*K225*Settings!$B$13)</x:f>
        <x:v>2152.8</x:v>
      </x:c>
      <x:c r="AG225" s="23" t="n">
        <x:f>IF($A225="","",AD225*H225*I225)</x:f>
        <x:v>1797.1200000000001</x:v>
      </x:c>
      <x:c r="AH225" s="24" t="n">
        <x:f>IF($A225="","",SUM(AD225:AE225,AG225)*SUM(Settings!$B$11:$B$12))</x:f>
        <x:v>8054.28</x:v>
      </x:c>
      <x:c r="AI225" s="24" t="n">
        <x:f>IF($A225="","",M225*Settings!$B$16)</x:f>
        <x:v>1087.02</x:v>
      </x:c>
      <x:c r="AJ225" s="24" t="n">
        <x:f>IF($A225="","",M225*Settings!$B$15)</x:f>
        <x:v>132.98000000000002</x:v>
      </x:c>
      <x:c r="AK225" s="24" t="n">
        <x:f>IF($A225="","",O225*Settings!$B$18)</x:f>
        <x:v>395.9</x:v>
      </x:c>
      <x:c r="AL225" s="24" t="n">
        <x:f>IF($A225="","",P225*Settings!$B$20+Q225*Settings!$B$21+R225*Settings!$B$22+S225*Settings!$B$23)</x:f>
        <x:v>0</x:v>
      </x:c>
      <x:c r="AM225" s="24" t="n">
        <x:f>IF($A225="","",T225*Settings!$B$24)</x:f>
        <x:v>40</x:v>
      </x:c>
      <x:c r="AN225" s="23" t="n">
        <x:f>IF($A225="","",SUM(AI225,N225,AK225:AM225,U225))</x:f>
        <x:v>1672.92</x:v>
      </x:c>
      <x:c r="AO225" s="23" t="n">
        <x:f>IF($A225="","",SUM(AD225:AI225,N225,AK225:AM225,U225))</x:f>
        <x:v>44097.119999999995</x:v>
      </x:c>
      <x:c r="AP225" s="24" t="n">
        <x:f>IF($A225="","",G225*F225*AB225*((13-Settings!$B$9)*(1+H225*I225)+J225)*(1+SUM(Settings!$B$11:$B$12)))</x:f>
        <x:v>928.0440000000001</x:v>
      </x:c>
      <x:c r="AQ225" s="23" t="n">
        <x:f>IF($A225="","",SUM(AO225:AP225))</x:f>
        <x:v>45025.164</x:v>
      </x:c>
      <x:c r="AR225" s="23" t="n">
        <x:f>IF($A225="","",AQ225-X225)</x:f>
        <x:v>-674.836000000003</x:v>
      </x:c>
      <x:c r="AS225" s="22" t="n">
        <x:f>IF($A225="","",IF(W225=0,"n.a.",V225/W225))</x:f>
        <x:v>0</x:v>
      </x:c>
      <x:c r="AT225" s="26" t="str">
        <x:f>IF($A225="",IF(COUNTA(B225:Y225)&gt;0,"Missing ID",""),IF(COUNTIFS($A$9:$A$508,A225)&gt;1,"Duplicate ID",IF(OR(B225="",C225="",D225="",E225="",COUNT(F225:X225)&lt;&gt;19),"Missing / text input",IF(OR(COUNTIFS(Settings!$A$59:$A$64,B225)&lt;&gt;1,COUNTIFS(Settings!$A$29:$A$33,E225)&lt;&gt;1),"Unknown department / grade",IF(OR(F225&lt;=0,F225&gt;1,G225&lt;=0,L225&lt;=0,H225&lt;0,I225&lt;0,J225&lt;0,K225&lt;0,K225&gt;1,MIN(M225:X225)&lt;0,W225=0,V225&gt;W225,M225&gt;W225-V225,P225&gt;8,Q225&gt;4,R225&gt;12,S225&gt;12,T225&gt;1,AB225&lt;0),"Review quantity / rate",IF(OR(N225&gt;Settings!$C$17,AK225&gt;Settings!$C$19),"Review benefit ceiling","OK"))))))</x:f>
        <x:v>OK</x:v>
      </x:c>
    </x:row>
    <x:row r="226" ht="23" customHeight="1">
      <x:c r="A226" s="8" t="str">
        <x:v>BE-0218</x:v>
      </x:c>
      <x:c r="B226" s="8" t="str">
        <x:v>People &amp; Culture</x:v>
      </x:c>
      <x:c r="C226" s="8" t="str">
        <x:v>Antwerp</x:v>
      </x:c>
      <x:c r="D226" s="8" t="str">
        <x:v>People manager</x:v>
      </x:c>
      <x:c r="E226" s="8" t="str">
        <x:v>G4</x:v>
      </x:c>
      <x:c r="F226" s="20" t="n">
        <x:v>0.8</x:v>
      </x:c>
      <x:c r="G226" s="12" t="n">
        <x:v>5720</x:v>
      </x:c>
      <x:c r="H226" s="21" t="n">
        <x:v>0.12</x:v>
      </x:c>
      <x:c r="I226" s="20" t="n">
        <x:v>1</x:v>
      </x:c>
      <x:c r="J226" s="20" t="n">
        <x:v>1</x:v>
      </x:c>
      <x:c r="K226" s="20" t="n">
        <x:v>1</x:v>
      </x:c>
      <x:c r="L226" s="12" t="n">
        <x:v>5720</x:v>
      </x:c>
      <x:c r="M226" s="8" t="n">
        <x:v>171</x:v>
      </x:c>
      <x:c r="N226" s="12" t="n">
        <x:v>200</x:v>
      </x:c>
      <x:c r="O226" s="8" t="n">
        <x:v>0</x:v>
      </x:c>
      <x:c r="P226" s="8" t="n">
        <x:v>8</x:v>
      </x:c>
      <x:c r="Q226" s="8" t="n">
        <x:v>4</x:v>
      </x:c>
      <x:c r="R226" s="8" t="n">
        <x:v>12</x:v>
      </x:c>
      <x:c r="S226" s="8" t="n">
        <x:v>0</x:v>
      </x:c>
      <x:c r="T226" s="8" t="n">
        <x:v>1</x:v>
      </x:c>
      <x:c r="U226" s="12" t="n">
        <x:v>0</x:v>
      </x:c>
      <x:c r="V226" s="8" t="n">
        <x:v>1</x:v>
      </x:c>
      <x:c r="W226" s="8" t="n">
        <x:v>184</x:v>
      </x:c>
      <x:c r="X226" s="12" t="n">
        <x:v>94000</x:v>
      </x:c>
      <x:c r="Y226" s="21"/>
      <x:c r="Z226" s="24" t="n">
        <x:f>IF($A226="","",INDEX(Settings!$C$29:$C$33,MATCH(E226,Settings!$A$29:$A$33,0)))</x:f>
        <x:v>5400</x:v>
      </x:c>
      <x:c r="AA226" s="22" t="n">
        <x:f>IF($A226="","",G226/Z226)</x:f>
        <x:v>1.0592592592592593</x:v>
      </x:c>
      <x:c r="AB226" s="25" t="n">
        <x:f>IF($A226="","",IF(ISNUMBER(Y226),Y226,Settings!$B$10))</x:f>
        <x:v>0.03</x:v>
      </x:c>
      <x:c r="AC226" s="23" t="n">
        <x:f>IF($A226="","",G226*(1+AB226))</x:f>
        <x:v>5891.6</x:v>
      </x:c>
      <x:c r="AD226" s="23" t="n">
        <x:f>IF($A226="","",G226*F226*12)</x:f>
        <x:v>54912</x:v>
      </x:c>
      <x:c r="AE226" s="23" t="n">
        <x:f>IF($A226="","",G226*F226*J226)</x:f>
        <x:v>4576</x:v>
      </x:c>
      <x:c r="AF226" s="24" t="n">
        <x:f>IF($A226="","",L226*F226*K226*Settings!$B$13)</x:f>
        <x:v>4209.92</x:v>
      </x:c>
      <x:c r="AG226" s="23" t="n">
        <x:f>IF($A226="","",AD226*H226*I226)</x:f>
        <x:v>6589.44</x:v>
      </x:c>
      <x:c r="AH226" s="24" t="n">
        <x:f>IF($A226="","",SUM(AD226:AE226,AG226)*SUM(Settings!$B$11:$B$12))</x:f>
        <x:v>16519.36</x:v>
      </x:c>
      <x:c r="AI226" s="24" t="n">
        <x:f>IF($A226="","",M226*Settings!$B$16)</x:f>
        <x:v>1523.6100000000001</x:v>
      </x:c>
      <x:c r="AJ226" s="24" t="n">
        <x:f>IF($A226="","",M226*Settings!$B$15)</x:f>
        <x:v>186.39000000000001</x:v>
      </x:c>
      <x:c r="AK226" s="24" t="n">
        <x:f>IF($A226="","",O226*Settings!$B$18)</x:f>
        <x:v>0</x:v>
      </x:c>
      <x:c r="AL226" s="24" t="n">
        <x:f>IF($A226="","",P226*Settings!$B$20+Q226*Settings!$B$21+R226*Settings!$B$22+S226*Settings!$B$23)</x:f>
        <x:v>2184.76</x:v>
      </x:c>
      <x:c r="AM226" s="24" t="n">
        <x:f>IF($A226="","",T226*Settings!$B$24)</x:f>
        <x:v>40</x:v>
      </x:c>
      <x:c r="AN226" s="23" t="n">
        <x:f>IF($A226="","",SUM(AI226,N226,AK226:AM226,U226))</x:f>
        <x:v>3948.3700000000003</x:v>
      </x:c>
      <x:c r="AO226" s="23" t="n">
        <x:f>IF($A226="","",SUM(AD226:AI226,N226,AK226:AM226,U226))</x:f>
        <x:v>90755.09</x:v>
      </x:c>
      <x:c r="AP226" s="24" t="n">
        <x:f>IF($A226="","",G226*F226*AB226*((13-Settings!$B$9)*(1+H226*I226)+J226)*(1+SUM(Settings!$B$11:$B$12)))</x:f>
        <x:v>1901.3280000000004</x:v>
      </x:c>
      <x:c r="AQ226" s="23" t="n">
        <x:f>IF($A226="","",SUM(AO226:AP226))</x:f>
        <x:v>92656.41799999999</x:v>
      </x:c>
      <x:c r="AR226" s="23" t="n">
        <x:f>IF($A226="","",AQ226-X226)</x:f>
        <x:v>-1343.5820000000094</x:v>
      </x:c>
      <x:c r="AS226" s="22" t="n">
        <x:f>IF($A226="","",IF(W226=0,"n.a.",V226/W226))</x:f>
        <x:v>0.005434782608695652</x:v>
      </x:c>
      <x:c r="AT226" s="26" t="str">
        <x:f>IF($A226="",IF(COUNTA(B226:Y226)&gt;0,"Missing ID",""),IF(COUNTIFS($A$9:$A$508,A226)&gt;1,"Duplicate ID",IF(OR(B226="",C226="",D226="",E226="",COUNT(F226:X226)&lt;&gt;19),"Missing / text input",IF(OR(COUNTIFS(Settings!$A$59:$A$64,B226)&lt;&gt;1,COUNTIFS(Settings!$A$29:$A$33,E226)&lt;&gt;1),"Unknown department / grade",IF(OR(F226&lt;=0,F226&gt;1,G226&lt;=0,L226&lt;=0,H226&lt;0,I226&lt;0,J226&lt;0,K226&lt;0,K226&gt;1,MIN(M226:X226)&lt;0,W226=0,V226&gt;W226,M226&gt;W226-V226,P226&gt;8,Q226&gt;4,R226&gt;12,S226&gt;12,T226&gt;1,AB226&lt;0),"Review quantity / rate",IF(OR(N226&gt;Settings!$C$17,AK226&gt;Settings!$C$19),"Review benefit ceiling","OK"))))))</x:f>
        <x:v>OK</x:v>
      </x:c>
    </x:row>
    <x:row r="227" ht="23" customHeight="1">
      <x:c r="A227" s="8" t="str">
        <x:v>BE-0219</x:v>
      </x:c>
      <x:c r="B227" s="8" t="str">
        <x:v>Technology</x:v>
      </x:c>
      <x:c r="C227" s="8" t="str">
        <x:v>Ghent</x:v>
      </x:c>
      <x:c r="D227" s="8" t="str">
        <x:v>IT manager</x:v>
      </x:c>
      <x:c r="E227" s="8" t="str">
        <x:v>G4</x:v>
      </x:c>
      <x:c r="F227" s="20" t="n">
        <x:v>1</x:v>
      </x:c>
      <x:c r="G227" s="12" t="n">
        <x:v>5370</x:v>
      </x:c>
      <x:c r="H227" s="21" t="n">
        <x:v>0.12</x:v>
      </x:c>
      <x:c r="I227" s="20" t="n">
        <x:v>1.1</x:v>
      </x:c>
      <x:c r="J227" s="20" t="n">
        <x:v>1</x:v>
      </x:c>
      <x:c r="K227" s="20" t="n">
        <x:v>1</x:v>
      </x:c>
      <x:c r="L227" s="12" t="n">
        <x:v>5370</x:v>
      </x:c>
      <x:c r="M227" s="8" t="n">
        <x:v>213</x:v>
      </x:c>
      <x:c r="N227" s="12" t="n">
        <x:v>250</x:v>
      </x:c>
      <x:c r="O227" s="8" t="n">
        <x:v>0</x:v>
      </x:c>
      <x:c r="P227" s="8" t="n">
        <x:v>8</x:v>
      </x:c>
      <x:c r="Q227" s="8" t="n">
        <x:v>4</x:v>
      </x:c>
      <x:c r="R227" s="8" t="n">
        <x:v>12</x:v>
      </x:c>
      <x:c r="S227" s="8" t="n">
        <x:v>0</x:v>
      </x:c>
      <x:c r="T227" s="8" t="n">
        <x:v>1</x:v>
      </x:c>
      <x:c r="U227" s="12" t="n">
        <x:v>0</x:v>
      </x:c>
      <x:c r="V227" s="8" t="n">
        <x:v>2</x:v>
      </x:c>
      <x:c r="W227" s="8" t="n">
        <x:v>230</x:v>
      </x:c>
      <x:c r="X227" s="12" t="n">
        <x:v>111100</x:v>
      </x:c>
      <x:c r="Y227" s="21"/>
      <x:c r="Z227" s="24" t="n">
        <x:f>IF($A227="","",INDEX(Settings!$C$29:$C$33,MATCH(E227,Settings!$A$29:$A$33,0)))</x:f>
        <x:v>5400</x:v>
      </x:c>
      <x:c r="AA227" s="22" t="n">
        <x:f>IF($A227="","",G227/Z227)</x:f>
        <x:v>0.9944444444444445</x:v>
      </x:c>
      <x:c r="AB227" s="25" t="n">
        <x:f>IF($A227="","",IF(ISNUMBER(Y227),Y227,Settings!$B$10))</x:f>
        <x:v>0.03</x:v>
      </x:c>
      <x:c r="AC227" s="23" t="n">
        <x:f>IF($A227="","",G227*(1+AB227))</x:f>
        <x:v>5531.1</x:v>
      </x:c>
      <x:c r="AD227" s="23" t="n">
        <x:f>IF($A227="","",G227*F227*12)</x:f>
        <x:v>64440</x:v>
      </x:c>
      <x:c r="AE227" s="23" t="n">
        <x:f>IF($A227="","",G227*F227*J227)</x:f>
        <x:v>5370</x:v>
      </x:c>
      <x:c r="AF227" s="24" t="n">
        <x:f>IF($A227="","",L227*F227*K227*Settings!$B$13)</x:f>
        <x:v>4940.400000000001</x:v>
      </x:c>
      <x:c r="AG227" s="23" t="n">
        <x:f>IF($A227="","",AD227*H227*I227)</x:f>
        <x:v>8506.08</x:v>
      </x:c>
      <x:c r="AH227" s="24" t="n">
        <x:f>IF($A227="","",SUM(AD227:AE227,AG227)*SUM(Settings!$B$11:$B$12))</x:f>
        <x:v>19579.02</x:v>
      </x:c>
      <x:c r="AI227" s="24" t="n">
        <x:f>IF($A227="","",M227*Settings!$B$16)</x:f>
        <x:v>1897.83</x:v>
      </x:c>
      <x:c r="AJ227" s="24" t="n">
        <x:f>IF($A227="","",M227*Settings!$B$15)</x:f>
        <x:v>232.17000000000002</x:v>
      </x:c>
      <x:c r="AK227" s="24" t="n">
        <x:f>IF($A227="","",O227*Settings!$B$18)</x:f>
        <x:v>0</x:v>
      </x:c>
      <x:c r="AL227" s="24" t="n">
        <x:f>IF($A227="","",P227*Settings!$B$20+Q227*Settings!$B$21+R227*Settings!$B$22+S227*Settings!$B$23)</x:f>
        <x:v>2184.76</x:v>
      </x:c>
      <x:c r="AM227" s="24" t="n">
        <x:f>IF($A227="","",T227*Settings!$B$24)</x:f>
        <x:v>40</x:v>
      </x:c>
      <x:c r="AN227" s="23" t="n">
        <x:f>IF($A227="","",SUM(AI227,N227,AK227:AM227,U227))</x:f>
        <x:v>4372.59</x:v>
      </x:c>
      <x:c r="AO227" s="23" t="n">
        <x:f>IF($A227="","",SUM(AD227:AI227,N227,AK227:AM227,U227))</x:f>
        <x:v>107208.09</x:v>
      </x:c>
      <x:c r="AP227" s="24" t="n">
        <x:f>IF($A227="","",G227*F227*AB227*((13-Settings!$B$9)*(1+H227*I227)+J227)*(1+SUM(Settings!$B$11:$B$12)))</x:f>
        <x:v>2252.9835</x:v>
      </x:c>
      <x:c r="AQ227" s="23" t="n">
        <x:f>IF($A227="","",SUM(AO227:AP227))</x:f>
        <x:v>109461.0735</x:v>
      </x:c>
      <x:c r="AR227" s="23" t="n">
        <x:f>IF($A227="","",AQ227-X227)</x:f>
        <x:v>-1638.9265000000014</x:v>
      </x:c>
      <x:c r="AS227" s="22" t="n">
        <x:f>IF($A227="","",IF(W227=0,"n.a.",V227/W227))</x:f>
        <x:v>0.008695652173913044</x:v>
      </x:c>
      <x:c r="AT227" s="26" t="str">
        <x:f>IF($A227="",IF(COUNTA(B227:Y227)&gt;0,"Missing ID",""),IF(COUNTIFS($A$9:$A$508,A227)&gt;1,"Duplicate ID",IF(OR(B227="",C227="",D227="",E227="",COUNT(F227:X227)&lt;&gt;19),"Missing / text input",IF(OR(COUNTIFS(Settings!$A$59:$A$64,B227)&lt;&gt;1,COUNTIFS(Settings!$A$29:$A$33,E227)&lt;&gt;1),"Unknown department / grade",IF(OR(F227&lt;=0,F227&gt;1,G227&lt;=0,L227&lt;=0,H227&lt;0,I227&lt;0,J227&lt;0,K227&lt;0,K227&gt;1,MIN(M227:X227)&lt;0,W227=0,V227&gt;W227,M227&gt;W227-V227,P227&gt;8,Q227&gt;4,R227&gt;12,S227&gt;12,T227&gt;1,AB227&lt;0),"Review quantity / rate",IF(OR(N227&gt;Settings!$C$17,AK227&gt;Settings!$C$19),"Review benefit ceiling","OK"))))))</x:f>
        <x:v>OK</x:v>
      </x:c>
    </x:row>
    <x:row r="228" ht="23" customHeight="1">
      <x:c r="A228" s="8" t="str">
        <x:v>BE-0220</x:v>
      </x:c>
      <x:c r="B228" s="8" t="str">
        <x:v>Sales</x:v>
      </x:c>
      <x:c r="C228" s="8" t="str">
        <x:v>Brussels</x:v>
      </x:c>
      <x:c r="D228" s="8" t="str">
        <x:v>Head of Sales</x:v>
      </x:c>
      <x:c r="E228" s="8" t="str">
        <x:v>G5</x:v>
      </x:c>
      <x:c r="F228" s="20" t="n">
        <x:v>1</x:v>
      </x:c>
      <x:c r="G228" s="12" t="n">
        <x:v>7360</x:v>
      </x:c>
      <x:c r="H228" s="21" t="n">
        <x:v>0.18</x:v>
      </x:c>
      <x:c r="I228" s="20" t="n">
        <x:v>0.8</x:v>
      </x:c>
      <x:c r="J228" s="20" t="n">
        <x:v>1</x:v>
      </x:c>
      <x:c r="K228" s="20" t="n">
        <x:v>1</x:v>
      </x:c>
      <x:c r="L228" s="12" t="n">
        <x:v>7360</x:v>
      </x:c>
      <x:c r="M228" s="8" t="n">
        <x:v>212</x:v>
      </x:c>
      <x:c r="N228" s="12" t="n">
        <x:v>250</x:v>
      </x:c>
      <x:c r="O228" s="8" t="n">
        <x:v>1400</x:v>
      </x:c>
      <x:c r="P228" s="8" t="n">
        <x:v>8</x:v>
      </x:c>
      <x:c r="Q228" s="8" t="n">
        <x:v>4</x:v>
      </x:c>
      <x:c r="R228" s="8" t="n">
        <x:v>12</x:v>
      </x:c>
      <x:c r="S228" s="8" t="n">
        <x:v>0</x:v>
      </x:c>
      <x:c r="T228" s="8" t="n">
        <x:v>1</x:v>
      </x:c>
      <x:c r="U228" s="12" t="n">
        <x:v>0</x:v>
      </x:c>
      <x:c r="V228" s="8" t="n">
        <x:v>3</x:v>
      </x:c>
      <x:c r="W228" s="8" t="n">
        <x:v>230</x:v>
      </x:c>
      <x:c r="X228" s="12" t="n">
        <x:v>152500</x:v>
      </x:c>
      <x:c r="Y228" s="21"/>
      <x:c r="Z228" s="24" t="n">
        <x:f>IF($A228="","",INDEX(Settings!$C$29:$C$33,MATCH(E228,Settings!$A$29:$A$33,0)))</x:f>
        <x:v>7500</x:v>
      </x:c>
      <x:c r="AA228" s="22" t="n">
        <x:f>IF($A228="","",G228/Z228)</x:f>
        <x:v>0.9813333333333333</x:v>
      </x:c>
      <x:c r="AB228" s="25" t="n">
        <x:f>IF($A228="","",IF(ISNUMBER(Y228),Y228,Settings!$B$10))</x:f>
        <x:v>0.03</x:v>
      </x:c>
      <x:c r="AC228" s="23" t="n">
        <x:f>IF($A228="","",G228*(1+AB228))</x:f>
        <x:v>7580.8</x:v>
      </x:c>
      <x:c r="AD228" s="23" t="n">
        <x:f>IF($A228="","",G228*F228*12)</x:f>
        <x:v>88320</x:v>
      </x:c>
      <x:c r="AE228" s="23" t="n">
        <x:f>IF($A228="","",G228*F228*J228)</x:f>
        <x:v>7360</x:v>
      </x:c>
      <x:c r="AF228" s="24" t="n">
        <x:f>IF($A228="","",L228*F228*K228*Settings!$B$13)</x:f>
        <x:v>6771.200000000001</x:v>
      </x:c>
      <x:c r="AG228" s="23" t="n">
        <x:f>IF($A228="","",AD228*H228*I228)</x:f>
        <x:v>12718.08</x:v>
      </x:c>
      <x:c r="AH228" s="24" t="n">
        <x:f>IF($A228="","",SUM(AD228:AE228,AG228)*SUM(Settings!$B$11:$B$12))</x:f>
        <x:v>27099.52</x:v>
      </x:c>
      <x:c r="AI228" s="24" t="n">
        <x:f>IF($A228="","",M228*Settings!$B$16)</x:f>
        <x:v>1888.92</x:v>
      </x:c>
      <x:c r="AJ228" s="24" t="n">
        <x:f>IF($A228="","",M228*Settings!$B$15)</x:f>
        <x:v>231.08</x:v>
      </x:c>
      <x:c r="AK228" s="24" t="n">
        <x:f>IF($A228="","",O228*Settings!$B$18)</x:f>
        <x:v>518</x:v>
      </x:c>
      <x:c r="AL228" s="24" t="n">
        <x:f>IF($A228="","",P228*Settings!$B$20+Q228*Settings!$B$21+R228*Settings!$B$22+S228*Settings!$B$23)</x:f>
        <x:v>2184.76</x:v>
      </x:c>
      <x:c r="AM228" s="24" t="n">
        <x:f>IF($A228="","",T228*Settings!$B$24)</x:f>
        <x:v>40</x:v>
      </x:c>
      <x:c r="AN228" s="23" t="n">
        <x:f>IF($A228="","",SUM(AI228,N228,AK228:AM228,U228))</x:f>
        <x:v>4881.68</x:v>
      </x:c>
      <x:c r="AO228" s="23" t="n">
        <x:f>IF($A228="","",SUM(AD228:AI228,N228,AK228:AM228,U228))</x:f>
        <x:v>147150.48</x:v>
      </x:c>
      <x:c r="AP228" s="24" t="n">
        <x:f>IF($A228="","",G228*F228*AB228*((13-Settings!$B$9)*(1+H228*I228)+J228)*(1+SUM(Settings!$B$11:$B$12)))</x:f>
        <x:v>3117.696</x:v>
      </x:c>
      <x:c r="AQ228" s="23" t="n">
        <x:f>IF($A228="","",SUM(AO228:AP228))</x:f>
        <x:v>150268.176</x:v>
      </x:c>
      <x:c r="AR228" s="23" t="n">
        <x:f>IF($A228="","",AQ228-X228)</x:f>
        <x:v>-2231.8239999999932</x:v>
      </x:c>
      <x:c r="AS228" s="22" t="n">
        <x:f>IF($A228="","",IF(W228=0,"n.a.",V228/W228))</x:f>
        <x:v>0.013043478260869565</x:v>
      </x:c>
      <x:c r="AT228" s="26" t="str">
        <x:f>IF($A228="",IF(COUNTA(B228:Y228)&gt;0,"Missing ID",""),IF(COUNTIFS($A$9:$A$508,A228)&gt;1,"Duplicate ID",IF(OR(B228="",C228="",D228="",E228="",COUNT(F228:X228)&lt;&gt;19),"Missing / text input",IF(OR(COUNTIFS(Settings!$A$59:$A$64,B228)&lt;&gt;1,COUNTIFS(Settings!$A$29:$A$33,E228)&lt;&gt;1),"Unknown department / grade",IF(OR(F228&lt;=0,F228&gt;1,G228&lt;=0,L228&lt;=0,H228&lt;0,I228&lt;0,J228&lt;0,K228&lt;0,K228&gt;1,MIN(M228:X228)&lt;0,W228=0,V228&gt;W228,M228&gt;W228-V228,P228&gt;8,Q228&gt;4,R228&gt;12,S228&gt;12,T228&gt;1,AB228&lt;0),"Review quantity / rate",IF(OR(N228&gt;Settings!$C$17,AK228&gt;Settings!$C$19),"Review benefit ceiling","OK"))))))</x:f>
        <x:v>OK</x:v>
      </x:c>
    </x:row>
    <x:row r="229" ht="23" customHeight="1">
      <x:c r="A229" s="8" t="str">
        <x:v>BE-0221</x:v>
      </x:c>
      <x:c r="B229" s="8" t="str">
        <x:v>Customer Operations</x:v>
      </x:c>
      <x:c r="C229" s="8" t="str">
        <x:v>Antwerp</x:v>
      </x:c>
      <x:c r="D229" s="8" t="str">
        <x:v>Service administrator</x:v>
      </x:c>
      <x:c r="E229" s="8" t="str">
        <x:v>G1</x:v>
      </x:c>
      <x:c r="F229" s="20" t="n">
        <x:v>1</x:v>
      </x:c>
      <x:c r="G229" s="12" t="n">
        <x:v>2910</x:v>
      </x:c>
      <x:c r="H229" s="21" t="n">
        <x:v>0.03</x:v>
      </x:c>
      <x:c r="I229" s="20" t="n">
        <x:v>1</x:v>
      </x:c>
      <x:c r="J229" s="20" t="n">
        <x:v>1</x:v>
      </x:c>
      <x:c r="K229" s="20" t="n">
        <x:v>1</x:v>
      </x:c>
      <x:c r="L229" s="12" t="n">
        <x:v>2910</x:v>
      </x:c>
      <x:c r="M229" s="8" t="n">
        <x:v>211</x:v>
      </x:c>
      <x:c r="N229" s="12" t="n">
        <x:v>250</x:v>
      </x:c>
      <x:c r="O229" s="8" t="n">
        <x:v>0</x:v>
      </x:c>
      <x:c r="P229" s="8" t="n">
        <x:v>0</x:v>
      </x:c>
      <x:c r="Q229" s="8" t="n">
        <x:v>0</x:v>
      </x:c>
      <x:c r="R229" s="8" t="n">
        <x:v>0</x:v>
      </x:c>
      <x:c r="S229" s="8" t="n">
        <x:v>0</x:v>
      </x:c>
      <x:c r="T229" s="8" t="n">
        <x:v>1</x:v>
      </x:c>
      <x:c r="U229" s="12" t="n">
        <x:v>0</x:v>
      </x:c>
      <x:c r="V229" s="8" t="n">
        <x:v>4</x:v>
      </x:c>
      <x:c r="W229" s="8" t="n">
        <x:v>230</x:v>
      </x:c>
      <x:c r="X229" s="12" t="n">
        <x:v>52600</x:v>
      </x:c>
      <x:c r="Y229" s="21" t="n">
        <x:v>0</x:v>
      </x:c>
      <x:c r="Z229" s="24" t="n">
        <x:f>IF($A229="","",INDEX(Settings!$C$29:$C$33,MATCH(E229,Settings!$A$29:$A$33,0)))</x:f>
        <x:v>2700</x:v>
      </x:c>
      <x:c r="AA229" s="22" t="n">
        <x:f>IF($A229="","",G229/Z229)</x:f>
        <x:v>1.0777777777777777</x:v>
      </x:c>
      <x:c r="AB229" s="25" t="n">
        <x:f>IF($A229="","",IF(ISNUMBER(Y229),Y229,Settings!$B$10))</x:f>
        <x:v>0</x:v>
      </x:c>
      <x:c r="AC229" s="23" t="n">
        <x:f>IF($A229="","",G229*(1+AB229))</x:f>
        <x:v>2910</x:v>
      </x:c>
      <x:c r="AD229" s="23" t="n">
        <x:f>IF($A229="","",G229*F229*12)</x:f>
        <x:v>34920</x:v>
      </x:c>
      <x:c r="AE229" s="23" t="n">
        <x:f>IF($A229="","",G229*F229*J229)</x:f>
        <x:v>2910</x:v>
      </x:c>
      <x:c r="AF229" s="24" t="n">
        <x:f>IF($A229="","",L229*F229*K229*Settings!$B$13)</x:f>
        <x:v>2677.2000000000003</x:v>
      </x:c>
      <x:c r="AG229" s="23" t="n">
        <x:f>IF($A229="","",AD229*H229*I229)</x:f>
        <x:v>1047.6</x:v>
      </x:c>
      <x:c r="AH229" s="24" t="n">
        <x:f>IF($A229="","",SUM(AD229:AE229,AG229)*SUM(Settings!$B$11:$B$12))</x:f>
        <x:v>9719.4</x:v>
      </x:c>
      <x:c r="AI229" s="24" t="n">
        <x:f>IF($A229="","",M229*Settings!$B$16)</x:f>
        <x:v>1880.01</x:v>
      </x:c>
      <x:c r="AJ229" s="24" t="n">
        <x:f>IF($A229="","",M229*Settings!$B$15)</x:f>
        <x:v>229.99</x:v>
      </x:c>
      <x:c r="AK229" s="24" t="n">
        <x:f>IF($A229="","",O229*Settings!$B$18)</x:f>
        <x:v>0</x:v>
      </x:c>
      <x:c r="AL229" s="24" t="n">
        <x:f>IF($A229="","",P229*Settings!$B$20+Q229*Settings!$B$21+R229*Settings!$B$22+S229*Settings!$B$23)</x:f>
        <x:v>0</x:v>
      </x:c>
      <x:c r="AM229" s="24" t="n">
        <x:f>IF($A229="","",T229*Settings!$B$24)</x:f>
        <x:v>40</x:v>
      </x:c>
      <x:c r="AN229" s="23" t="n">
        <x:f>IF($A229="","",SUM(AI229,N229,AK229:AM229,U229))</x:f>
        <x:v>2170.01</x:v>
      </x:c>
      <x:c r="AO229" s="23" t="n">
        <x:f>IF($A229="","",SUM(AD229:AI229,N229,AK229:AM229,U229))</x:f>
        <x:v>53444.21</x:v>
      </x:c>
      <x:c r="AP229" s="24" t="n">
        <x:f>IF($A229="","",G229*F229*AB229*((13-Settings!$B$9)*(1+H229*I229)+J229)*(1+SUM(Settings!$B$11:$B$12)))</x:f>
        <x:v>0</x:v>
      </x:c>
      <x:c r="AQ229" s="23" t="n">
        <x:f>IF($A229="","",SUM(AO229:AP229))</x:f>
        <x:v>53444.21</x:v>
      </x:c>
      <x:c r="AR229" s="23" t="n">
        <x:f>IF($A229="","",AQ229-X229)</x:f>
        <x:v>844.2099999999991</x:v>
      </x:c>
      <x:c r="AS229" s="22" t="n">
        <x:f>IF($A229="","",IF(W229=0,"n.a.",V229/W229))</x:f>
        <x:v>0.017391304347826087</x:v>
      </x:c>
      <x:c r="AT229" s="26" t="str">
        <x:f>IF($A229="",IF(COUNTA(B229:Y229)&gt;0,"Missing ID",""),IF(COUNTIFS($A$9:$A$508,A229)&gt;1,"Duplicate ID",IF(OR(B229="",C229="",D229="",E229="",COUNT(F229:X229)&lt;&gt;19),"Missing / text input",IF(OR(COUNTIFS(Settings!$A$59:$A$64,B229)&lt;&gt;1,COUNTIFS(Settings!$A$29:$A$33,E229)&lt;&gt;1),"Unknown department / grade",IF(OR(F229&lt;=0,F229&gt;1,G229&lt;=0,L229&lt;=0,H229&lt;0,I229&lt;0,J229&lt;0,K229&lt;0,K229&gt;1,MIN(M229:X229)&lt;0,W229=0,V229&gt;W229,M229&gt;W229-V229,P229&gt;8,Q229&gt;4,R229&gt;12,S229&gt;12,T229&gt;1,AB229&lt;0),"Review quantity / rate",IF(OR(N229&gt;Settings!$C$17,AK229&gt;Settings!$C$19),"Review benefit ceiling","OK"))))))</x:f>
        <x:v>OK</x:v>
      </x:c>
    </x:row>
    <x:row r="230" ht="23" customHeight="1">
      <x:c r="A230" s="8" t="str">
        <x:v>BE-0222</x:v>
      </x:c>
      <x:c r="B230" s="8" t="str">
        <x:v>Business Support</x:v>
      </x:c>
      <x:c r="C230" s="8" t="str">
        <x:v>Ghent</x:v>
      </x:c>
      <x:c r="D230" s="8" t="str">
        <x:v>Office administrator</x:v>
      </x:c>
      <x:c r="E230" s="8" t="str">
        <x:v>G1</x:v>
      </x:c>
      <x:c r="F230" s="20" t="n">
        <x:v>1</x:v>
      </x:c>
      <x:c r="G230" s="12" t="n">
        <x:v>2870</x:v>
      </x:c>
      <x:c r="H230" s="21" t="n">
        <x:v>0.03</x:v>
      </x:c>
      <x:c r="I230" s="20" t="n">
        <x:v>1.1</x:v>
      </x:c>
      <x:c r="J230" s="20" t="n">
        <x:v>1</x:v>
      </x:c>
      <x:c r="K230" s="20" t="n">
        <x:v>1</x:v>
      </x:c>
      <x:c r="L230" s="12" t="n">
        <x:v>2870</x:v>
      </x:c>
      <x:c r="M230" s="8" t="n">
        <x:v>210</x:v>
      </x:c>
      <x:c r="N230" s="12" t="n">
        <x:v>250</x:v>
      </x:c>
      <x:c r="O230" s="8" t="n">
        <x:v>0</x:v>
      </x:c>
      <x:c r="P230" s="8" t="n">
        <x:v>8</x:v>
      </x:c>
      <x:c r="Q230" s="8" t="n">
        <x:v>4</x:v>
      </x:c>
      <x:c r="R230" s="8" t="n">
        <x:v>12</x:v>
      </x:c>
      <x:c r="S230" s="8" t="n">
        <x:v>0</x:v>
      </x:c>
      <x:c r="T230" s="8" t="n">
        <x:v>1</x:v>
      </x:c>
      <x:c r="U230" s="12" t="n">
        <x:v>0</x:v>
      </x:c>
      <x:c r="V230" s="8" t="n">
        <x:v>5</x:v>
      </x:c>
      <x:c r="W230" s="8" t="n">
        <x:v>230</x:v>
      </x:c>
      <x:c r="X230" s="12" t="n">
        <x:v>57000</x:v>
      </x:c>
      <x:c r="Y230" s="21"/>
      <x:c r="Z230" s="24" t="n">
        <x:f>IF($A230="","",INDEX(Settings!$C$29:$C$33,MATCH(E230,Settings!$A$29:$A$33,0)))</x:f>
        <x:v>2700</x:v>
      </x:c>
      <x:c r="AA230" s="22" t="n">
        <x:f>IF($A230="","",G230/Z230)</x:f>
        <x:v>1.0629629629629629</x:v>
      </x:c>
      <x:c r="AB230" s="25" t="n">
        <x:f>IF($A230="","",IF(ISNUMBER(Y230),Y230,Settings!$B$10))</x:f>
        <x:v>0.03</x:v>
      </x:c>
      <x:c r="AC230" s="23" t="n">
        <x:f>IF($A230="","",G230*(1+AB230))</x:f>
        <x:v>2956.1</x:v>
      </x:c>
      <x:c r="AD230" s="23" t="n">
        <x:f>IF($A230="","",G230*F230*12)</x:f>
        <x:v>34440</x:v>
      </x:c>
      <x:c r="AE230" s="23" t="n">
        <x:f>IF($A230="","",G230*F230*J230)</x:f>
        <x:v>2870</x:v>
      </x:c>
      <x:c r="AF230" s="24" t="n">
        <x:f>IF($A230="","",L230*F230*K230*Settings!$B$13)</x:f>
        <x:v>2640.4</x:v>
      </x:c>
      <x:c r="AG230" s="23" t="n">
        <x:f>IF($A230="","",AD230*H230*I230)</x:f>
        <x:v>1136.5200000000002</x:v>
      </x:c>
      <x:c r="AH230" s="24" t="n">
        <x:f>IF($A230="","",SUM(AD230:AE230,AG230)*SUM(Settings!$B$11:$B$12))</x:f>
        <x:v>9611.63</x:v>
      </x:c>
      <x:c r="AI230" s="24" t="n">
        <x:f>IF($A230="","",M230*Settings!$B$16)</x:f>
        <x:v>1871.1000000000001</x:v>
      </x:c>
      <x:c r="AJ230" s="24" t="n">
        <x:f>IF($A230="","",M230*Settings!$B$15)</x:f>
        <x:v>228.9</x:v>
      </x:c>
      <x:c r="AK230" s="24" t="n">
        <x:f>IF($A230="","",O230*Settings!$B$18)</x:f>
        <x:v>0</x:v>
      </x:c>
      <x:c r="AL230" s="24" t="n">
        <x:f>IF($A230="","",P230*Settings!$B$20+Q230*Settings!$B$21+R230*Settings!$B$22+S230*Settings!$B$23)</x:f>
        <x:v>2184.76</x:v>
      </x:c>
      <x:c r="AM230" s="24" t="n">
        <x:f>IF($A230="","",T230*Settings!$B$24)</x:f>
        <x:v>40</x:v>
      </x:c>
      <x:c r="AN230" s="23" t="n">
        <x:f>IF($A230="","",SUM(AI230,N230,AK230:AM230,U230))</x:f>
        <x:v>4345.860000000001</x:v>
      </x:c>
      <x:c r="AO230" s="23" t="n">
        <x:f>IF($A230="","",SUM(AD230:AI230,N230,AK230:AM230,U230))</x:f>
        <x:v>55044.409999999996</x:v>
      </x:c>
      <x:c r="AP230" s="24" t="n">
        <x:f>IF($A230="","",G230*F230*AB230*((13-Settings!$B$9)*(1+H230*I230)+J230)*(1+SUM(Settings!$B$11:$B$12)))</x:f>
        <x:v>1108.2146249999998</x:v>
      </x:c>
      <x:c r="AQ230" s="23" t="n">
        <x:f>IF($A230="","",SUM(AO230:AP230))</x:f>
        <x:v>56152.624625</x:v>
      </x:c>
      <x:c r="AR230" s="23" t="n">
        <x:f>IF($A230="","",AQ230-X230)</x:f>
        <x:v>-847.3753750000033</x:v>
      </x:c>
      <x:c r="AS230" s="22" t="n">
        <x:f>IF($A230="","",IF(W230=0,"n.a.",V230/W230))</x:f>
        <x:v>0.021739130434782608</x:v>
      </x:c>
      <x:c r="AT230" s="26" t="str">
        <x:f>IF($A230="",IF(COUNTA(B230:Y230)&gt;0,"Missing ID",""),IF(COUNTIFS($A$9:$A$508,A230)&gt;1,"Duplicate ID",IF(OR(B230="",C230="",D230="",E230="",COUNT(F230:X230)&lt;&gt;19),"Missing / text input",IF(OR(COUNTIFS(Settings!$A$59:$A$64,B230)&lt;&gt;1,COUNTIFS(Settings!$A$29:$A$33,E230)&lt;&gt;1),"Unknown department / grade",IF(OR(F230&lt;=0,F230&gt;1,G230&lt;=0,L230&lt;=0,H230&lt;0,I230&lt;0,J230&lt;0,K230&lt;0,K230&gt;1,MIN(M230:X230)&lt;0,W230=0,V230&gt;W230,M230&gt;W230-V230,P230&gt;8,Q230&gt;4,R230&gt;12,S230&gt;12,T230&gt;1,AB230&lt;0),"Review quantity / rate",IF(OR(N230&gt;Settings!$C$17,AK230&gt;Settings!$C$19),"Review benefit ceiling","OK"))))))</x:f>
        <x:v>OK</x:v>
      </x:c>
    </x:row>
    <x:row r="231" ht="23" customHeight="1">
      <x:c r="A231" s="8" t="str">
        <x:v>BE-0223</x:v>
      </x:c>
      <x:c r="B231" s="8" t="str">
        <x:v>Finance</x:v>
      </x:c>
      <x:c r="C231" s="8" t="str">
        <x:v>Brussels</x:v>
      </x:c>
      <x:c r="D231" s="8" t="str">
        <x:v>Finance administrator</x:v>
      </x:c>
      <x:c r="E231" s="8" t="str">
        <x:v>G1</x:v>
      </x:c>
      <x:c r="F231" s="20" t="n">
        <x:v>1</x:v>
      </x:c>
      <x:c r="G231" s="12" t="n">
        <x:v>2940</x:v>
      </x:c>
      <x:c r="H231" s="21" t="n">
        <x:v>0.03</x:v>
      </x:c>
      <x:c r="I231" s="20" t="n">
        <x:v>0.8</x:v>
      </x:c>
      <x:c r="J231" s="20" t="n">
        <x:v>1</x:v>
      </x:c>
      <x:c r="K231" s="20" t="n">
        <x:v>1</x:v>
      </x:c>
      <x:c r="L231" s="12" t="n">
        <x:v>2940</x:v>
      </x:c>
      <x:c r="M231" s="8" t="n">
        <x:v>209</x:v>
      </x:c>
      <x:c r="N231" s="12" t="n">
        <x:v>250</x:v>
      </x:c>
      <x:c r="O231" s="8" t="n">
        <x:v>1730</x:v>
      </x:c>
      <x:c r="P231" s="8" t="n">
        <x:v>8</x:v>
      </x:c>
      <x:c r="Q231" s="8" t="n">
        <x:v>4</x:v>
      </x:c>
      <x:c r="R231" s="8" t="n">
        <x:v>12</x:v>
      </x:c>
      <x:c r="S231" s="8" t="n">
        <x:v>0</x:v>
      </x:c>
      <x:c r="T231" s="8" t="n">
        <x:v>1</x:v>
      </x:c>
      <x:c r="U231" s="12" t="n">
        <x:v>0</x:v>
      </x:c>
      <x:c r="V231" s="8" t="n">
        <x:v>6</x:v>
      </x:c>
      <x:c r="W231" s="8" t="n">
        <x:v>230</x:v>
      </x:c>
      <x:c r="X231" s="12" t="n">
        <x:v>58500</x:v>
      </x:c>
      <x:c r="Y231" s="21"/>
      <x:c r="Z231" s="24" t="n">
        <x:f>IF($A231="","",INDEX(Settings!$C$29:$C$33,MATCH(E231,Settings!$A$29:$A$33,0)))</x:f>
        <x:v>2700</x:v>
      </x:c>
      <x:c r="AA231" s="22" t="n">
        <x:f>IF($A231="","",G231/Z231)</x:f>
        <x:v>1.0888888888888888</x:v>
      </x:c>
      <x:c r="AB231" s="25" t="n">
        <x:f>IF($A231="","",IF(ISNUMBER(Y231),Y231,Settings!$B$10))</x:f>
        <x:v>0.03</x:v>
      </x:c>
      <x:c r="AC231" s="23" t="n">
        <x:f>IF($A231="","",G231*(1+AB231))</x:f>
        <x:v>3028.2000000000003</x:v>
      </x:c>
      <x:c r="AD231" s="23" t="n">
        <x:f>IF($A231="","",G231*F231*12)</x:f>
        <x:v>35280</x:v>
      </x:c>
      <x:c r="AE231" s="23" t="n">
        <x:f>IF($A231="","",G231*F231*J231)</x:f>
        <x:v>2940</x:v>
      </x:c>
      <x:c r="AF231" s="24" t="n">
        <x:f>IF($A231="","",L231*F231*K231*Settings!$B$13)</x:f>
        <x:v>2704.8</x:v>
      </x:c>
      <x:c r="AG231" s="23" t="n">
        <x:f>IF($A231="","",AD231*H231*I231)</x:f>
        <x:v>846.7199999999999</x:v>
      </x:c>
      <x:c r="AH231" s="24" t="n">
        <x:f>IF($A231="","",SUM(AD231:AE231,AG231)*SUM(Settings!$B$11:$B$12))</x:f>
        <x:v>9766.68</x:v>
      </x:c>
      <x:c r="AI231" s="24" t="n">
        <x:f>IF($A231="","",M231*Settings!$B$16)</x:f>
        <x:v>1862.19</x:v>
      </x:c>
      <x:c r="AJ231" s="24" t="n">
        <x:f>IF($A231="","",M231*Settings!$B$15)</x:f>
        <x:v>227.81000000000003</x:v>
      </x:c>
      <x:c r="AK231" s="24" t="n">
        <x:f>IF($A231="","",O231*Settings!$B$18)</x:f>
        <x:v>640.1</x:v>
      </x:c>
      <x:c r="AL231" s="24" t="n">
        <x:f>IF($A231="","",P231*Settings!$B$20+Q231*Settings!$B$21+R231*Settings!$B$22+S231*Settings!$B$23)</x:f>
        <x:v>2184.76</x:v>
      </x:c>
      <x:c r="AM231" s="24" t="n">
        <x:f>IF($A231="","",T231*Settings!$B$24)</x:f>
        <x:v>40</x:v>
      </x:c>
      <x:c r="AN231" s="23" t="n">
        <x:f>IF($A231="","",SUM(AI231,N231,AK231:AM231,U231))</x:f>
        <x:v>4977.05</x:v>
      </x:c>
      <x:c r="AO231" s="23" t="n">
        <x:f>IF($A231="","",SUM(AD231:AI231,N231,AK231:AM231,U231))</x:f>
        <x:v>56515.25000000001</x:v>
      </x:c>
      <x:c r="AP231" s="24" t="n">
        <x:f>IF($A231="","",G231*F231*AB231*((13-Settings!$B$9)*(1+H231*I231)+J231)*(1+SUM(Settings!$B$11:$B$12)))</x:f>
        <x:v>1126.314</x:v>
      </x:c>
      <x:c r="AQ231" s="23" t="n">
        <x:f>IF($A231="","",SUM(AO231:AP231))</x:f>
        <x:v>57641.564000000006</x:v>
      </x:c>
      <x:c r="AR231" s="23" t="n">
        <x:f>IF($A231="","",AQ231-X231)</x:f>
        <x:v>-858.4359999999942</x:v>
      </x:c>
      <x:c r="AS231" s="22" t="n">
        <x:f>IF($A231="","",IF(W231=0,"n.a.",V231/W231))</x:f>
        <x:v>0.02608695652173913</x:v>
      </x:c>
      <x:c r="AT231" s="26" t="str">
        <x:f>IF($A231="",IF(COUNTA(B231:Y231)&gt;0,"Missing ID",""),IF(COUNTIFS($A$9:$A$508,A231)&gt;1,"Duplicate ID",IF(OR(B231="",C231="",D231="",E231="",COUNT(F231:X231)&lt;&gt;19),"Missing / text input",IF(OR(COUNTIFS(Settings!$A$59:$A$64,B231)&lt;&gt;1,COUNTIFS(Settings!$A$29:$A$33,E231)&lt;&gt;1),"Unknown department / grade",IF(OR(F231&lt;=0,F231&gt;1,G231&lt;=0,L231&lt;=0,H231&lt;0,I231&lt;0,J231&lt;0,K231&lt;0,K231&gt;1,MIN(M231:X231)&lt;0,W231=0,V231&gt;W231,M231&gt;W231-V231,P231&gt;8,Q231&gt;4,R231&gt;12,S231&gt;12,T231&gt;1,AB231&lt;0),"Review quantity / rate",IF(OR(N231&gt;Settings!$C$17,AK231&gt;Settings!$C$19),"Review benefit ceiling","OK"))))))</x:f>
        <x:v>OK</x:v>
      </x:c>
    </x:row>
    <x:row r="232" ht="23" customHeight="1">
      <x:c r="A232" s="8" t="str">
        <x:v>BE-0224</x:v>
      </x:c>
      <x:c r="B232" s="8" t="str">
        <x:v>People &amp; Culture</x:v>
      </x:c>
      <x:c r="C232" s="8" t="str">
        <x:v>Antwerp</x:v>
      </x:c>
      <x:c r="D232" s="8" t="str">
        <x:v>HR administrator</x:v>
      </x:c>
      <x:c r="E232" s="8" t="str">
        <x:v>G1</x:v>
      </x:c>
      <x:c r="F232" s="20" t="n">
        <x:v>1</x:v>
      </x:c>
      <x:c r="G232" s="12" t="n">
        <x:v>2440</x:v>
      </x:c>
      <x:c r="H232" s="21" t="n">
        <x:v>0.03</x:v>
      </x:c>
      <x:c r="I232" s="20" t="n">
        <x:v>1</x:v>
      </x:c>
      <x:c r="J232" s="20" t="n">
        <x:v>1</x:v>
      </x:c>
      <x:c r="K232" s="20" t="n">
        <x:v>1</x:v>
      </x:c>
      <x:c r="L232" s="12" t="n">
        <x:v>2440</x:v>
      </x:c>
      <x:c r="M232" s="8" t="n">
        <x:v>208</x:v>
      </x:c>
      <x:c r="N232" s="12" t="n">
        <x:v>250</x:v>
      </x:c>
      <x:c r="O232" s="8" t="n">
        <x:v>0</x:v>
      </x:c>
      <x:c r="P232" s="8" t="n">
        <x:v>8</x:v>
      </x:c>
      <x:c r="Q232" s="8" t="n">
        <x:v>4</x:v>
      </x:c>
      <x:c r="R232" s="8" t="n">
        <x:v>12</x:v>
      </x:c>
      <x:c r="S232" s="8" t="n">
        <x:v>0</x:v>
      </x:c>
      <x:c r="T232" s="8" t="n">
        <x:v>1</x:v>
      </x:c>
      <x:c r="U232" s="12" t="n">
        <x:v>0</x:v>
      </x:c>
      <x:c r="V232" s="8" t="n">
        <x:v>7</x:v>
      </x:c>
      <x:c r="W232" s="8" t="n">
        <x:v>230</x:v>
      </x:c>
      <x:c r="X232" s="12" t="n">
        <x:v>49000</x:v>
      </x:c>
      <x:c r="Y232" s="21"/>
      <x:c r="Z232" s="24" t="n">
        <x:f>IF($A232="","",INDEX(Settings!$C$29:$C$33,MATCH(E232,Settings!$A$29:$A$33,0)))</x:f>
        <x:v>2700</x:v>
      </x:c>
      <x:c r="AA232" s="22" t="n">
        <x:f>IF($A232="","",G232/Z232)</x:f>
        <x:v>0.9037037037037037</x:v>
      </x:c>
      <x:c r="AB232" s="25" t="n">
        <x:f>IF($A232="","",IF(ISNUMBER(Y232),Y232,Settings!$B$10))</x:f>
        <x:v>0.03</x:v>
      </x:c>
      <x:c r="AC232" s="23" t="n">
        <x:f>IF($A232="","",G232*(1+AB232))</x:f>
        <x:v>2513.2000000000003</x:v>
      </x:c>
      <x:c r="AD232" s="23" t="n">
        <x:f>IF($A232="","",G232*F232*12)</x:f>
        <x:v>29280</x:v>
      </x:c>
      <x:c r="AE232" s="23" t="n">
        <x:f>IF($A232="","",G232*F232*J232)</x:f>
        <x:v>2440</x:v>
      </x:c>
      <x:c r="AF232" s="24" t="n">
        <x:f>IF($A232="","",L232*F232*K232*Settings!$B$13)</x:f>
        <x:v>2244.8</x:v>
      </x:c>
      <x:c r="AG232" s="23" t="n">
        <x:f>IF($A232="","",AD232*H232*I232)</x:f>
        <x:v>878.4</x:v>
      </x:c>
      <x:c r="AH232" s="24" t="n">
        <x:f>IF($A232="","",SUM(AD232:AE232,AG232)*SUM(Settings!$B$11:$B$12))</x:f>
        <x:v>8149.6</x:v>
      </x:c>
      <x:c r="AI232" s="24" t="n">
        <x:f>IF($A232="","",M232*Settings!$B$16)</x:f>
        <x:v>1853.28</x:v>
      </x:c>
      <x:c r="AJ232" s="24" t="n">
        <x:f>IF($A232="","",M232*Settings!$B$15)</x:f>
        <x:v>226.72000000000003</x:v>
      </x:c>
      <x:c r="AK232" s="24" t="n">
        <x:f>IF($A232="","",O232*Settings!$B$18)</x:f>
        <x:v>0</x:v>
      </x:c>
      <x:c r="AL232" s="24" t="n">
        <x:f>IF($A232="","",P232*Settings!$B$20+Q232*Settings!$B$21+R232*Settings!$B$22+S232*Settings!$B$23)</x:f>
        <x:v>2184.76</x:v>
      </x:c>
      <x:c r="AM232" s="24" t="n">
        <x:f>IF($A232="","",T232*Settings!$B$24)</x:f>
        <x:v>40</x:v>
      </x:c>
      <x:c r="AN232" s="23" t="n">
        <x:f>IF($A232="","",SUM(AI232,N232,AK232:AM232,U232))</x:f>
        <x:v>4328.04</x:v>
      </x:c>
      <x:c r="AO232" s="23" t="n">
        <x:f>IF($A232="","",SUM(AD232:AI232,N232,AK232:AM232,U232))</x:f>
        <x:v>47320.840000000004</x:v>
      </x:c>
      <x:c r="AP232" s="24" t="n">
        <x:f>IF($A232="","",G232*F232*AB232*((13-Settings!$B$9)*(1+H232*I232)+J232)*(1+SUM(Settings!$B$11:$B$12)))</x:f>
        <x:v>939.705</x:v>
      </x:c>
      <x:c r="AQ232" s="23" t="n">
        <x:f>IF($A232="","",SUM(AO232:AP232))</x:f>
        <x:v>48260.545000000006</x:v>
      </x:c>
      <x:c r="AR232" s="23" t="n">
        <x:f>IF($A232="","",AQ232-X232)</x:f>
        <x:v>-739.4549999999945</x:v>
      </x:c>
      <x:c r="AS232" s="22" t="n">
        <x:f>IF($A232="","",IF(W232=0,"n.a.",V232/W232))</x:f>
        <x:v>0.030434782608695653</x:v>
      </x:c>
      <x:c r="AT232" s="26" t="str">
        <x:f>IF($A232="",IF(COUNTA(B232:Y232)&gt;0,"Missing ID",""),IF(COUNTIFS($A$9:$A$508,A232)&gt;1,"Duplicate ID",IF(OR(B232="",C232="",D232="",E232="",COUNT(F232:X232)&lt;&gt;19),"Missing / text input",IF(OR(COUNTIFS(Settings!$A$59:$A$64,B232)&lt;&gt;1,COUNTIFS(Settings!$A$29:$A$33,E232)&lt;&gt;1),"Unknown department / grade",IF(OR(F232&lt;=0,F232&gt;1,G232&lt;=0,L232&lt;=0,H232&lt;0,I232&lt;0,J232&lt;0,K232&lt;0,K232&gt;1,MIN(M232:X232)&lt;0,W232=0,V232&gt;W232,M232&gt;W232-V232,P232&gt;8,Q232&gt;4,R232&gt;12,S232&gt;12,T232&gt;1,AB232&lt;0),"Review quantity / rate",IF(OR(N232&gt;Settings!$C$17,AK232&gt;Settings!$C$19),"Review benefit ceiling","OK"))))))</x:f>
        <x:v>OK</x:v>
      </x:c>
    </x:row>
    <x:row r="233" ht="23" customHeight="1">
      <x:c r="A233" s="8" t="str">
        <x:v>BE-0225</x:v>
      </x:c>
      <x:c r="B233" s="8" t="str">
        <x:v>Technology</x:v>
      </x:c>
      <x:c r="C233" s="8" t="str">
        <x:v>Ghent</x:v>
      </x:c>
      <x:c r="D233" s="8" t="str">
        <x:v>IT coordinator</x:v>
      </x:c>
      <x:c r="E233" s="8" t="str">
        <x:v>G1</x:v>
      </x:c>
      <x:c r="F233" s="20" t="n">
        <x:v>0.8</x:v>
      </x:c>
      <x:c r="G233" s="12" t="n">
        <x:v>2490</x:v>
      </x:c>
      <x:c r="H233" s="21" t="n">
        <x:v>0.03</x:v>
      </x:c>
      <x:c r="I233" s="20" t="n">
        <x:v>1.1</x:v>
      </x:c>
      <x:c r="J233" s="20" t="n">
        <x:v>1</x:v>
      </x:c>
      <x:c r="K233" s="20" t="n">
        <x:v>1</x:v>
      </x:c>
      <x:c r="L233" s="12" t="n">
        <x:v>2490</x:v>
      </x:c>
      <x:c r="M233" s="8" t="n">
        <x:v>171</x:v>
      </x:c>
      <x:c r="N233" s="12" t="n">
        <x:v>200</x:v>
      </x:c>
      <x:c r="O233" s="8" t="n">
        <x:v>0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1</x:v>
      </x:c>
      <x:c r="U233" s="12" t="n">
        <x:v>0</x:v>
      </x:c>
      <x:c r="V233" s="8" t="n">
        <x:v>8</x:v>
      </x:c>
      <x:c r="W233" s="8" t="n">
        <x:v>184</x:v>
      </x:c>
      <x:c r="X233" s="12" t="n">
        <x:v>38300</x:v>
      </x:c>
      <x:c r="Y233" s="21"/>
      <x:c r="Z233" s="24" t="n">
        <x:f>IF($A233="","",INDEX(Settings!$C$29:$C$33,MATCH(E233,Settings!$A$29:$A$33,0)))</x:f>
        <x:v>2700</x:v>
      </x:c>
      <x:c r="AA233" s="22" t="n">
        <x:f>IF($A233="","",G233/Z233)</x:f>
        <x:v>0.9222222222222223</x:v>
      </x:c>
      <x:c r="AB233" s="25" t="n">
        <x:f>IF($A233="","",IF(ISNUMBER(Y233),Y233,Settings!$B$10))</x:f>
        <x:v>0.03</x:v>
      </x:c>
      <x:c r="AC233" s="23" t="n">
        <x:f>IF($A233="","",G233*(1+AB233))</x:f>
        <x:v>2564.7000000000003</x:v>
      </x:c>
      <x:c r="AD233" s="23" t="n">
        <x:f>IF($A233="","",G233*F233*12)</x:f>
        <x:v>23904</x:v>
      </x:c>
      <x:c r="AE233" s="23" t="n">
        <x:f>IF($A233="","",G233*F233*J233)</x:f>
        <x:v>1992</x:v>
      </x:c>
      <x:c r="AF233" s="24" t="n">
        <x:f>IF($A233="","",L233*F233*K233*Settings!$B$13)</x:f>
        <x:v>1832.64</x:v>
      </x:c>
      <x:c r="AG233" s="23" t="n">
        <x:f>IF($A233="","",AD233*H233*I233)</x:f>
        <x:v>788.8320000000001</x:v>
      </x:c>
      <x:c r="AH233" s="24" t="n">
        <x:f>IF($A233="","",SUM(AD233:AE233,AG233)*SUM(Settings!$B$11:$B$12))</x:f>
        <x:v>6671.208</x:v>
      </x:c>
      <x:c r="AI233" s="24" t="n">
        <x:f>IF($A233="","",M233*Settings!$B$16)</x:f>
        <x:v>1523.6100000000001</x:v>
      </x:c>
      <x:c r="AJ233" s="24" t="n">
        <x:f>IF($A233="","",M233*Settings!$B$15)</x:f>
        <x:v>186.39000000000001</x:v>
      </x:c>
      <x:c r="AK233" s="24" t="n">
        <x:f>IF($A233="","",O233*Settings!$B$18)</x:f>
        <x:v>0</x:v>
      </x:c>
      <x:c r="AL233" s="24" t="n">
        <x:f>IF($A233="","",P233*Settings!$B$20+Q233*Settings!$B$21+R233*Settings!$B$22+S233*Settings!$B$23)</x:f>
        <x:v>0</x:v>
      </x:c>
      <x:c r="AM233" s="24" t="n">
        <x:f>IF($A233="","",T233*Settings!$B$24)</x:f>
        <x:v>40</x:v>
      </x:c>
      <x:c r="AN233" s="23" t="n">
        <x:f>IF($A233="","",SUM(AI233,N233,AK233:AM233,U233))</x:f>
        <x:v>1763.6100000000001</x:v>
      </x:c>
      <x:c r="AO233" s="23" t="n">
        <x:f>IF($A233="","",SUM(AD233:AI233,N233,AK233:AM233,U233))</x:f>
        <x:v>36952.29</x:v>
      </x:c>
      <x:c r="AP233" s="24" t="n">
        <x:f>IF($A233="","",G233*F233*AB233*((13-Settings!$B$9)*(1+H233*I233)+J233)*(1+SUM(Settings!$B$11:$B$12)))</x:f>
        <x:v>769.1859</x:v>
      </x:c>
      <x:c r="AQ233" s="23" t="n">
        <x:f>IF($A233="","",SUM(AO233:AP233))</x:f>
        <x:v>37721.4759</x:v>
      </x:c>
      <x:c r="AR233" s="23" t="n">
        <x:f>IF($A233="","",AQ233-X233)</x:f>
        <x:v>-578.5241000000024</x:v>
      </x:c>
      <x:c r="AS233" s="22" t="n">
        <x:f>IF($A233="","",IF(W233=0,"n.a.",V233/W233))</x:f>
        <x:v>0.043478260869565216</x:v>
      </x:c>
      <x:c r="AT233" s="26" t="str">
        <x:f>IF($A233="",IF(COUNTA(B233:Y233)&gt;0,"Missing ID",""),IF(COUNTIFS($A$9:$A$508,A233)&gt;1,"Duplicate ID",IF(OR(B233="",C233="",D233="",E233="",COUNT(F233:X233)&lt;&gt;19),"Missing / text input",IF(OR(COUNTIFS(Settings!$A$59:$A$64,B233)&lt;&gt;1,COUNTIFS(Settings!$A$29:$A$33,E233)&lt;&gt;1),"Unknown department / grade",IF(OR(F233&lt;=0,F233&gt;1,G233&lt;=0,L233&lt;=0,H233&lt;0,I233&lt;0,J233&lt;0,K233&lt;0,K233&gt;1,MIN(M233:X233)&lt;0,W233=0,V233&gt;W233,M233&gt;W233-V233,P233&gt;8,Q233&gt;4,R233&gt;12,S233&gt;12,T233&gt;1,AB233&lt;0),"Review quantity / rate",IF(OR(N233&gt;Settings!$C$17,AK233&gt;Settings!$C$19),"Review benefit ceiling","OK"))))))</x:f>
        <x:v>OK</x:v>
      </x:c>
    </x:row>
    <x:row r="234" ht="23" customHeight="1">
      <x:c r="A234" s="8" t="str">
        <x:v>BE-0226</x:v>
      </x:c>
      <x:c r="B234" s="8" t="str">
        <x:v>Sales</x:v>
      </x:c>
      <x:c r="C234" s="8" t="str">
        <x:v>Brussels</x:v>
      </x:c>
      <x:c r="D234" s="8" t="str">
        <x:v>Account manager</x:v>
      </x:c>
      <x:c r="E234" s="8" t="str">
        <x:v>G2</x:v>
      </x:c>
      <x:c r="F234" s="20" t="n">
        <x:v>0.6</x:v>
      </x:c>
      <x:c r="G234" s="12" t="n">
        <x:v>3170</x:v>
      </x:c>
      <x:c r="H234" s="21" t="n">
        <x:v>0.05</x:v>
      </x:c>
      <x:c r="I234" s="20" t="n">
        <x:v>0.8</x:v>
      </x:c>
      <x:c r="J234" s="20" t="n">
        <x:v>1</x:v>
      </x:c>
      <x:c r="K234" s="20" t="n">
        <x:v>1</x:v>
      </x:c>
      <x:c r="L234" s="12" t="n">
        <x:v>3170</x:v>
      </x:c>
      <x:c r="M234" s="8" t="n">
        <x:v>127</x:v>
      </x:c>
      <x:c r="N234" s="12" t="n">
        <x:v>150</x:v>
      </x:c>
      <x:c r="O234" s="8" t="n">
        <x:v>2060</x:v>
      </x:c>
      <x:c r="P234" s="8" t="n">
        <x:v>8</x:v>
      </x:c>
      <x:c r="Q234" s="8" t="n">
        <x:v>4</x:v>
      </x:c>
      <x:c r="R234" s="8" t="n">
        <x:v>12</x:v>
      </x:c>
      <x:c r="S234" s="8" t="n">
        <x:v>12</x:v>
      </x:c>
      <x:c r="T234" s="8" t="n">
        <x:v>1</x:v>
      </x:c>
      <x:c r="U234" s="12" t="n">
        <x:v>0</x:v>
      </x:c>
      <x:c r="V234" s="8" t="n">
        <x:v>9</x:v>
      </x:c>
      <x:c r="W234" s="8" t="n">
        <x:v>138</x:v>
      </x:c>
      <x:c r="X234" s="12" t="n">
        <x:v>38500</x:v>
      </x:c>
      <x:c r="Y234" s="21"/>
      <x:c r="Z234" s="24" t="n">
        <x:f>IF($A234="","",INDEX(Settings!$C$29:$C$33,MATCH(E234,Settings!$A$29:$A$33,0)))</x:f>
        <x:v>3300</x:v>
      </x:c>
      <x:c r="AA234" s="22" t="n">
        <x:f>IF($A234="","",G234/Z234)</x:f>
        <x:v>0.9606060606060606</x:v>
      </x:c>
      <x:c r="AB234" s="25" t="n">
        <x:f>IF($A234="","",IF(ISNUMBER(Y234),Y234,Settings!$B$10))</x:f>
        <x:v>0.03</x:v>
      </x:c>
      <x:c r="AC234" s="23" t="n">
        <x:f>IF($A234="","",G234*(1+AB234))</x:f>
        <x:v>3265.1</x:v>
      </x:c>
      <x:c r="AD234" s="23" t="n">
        <x:f>IF($A234="","",G234*F234*12)</x:f>
        <x:v>22824</x:v>
      </x:c>
      <x:c r="AE234" s="23" t="n">
        <x:f>IF($A234="","",G234*F234*J234)</x:f>
        <x:v>1902</x:v>
      </x:c>
      <x:c r="AF234" s="24" t="n">
        <x:f>IF($A234="","",L234*F234*K234*Settings!$B$13)</x:f>
        <x:v>1749.8400000000001</x:v>
      </x:c>
      <x:c r="AG234" s="23" t="n">
        <x:f>IF($A234="","",AD234*H234*I234)</x:f>
        <x:v>912.96</x:v>
      </x:c>
      <x:c r="AH234" s="24" t="n">
        <x:f>IF($A234="","",SUM(AD234:AE234,AG234)*SUM(Settings!$B$11:$B$12))</x:f>
        <x:v>6409.74</x:v>
      </x:c>
      <x:c r="AI234" s="24" t="n">
        <x:f>IF($A234="","",M234*Settings!$B$16)</x:f>
        <x:v>1131.57</x:v>
      </x:c>
      <x:c r="AJ234" s="24" t="n">
        <x:f>IF($A234="","",M234*Settings!$B$15)</x:f>
        <x:v>138.43</x:v>
      </x:c>
      <x:c r="AK234" s="24" t="n">
        <x:f>IF($A234="","",O234*Settings!$B$18)</x:f>
        <x:v>762.2</x:v>
      </x:c>
      <x:c r="AL234" s="24" t="n">
        <x:f>IF($A234="","",P234*Settings!$B$20+Q234*Settings!$B$21+R234*Settings!$B$22+S234*Settings!$B$23)</x:f>
        <x:v>2424.76</x:v>
      </x:c>
      <x:c r="AM234" s="24" t="n">
        <x:f>IF($A234="","",T234*Settings!$B$24)</x:f>
        <x:v>40</x:v>
      </x:c>
      <x:c r="AN234" s="23" t="n">
        <x:f>IF($A234="","",SUM(AI234,N234,AK234:AM234,U234))</x:f>
        <x:v>4508.53</x:v>
      </x:c>
      <x:c r="AO234" s="23" t="n">
        <x:f>IF($A234="","",SUM(AD234:AI234,N234,AK234:AM234,U234))</x:f>
        <x:v>38307.07</x:v>
      </x:c>
      <x:c r="AP234" s="24" t="n">
        <x:f>IF($A234="","",G234*F234*AB234*((13-Settings!$B$9)*(1+H234*I234)+J234)*(1+SUM(Settings!$B$11:$B$12)))</x:f>
        <x:v>738.9269999999999</x:v>
      </x:c>
      <x:c r="AQ234" s="23" t="n">
        <x:f>IF($A234="","",SUM(AO234:AP234))</x:f>
        <x:v>39045.997</x:v>
      </x:c>
      <x:c r="AR234" s="23" t="n">
        <x:f>IF($A234="","",AQ234-X234)</x:f>
        <x:v>545.997000000003</x:v>
      </x:c>
      <x:c r="AS234" s="22" t="n">
        <x:f>IF($A234="","",IF(W234=0,"n.a.",V234/W234))</x:f>
        <x:v>0.06521739130434782</x:v>
      </x:c>
      <x:c r="AT234" s="26" t="str">
        <x:f>IF($A234="",IF(COUNTA(B234:Y234)&gt;0,"Missing ID",""),IF(COUNTIFS($A$9:$A$508,A234)&gt;1,"Duplicate ID",IF(OR(B234="",C234="",D234="",E234="",COUNT(F234:X234)&lt;&gt;19),"Missing / text input",IF(OR(COUNTIFS(Settings!$A$59:$A$64,B234)&lt;&gt;1,COUNTIFS(Settings!$A$29:$A$33,E234)&lt;&gt;1),"Unknown department / grade",IF(OR(F234&lt;=0,F234&gt;1,G234&lt;=0,L234&lt;=0,H234&lt;0,I234&lt;0,J234&lt;0,K234&lt;0,K234&gt;1,MIN(M234:X234)&lt;0,W234=0,V234&gt;W234,M234&gt;W234-V234,P234&gt;8,Q234&gt;4,R234&gt;12,S234&gt;12,T234&gt;1,AB234&lt;0),"Review quantity / rate",IF(OR(N234&gt;Settings!$C$17,AK234&gt;Settings!$C$19),"Review benefit ceiling","OK"))))))</x:f>
        <x:v>OK</x:v>
      </x:c>
    </x:row>
    <x:row r="235" ht="23" customHeight="1">
      <x:c r="A235" s="8" t="str">
        <x:v>BE-0227</x:v>
      </x:c>
      <x:c r="B235" s="8" t="str">
        <x:v>Customer Operations</x:v>
      </x:c>
      <x:c r="C235" s="8" t="str">
        <x:v>Antwerp</x:v>
      </x:c>
      <x:c r="D235" s="8" t="str">
        <x:v>Service specialist</x:v>
      </x:c>
      <x:c r="E235" s="8" t="str">
        <x:v>G2</x:v>
      </x:c>
      <x:c r="F235" s="20" t="n">
        <x:v>1</x:v>
      </x:c>
      <x:c r="G235" s="12" t="n">
        <x:v>3460</x:v>
      </x:c>
      <x:c r="H235" s="21" t="n">
        <x:v>0.05</x:v>
      </x:c>
      <x:c r="I235" s="20" t="n">
        <x:v>1</x:v>
      </x:c>
      <x:c r="J235" s="20" t="n">
        <x:v>1</x:v>
      </x:c>
      <x:c r="K235" s="20" t="n">
        <x:v>1</x:v>
      </x:c>
      <x:c r="L235" s="12" t="n">
        <x:v>3460</x:v>
      </x:c>
      <x:c r="M235" s="8" t="n">
        <x:v>212</x:v>
      </x:c>
      <x:c r="N235" s="12" t="n">
        <x:v>250</x:v>
      </x:c>
      <x:c r="O235" s="8" t="n">
        <x:v>0</x:v>
      </x:c>
      <x:c r="P235" s="8" t="n">
        <x:v>8</x:v>
      </x:c>
      <x:c r="Q235" s="8" t="n">
        <x:v>4</x:v>
      </x:c>
      <x:c r="R235" s="8" t="n">
        <x:v>12</x:v>
      </x:c>
      <x:c r="S235" s="8" t="n">
        <x:v>0</x:v>
      </x:c>
      <x:c r="T235" s="8" t="n">
        <x:v>1</x:v>
      </x:c>
      <x:c r="U235" s="12" t="n">
        <x:v>0</x:v>
      </x:c>
      <x:c r="V235" s="8" t="n">
        <x:v>10</x:v>
      </x:c>
      <x:c r="W235" s="8" t="n">
        <x:v>230</x:v>
      </x:c>
      <x:c r="X235" s="12" t="n">
        <x:v>68700</x:v>
      </x:c>
      <x:c r="Y235" s="21"/>
      <x:c r="Z235" s="24" t="n">
        <x:f>IF($A235="","",INDEX(Settings!$C$29:$C$33,MATCH(E235,Settings!$A$29:$A$33,0)))</x:f>
        <x:v>3300</x:v>
      </x:c>
      <x:c r="AA235" s="22" t="n">
        <x:f>IF($A235="","",G235/Z235)</x:f>
        <x:v>1.0484848484848486</x:v>
      </x:c>
      <x:c r="AB235" s="25" t="n">
        <x:f>IF($A235="","",IF(ISNUMBER(Y235),Y235,Settings!$B$10))</x:f>
        <x:v>0.03</x:v>
      </x:c>
      <x:c r="AC235" s="23" t="n">
        <x:f>IF($A235="","",G235*(1+AB235))</x:f>
        <x:v>3563.8</x:v>
      </x:c>
      <x:c r="AD235" s="23" t="n">
        <x:f>IF($A235="","",G235*F235*12)</x:f>
        <x:v>41520</x:v>
      </x:c>
      <x:c r="AE235" s="23" t="n">
        <x:f>IF($A235="","",G235*F235*J235)</x:f>
        <x:v>3460</x:v>
      </x:c>
      <x:c r="AF235" s="24" t="n">
        <x:f>IF($A235="","",L235*F235*K235*Settings!$B$13)</x:f>
        <x:v>3183.2000000000003</x:v>
      </x:c>
      <x:c r="AG235" s="23" t="n">
        <x:f>IF($A235="","",AD235*H235*I235)</x:f>
        <x:v>2076</x:v>
      </x:c>
      <x:c r="AH235" s="24" t="n">
        <x:f>IF($A235="","",SUM(AD235:AE235,AG235)*SUM(Settings!$B$11:$B$12))</x:f>
        <x:v>11764</x:v>
      </x:c>
      <x:c r="AI235" s="24" t="n">
        <x:f>IF($A235="","",M235*Settings!$B$16)</x:f>
        <x:v>1888.92</x:v>
      </x:c>
      <x:c r="AJ235" s="24" t="n">
        <x:f>IF($A235="","",M235*Settings!$B$15)</x:f>
        <x:v>231.08</x:v>
      </x:c>
      <x:c r="AK235" s="24" t="n">
        <x:f>IF($A235="","",O235*Settings!$B$18)</x:f>
        <x:v>0</x:v>
      </x:c>
      <x:c r="AL235" s="24" t="n">
        <x:f>IF($A235="","",P235*Settings!$B$20+Q235*Settings!$B$21+R235*Settings!$B$22+S235*Settings!$B$23)</x:f>
        <x:v>2184.76</x:v>
      </x:c>
      <x:c r="AM235" s="24" t="n">
        <x:f>IF($A235="","",T235*Settings!$B$24)</x:f>
        <x:v>40</x:v>
      </x:c>
      <x:c r="AN235" s="23" t="n">
        <x:f>IF($A235="","",SUM(AI235,N235,AK235:AM235,U235))</x:f>
        <x:v>4363.68</x:v>
      </x:c>
      <x:c r="AO235" s="23" t="n">
        <x:f>IF($A235="","",SUM(AD235:AI235,N235,AK235:AM235,U235))</x:f>
        <x:v>66366.87999999999</x:v>
      </x:c>
      <x:c r="AP235" s="24" t="n">
        <x:f>IF($A235="","",G235*F235*AB235*((13-Settings!$B$9)*(1+H235*I235)+J235)*(1+SUM(Settings!$B$11:$B$12)))</x:f>
        <x:v>1355.8875</x:v>
      </x:c>
      <x:c r="AQ235" s="23" t="n">
        <x:f>IF($A235="","",SUM(AO235:AP235))</x:f>
        <x:v>67722.76749999999</x:v>
      </x:c>
      <x:c r="AR235" s="23" t="n">
        <x:f>IF($A235="","",AQ235-X235)</x:f>
        <x:v>-977.2325000000128</x:v>
      </x:c>
      <x:c r="AS235" s="22" t="n">
        <x:f>IF($A235="","",IF(W235=0,"n.a.",V235/W235))</x:f>
        <x:v>0.043478260869565216</x:v>
      </x:c>
      <x:c r="AT235" s="26" t="str">
        <x:f>IF($A235="",IF(COUNTA(B235:Y235)&gt;0,"Missing ID",""),IF(COUNTIFS($A$9:$A$508,A235)&gt;1,"Duplicate ID",IF(OR(B235="",C235="",D235="",E235="",COUNT(F235:X235)&lt;&gt;19),"Missing / text input",IF(OR(COUNTIFS(Settings!$A$59:$A$64,B235)&lt;&gt;1,COUNTIFS(Settings!$A$29:$A$33,E235)&lt;&gt;1),"Unknown department / grade",IF(OR(F235&lt;=0,F235&gt;1,G235&lt;=0,L235&lt;=0,H235&lt;0,I235&lt;0,J235&lt;0,K235&lt;0,K235&gt;1,MIN(M235:X235)&lt;0,W235=0,V235&gt;W235,M235&gt;W235-V235,P235&gt;8,Q235&gt;4,R235&gt;12,S235&gt;12,T235&gt;1,AB235&lt;0),"Review quantity / rate",IF(OR(N235&gt;Settings!$C$17,AK235&gt;Settings!$C$19),"Review benefit ceiling","OK"))))))</x:f>
        <x:v>OK</x:v>
      </x:c>
    </x:row>
    <x:row r="236" ht="23" customHeight="1">
      <x:c r="A236" s="8" t="str">
        <x:v>BE-0228</x:v>
      </x:c>
      <x:c r="B236" s="8" t="str">
        <x:v>Business Support</x:v>
      </x:c>
      <x:c r="C236" s="8" t="str">
        <x:v>Ghent</x:v>
      </x:c>
      <x:c r="D236" s="8" t="str">
        <x:v>Business specialist</x:v>
      </x:c>
      <x:c r="E236" s="8" t="str">
        <x:v>G2</x:v>
      </x:c>
      <x:c r="F236" s="20" t="n">
        <x:v>1</x:v>
      </x:c>
      <x:c r="G236" s="12" t="n">
        <x:v>3160</x:v>
      </x:c>
      <x:c r="H236" s="21" t="n">
        <x:v>0.05</x:v>
      </x:c>
      <x:c r="I236" s="20" t="n">
        <x:v>1.1</x:v>
      </x:c>
      <x:c r="J236" s="20" t="n">
        <x:v>1</x:v>
      </x:c>
      <x:c r="K236" s="20" t="n">
        <x:v>1</x:v>
      </x:c>
      <x:c r="L236" s="12" t="n">
        <x:v>3160</x:v>
      </x:c>
      <x:c r="M236" s="8" t="n">
        <x:v>211</x:v>
      </x:c>
      <x:c r="N236" s="12" t="n">
        <x:v>250</x:v>
      </x:c>
      <x:c r="O236" s="8" t="n">
        <x:v>0</x:v>
      </x:c>
      <x:c r="P236" s="8" t="n">
        <x:v>8</x:v>
      </x:c>
      <x:c r="Q236" s="8" t="n">
        <x:v>4</x:v>
      </x:c>
      <x:c r="R236" s="8" t="n">
        <x:v>12</x:v>
      </x:c>
      <x:c r="S236" s="8" t="n">
        <x:v>0</x:v>
      </x:c>
      <x:c r="T236" s="8" t="n">
        <x:v>1</x:v>
      </x:c>
      <x:c r="U236" s="12" t="n">
        <x:v>0</x:v>
      </x:c>
      <x:c r="V236" s="8" t="n">
        <x:v>11</x:v>
      </x:c>
      <x:c r="W236" s="8" t="n">
        <x:v>230</x:v>
      </x:c>
      <x:c r="X236" s="12" t="n">
        <x:v>63400</x:v>
      </x:c>
      <x:c r="Y236" s="21"/>
      <x:c r="Z236" s="24" t="n">
        <x:f>IF($A236="","",INDEX(Settings!$C$29:$C$33,MATCH(E236,Settings!$A$29:$A$33,0)))</x:f>
        <x:v>3300</x:v>
      </x:c>
      <x:c r="AA236" s="22" t="n">
        <x:f>IF($A236="","",G236/Z236)</x:f>
        <x:v>0.9575757575757575</x:v>
      </x:c>
      <x:c r="AB236" s="25" t="n">
        <x:f>IF($A236="","",IF(ISNUMBER(Y236),Y236,Settings!$B$10))</x:f>
        <x:v>0.03</x:v>
      </x:c>
      <x:c r="AC236" s="23" t="n">
        <x:f>IF($A236="","",G236*(1+AB236))</x:f>
        <x:v>3254.8</x:v>
      </x:c>
      <x:c r="AD236" s="23" t="n">
        <x:f>IF($A236="","",G236*F236*12)</x:f>
        <x:v>37920</x:v>
      </x:c>
      <x:c r="AE236" s="23" t="n">
        <x:f>IF($A236="","",G236*F236*J236)</x:f>
        <x:v>3160</x:v>
      </x:c>
      <x:c r="AF236" s="24" t="n">
        <x:f>IF($A236="","",L236*F236*K236*Settings!$B$13)</x:f>
        <x:v>2907.2000000000003</x:v>
      </x:c>
      <x:c r="AG236" s="23" t="n">
        <x:f>IF($A236="","",AD236*H236*I236)</x:f>
        <x:v>2085.6000000000004</x:v>
      </x:c>
      <x:c r="AH236" s="24" t="n">
        <x:f>IF($A236="","",SUM(AD236:AE236,AG236)*SUM(Settings!$B$11:$B$12))</x:f>
        <x:v>10791.4</x:v>
      </x:c>
      <x:c r="AI236" s="24" t="n">
        <x:f>IF($A236="","",M236*Settings!$B$16)</x:f>
        <x:v>1880.01</x:v>
      </x:c>
      <x:c r="AJ236" s="24" t="n">
        <x:f>IF($A236="","",M236*Settings!$B$15)</x:f>
        <x:v>229.99</x:v>
      </x:c>
      <x:c r="AK236" s="24" t="n">
        <x:f>IF($A236="","",O236*Settings!$B$18)</x:f>
        <x:v>0</x:v>
      </x:c>
      <x:c r="AL236" s="24" t="n">
        <x:f>IF($A236="","",P236*Settings!$B$20+Q236*Settings!$B$21+R236*Settings!$B$22+S236*Settings!$B$23)</x:f>
        <x:v>2184.76</x:v>
      </x:c>
      <x:c r="AM236" s="24" t="n">
        <x:f>IF($A236="","",T236*Settings!$B$24)</x:f>
        <x:v>40</x:v>
      </x:c>
      <x:c r="AN236" s="23" t="n">
        <x:f>IF($A236="","",SUM(AI236,N236,AK236:AM236,U236))</x:f>
        <x:v>4354.77</x:v>
      </x:c>
      <x:c r="AO236" s="23" t="n">
        <x:f>IF($A236="","",SUM(AD236:AI236,N236,AK236:AM236,U236))</x:f>
        <x:v>61218.97</x:v>
      </x:c>
      <x:c r="AP236" s="24" t="n">
        <x:f>IF($A236="","",G236*F236*AB236*((13-Settings!$B$9)*(1+H236*I236)+J236)*(1+SUM(Settings!$B$11:$B$12)))</x:f>
        <x:v>1243.6574999999998</x:v>
      </x:c>
      <x:c r="AQ236" s="23" t="n">
        <x:f>IF($A236="","",SUM(AO236:AP236))</x:f>
        <x:v>62462.6275</x:v>
      </x:c>
      <x:c r="AR236" s="23" t="n">
        <x:f>IF($A236="","",AQ236-X236)</x:f>
        <x:v>-937.3724999999977</x:v>
      </x:c>
      <x:c r="AS236" s="22" t="n">
        <x:f>IF($A236="","",IF(W236=0,"n.a.",V236/W236))</x:f>
        <x:v>0.04782608695652174</x:v>
      </x:c>
      <x:c r="AT236" s="26" t="str">
        <x:f>IF($A236="",IF(COUNTA(B236:Y236)&gt;0,"Missing ID",""),IF(COUNTIFS($A$9:$A$508,A236)&gt;1,"Duplicate ID",IF(OR(B236="",C236="",D236="",E236="",COUNT(F236:X236)&lt;&gt;19),"Missing / text input",IF(OR(COUNTIFS(Settings!$A$59:$A$64,B236)&lt;&gt;1,COUNTIFS(Settings!$A$29:$A$33,E236)&lt;&gt;1),"Unknown department / grade",IF(OR(F236&lt;=0,F236&gt;1,G236&lt;=0,L236&lt;=0,H236&lt;0,I236&lt;0,J236&lt;0,K236&lt;0,K236&gt;1,MIN(M236:X236)&lt;0,W236=0,V236&gt;W236,M236&gt;W236-V236,P236&gt;8,Q236&gt;4,R236&gt;12,S236&gt;12,T236&gt;1,AB236&lt;0),"Review quantity / rate",IF(OR(N236&gt;Settings!$C$17,AK236&gt;Settings!$C$19),"Review benefit ceiling","OK"))))))</x:f>
        <x:v>OK</x:v>
      </x:c>
    </x:row>
    <x:row r="237" ht="23" customHeight="1">
      <x:c r="A237" s="8" t="str">
        <x:v>BE-0229</x:v>
      </x:c>
      <x:c r="B237" s="8" t="str">
        <x:v>Finance</x:v>
      </x:c>
      <x:c r="C237" s="8" t="str">
        <x:v>Brussels</x:v>
      </x:c>
      <x:c r="D237" s="8" t="str">
        <x:v>Accountant</x:v>
      </x:c>
      <x:c r="E237" s="8" t="str">
        <x:v>G2</x:v>
      </x:c>
      <x:c r="F237" s="20" t="n">
        <x:v>1</x:v>
      </x:c>
      <x:c r="G237" s="12" t="n">
        <x:v>3430</x:v>
      </x:c>
      <x:c r="H237" s="21" t="n">
        <x:v>0.05</x:v>
      </x:c>
      <x:c r="I237" s="20" t="n">
        <x:v>0.8</x:v>
      </x:c>
      <x:c r="J237" s="20" t="n">
        <x:v>1</x:v>
      </x:c>
      <x:c r="K237" s="20" t="n">
        <x:v>1</x:v>
      </x:c>
      <x:c r="L237" s="12" t="n">
        <x:v>3430</x:v>
      </x:c>
      <x:c r="M237" s="8" t="n">
        <x:v>210</x:v>
      </x:c>
      <x:c r="N237" s="12" t="n">
        <x:v>250</x:v>
      </x:c>
      <x:c r="O237" s="8" t="n">
        <x:v>300</x:v>
      </x:c>
      <x:c r="P237" s="8" t="n">
        <x:v>0</x:v>
      </x:c>
      <x:c r="Q237" s="8" t="n">
        <x:v>0</x:v>
      </x:c>
      <x:c r="R237" s="8" t="n">
        <x:v>0</x:v>
      </x:c>
      <x:c r="S237" s="8" t="n">
        <x:v>0</x:v>
      </x:c>
      <x:c r="T237" s="8" t="n">
        <x:v>1</x:v>
      </x:c>
      <x:c r="U237" s="12" t="n">
        <x:v>0</x:v>
      </x:c>
      <x:c r="V237" s="8" t="n">
        <x:v>0</x:v>
      </x:c>
      <x:c r="W237" s="8" t="n">
        <x:v>230</x:v>
      </x:c>
      <x:c r="X237" s="12" t="n">
        <x:v>65500</x:v>
      </x:c>
      <x:c r="Y237" s="21"/>
      <x:c r="Z237" s="24" t="n">
        <x:f>IF($A237="","",INDEX(Settings!$C$29:$C$33,MATCH(E237,Settings!$A$29:$A$33,0)))</x:f>
        <x:v>3300</x:v>
      </x:c>
      <x:c r="AA237" s="22" t="n">
        <x:f>IF($A237="","",G237/Z237)</x:f>
        <x:v>1.0393939393939393</x:v>
      </x:c>
      <x:c r="AB237" s="25" t="n">
        <x:f>IF($A237="","",IF(ISNUMBER(Y237),Y237,Settings!$B$10))</x:f>
        <x:v>0.03</x:v>
      </x:c>
      <x:c r="AC237" s="23" t="n">
        <x:f>IF($A237="","",G237*(1+AB237))</x:f>
        <x:v>3532.9</x:v>
      </x:c>
      <x:c r="AD237" s="23" t="n">
        <x:f>IF($A237="","",G237*F237*12)</x:f>
        <x:v>41160</x:v>
      </x:c>
      <x:c r="AE237" s="23" t="n">
        <x:f>IF($A237="","",G237*F237*J237)</x:f>
        <x:v>3430</x:v>
      </x:c>
      <x:c r="AF237" s="24" t="n">
        <x:f>IF($A237="","",L237*F237*K237*Settings!$B$13)</x:f>
        <x:v>3155.6000000000004</x:v>
      </x:c>
      <x:c r="AG237" s="23" t="n">
        <x:f>IF($A237="","",AD237*H237*I237)</x:f>
        <x:v>1646.4</x:v>
      </x:c>
      <x:c r="AH237" s="24" t="n">
        <x:f>IF($A237="","",SUM(AD237:AE237,AG237)*SUM(Settings!$B$11:$B$12))</x:f>
        <x:v>11559.1</x:v>
      </x:c>
      <x:c r="AI237" s="24" t="n">
        <x:f>IF($A237="","",M237*Settings!$B$16)</x:f>
        <x:v>1871.1000000000001</x:v>
      </x:c>
      <x:c r="AJ237" s="24" t="n">
        <x:f>IF($A237="","",M237*Settings!$B$15)</x:f>
        <x:v>228.9</x:v>
      </x:c>
      <x:c r="AK237" s="24" t="n">
        <x:f>IF($A237="","",O237*Settings!$B$18)</x:f>
        <x:v>111</x:v>
      </x:c>
      <x:c r="AL237" s="24" t="n">
        <x:f>IF($A237="","",P237*Settings!$B$20+Q237*Settings!$B$21+R237*Settings!$B$22+S237*Settings!$B$23)</x:f>
        <x:v>0</x:v>
      </x:c>
      <x:c r="AM237" s="24" t="n">
        <x:f>IF($A237="","",T237*Settings!$B$24)</x:f>
        <x:v>40</x:v>
      </x:c>
      <x:c r="AN237" s="23" t="n">
        <x:f>IF($A237="","",SUM(AI237,N237,AK237:AM237,U237))</x:f>
        <x:v>2272.1000000000004</x:v>
      </x:c>
      <x:c r="AO237" s="23" t="n">
        <x:f>IF($A237="","",SUM(AD237:AI237,N237,AK237:AM237,U237))</x:f>
        <x:v>63223.2</x:v>
      </x:c>
      <x:c r="AP237" s="24" t="n">
        <x:f>IF($A237="","",G237*F237*AB237*((13-Settings!$B$9)*(1+H237*I237)+J237)*(1+SUM(Settings!$B$11:$B$12)))</x:f>
        <x:v>1332.5549999999998</x:v>
      </x:c>
      <x:c r="AQ237" s="23" t="n">
        <x:f>IF($A237="","",SUM(AO237:AP237))</x:f>
        <x:v>64555.755</x:v>
      </x:c>
      <x:c r="AR237" s="23" t="n">
        <x:f>IF($A237="","",AQ237-X237)</x:f>
        <x:v>-944.2450000000026</x:v>
      </x:c>
      <x:c r="AS237" s="22" t="n">
        <x:f>IF($A237="","",IF(W237=0,"n.a.",V237/W237))</x:f>
        <x:v>0</x:v>
      </x:c>
      <x:c r="AT237" s="26" t="str">
        <x:f>IF($A237="",IF(COUNTA(B237:Y237)&gt;0,"Missing ID",""),IF(COUNTIFS($A$9:$A$508,A237)&gt;1,"Duplicate ID",IF(OR(B237="",C237="",D237="",E237="",COUNT(F237:X237)&lt;&gt;19),"Missing / text input",IF(OR(COUNTIFS(Settings!$A$59:$A$64,B237)&lt;&gt;1,COUNTIFS(Settings!$A$29:$A$33,E237)&lt;&gt;1),"Unknown department / grade",IF(OR(F237&lt;=0,F237&gt;1,G237&lt;=0,L237&lt;=0,H237&lt;0,I237&lt;0,J237&lt;0,K237&lt;0,K237&gt;1,MIN(M237:X237)&lt;0,W237=0,V237&gt;W237,M237&gt;W237-V237,P237&gt;8,Q237&gt;4,R237&gt;12,S237&gt;12,T237&gt;1,AB237&lt;0),"Review quantity / rate",IF(OR(N237&gt;Settings!$C$17,AK237&gt;Settings!$C$19),"Review benefit ceiling","OK"))))))</x:f>
        <x:v>OK</x:v>
      </x:c>
    </x:row>
    <x:row r="238" ht="23" customHeight="1">
      <x:c r="A238" s="8" t="str">
        <x:v>BE-0230</x:v>
      </x:c>
      <x:c r="B238" s="8" t="str">
        <x:v>People &amp; Culture</x:v>
      </x:c>
      <x:c r="C238" s="8" t="str">
        <x:v>Antwerp</x:v>
      </x:c>
      <x:c r="D238" s="8" t="str">
        <x:v>HR specialist</x:v>
      </x:c>
      <x:c r="E238" s="8" t="str">
        <x:v>G2</x:v>
      </x:c>
      <x:c r="F238" s="20" t="n">
        <x:v>1</x:v>
      </x:c>
      <x:c r="G238" s="12" t="n">
        <x:v>3430</x:v>
      </x:c>
      <x:c r="H238" s="21" t="n">
        <x:v>0.05</x:v>
      </x:c>
      <x:c r="I238" s="20" t="n">
        <x:v>1</x:v>
      </x:c>
      <x:c r="J238" s="20" t="n">
        <x:v>1</x:v>
      </x:c>
      <x:c r="K238" s="20" t="n">
        <x:v>1</x:v>
      </x:c>
      <x:c r="L238" s="12" t="n">
        <x:v>3430</x:v>
      </x:c>
      <x:c r="M238" s="8" t="n">
        <x:v>209</x:v>
      </x:c>
      <x:c r="N238" s="12" t="n">
        <x:v>250</x:v>
      </x:c>
      <x:c r="O238" s="8" t="n">
        <x:v>0</x:v>
      </x:c>
      <x:c r="P238" s="8" t="n">
        <x:v>8</x:v>
      </x:c>
      <x:c r="Q238" s="8" t="n">
        <x:v>4</x:v>
      </x:c>
      <x:c r="R238" s="8" t="n">
        <x:v>12</x:v>
      </x:c>
      <x:c r="S238" s="8" t="n">
        <x:v>0</x:v>
      </x:c>
      <x:c r="T238" s="8" t="n">
        <x:v>1</x:v>
      </x:c>
      <x:c r="U238" s="12" t="n">
        <x:v>0</x:v>
      </x:c>
      <x:c r="V238" s="8" t="n">
        <x:v>1</x:v>
      </x:c>
      <x:c r="W238" s="8" t="n">
        <x:v>230</x:v>
      </x:c>
      <x:c r="X238" s="12" t="n">
        <x:v>68200</x:v>
      </x:c>
      <x:c r="Y238" s="21"/>
      <x:c r="Z238" s="24" t="n">
        <x:f>IF($A238="","",INDEX(Settings!$C$29:$C$33,MATCH(E238,Settings!$A$29:$A$33,0)))</x:f>
        <x:v>3300</x:v>
      </x:c>
      <x:c r="AA238" s="22" t="n">
        <x:f>IF($A238="","",G238/Z238)</x:f>
        <x:v>1.0393939393939393</x:v>
      </x:c>
      <x:c r="AB238" s="25" t="n">
        <x:f>IF($A238="","",IF(ISNUMBER(Y238),Y238,Settings!$B$10))</x:f>
        <x:v>0.03</x:v>
      </x:c>
      <x:c r="AC238" s="23" t="n">
        <x:f>IF($A238="","",G238*(1+AB238))</x:f>
        <x:v>3532.9</x:v>
      </x:c>
      <x:c r="AD238" s="23" t="n">
        <x:f>IF($A238="","",G238*F238*12)</x:f>
        <x:v>41160</x:v>
      </x:c>
      <x:c r="AE238" s="23" t="n">
        <x:f>IF($A238="","",G238*F238*J238)</x:f>
        <x:v>3430</x:v>
      </x:c>
      <x:c r="AF238" s="24" t="n">
        <x:f>IF($A238="","",L238*F238*K238*Settings!$B$13)</x:f>
        <x:v>3155.6000000000004</x:v>
      </x:c>
      <x:c r="AG238" s="23" t="n">
        <x:f>IF($A238="","",AD238*H238*I238)</x:f>
        <x:v>2058</x:v>
      </x:c>
      <x:c r="AH238" s="24" t="n">
        <x:f>IF($A238="","",SUM(AD238:AE238,AG238)*SUM(Settings!$B$11:$B$12))</x:f>
        <x:v>11662</x:v>
      </x:c>
      <x:c r="AI238" s="24" t="n">
        <x:f>IF($A238="","",M238*Settings!$B$16)</x:f>
        <x:v>1862.19</x:v>
      </x:c>
      <x:c r="AJ238" s="24" t="n">
        <x:f>IF($A238="","",M238*Settings!$B$15)</x:f>
        <x:v>227.81000000000003</x:v>
      </x:c>
      <x:c r="AK238" s="24" t="n">
        <x:f>IF($A238="","",O238*Settings!$B$18)</x:f>
        <x:v>0</x:v>
      </x:c>
      <x:c r="AL238" s="24" t="n">
        <x:f>IF($A238="","",P238*Settings!$B$20+Q238*Settings!$B$21+R238*Settings!$B$22+S238*Settings!$B$23)</x:f>
        <x:v>2184.76</x:v>
      </x:c>
      <x:c r="AM238" s="24" t="n">
        <x:f>IF($A238="","",T238*Settings!$B$24)</x:f>
        <x:v>40</x:v>
      </x:c>
      <x:c r="AN238" s="23" t="n">
        <x:f>IF($A238="","",SUM(AI238,N238,AK238:AM238,U238))</x:f>
        <x:v>4336.950000000001</x:v>
      </x:c>
      <x:c r="AO238" s="23" t="n">
        <x:f>IF($A238="","",SUM(AD238:AI238,N238,AK238:AM238,U238))</x:f>
        <x:v>65802.55</x:v>
      </x:c>
      <x:c r="AP238" s="24" t="n">
        <x:f>IF($A238="","",G238*F238*AB238*((13-Settings!$B$9)*(1+H238*I238)+J238)*(1+SUM(Settings!$B$11:$B$12)))</x:f>
        <x:v>1344.1312500000001</x:v>
      </x:c>
      <x:c r="AQ238" s="23" t="n">
        <x:f>IF($A238="","",SUM(AO238:AP238))</x:f>
        <x:v>67146.68125000001</x:v>
      </x:c>
      <x:c r="AR238" s="23" t="n">
        <x:f>IF($A238="","",AQ238-X238)</x:f>
        <x:v>-1053.3187499999913</x:v>
      </x:c>
      <x:c r="AS238" s="22" t="n">
        <x:f>IF($A238="","",IF(W238=0,"n.a.",V238/W238))</x:f>
        <x:v>0.004347826086956522</x:v>
      </x:c>
      <x:c r="AT238" s="26" t="str">
        <x:f>IF($A238="",IF(COUNTA(B238:Y238)&gt;0,"Missing ID",""),IF(COUNTIFS($A$9:$A$508,A238)&gt;1,"Duplicate ID",IF(OR(B238="",C238="",D238="",E238="",COUNT(F238:X238)&lt;&gt;19),"Missing / text input",IF(OR(COUNTIFS(Settings!$A$59:$A$64,B238)&lt;&gt;1,COUNTIFS(Settings!$A$29:$A$33,E238)&lt;&gt;1),"Unknown department / grade",IF(OR(F238&lt;=0,F238&gt;1,G238&lt;=0,L238&lt;=0,H238&lt;0,I238&lt;0,J238&lt;0,K238&lt;0,K238&gt;1,MIN(M238:X238)&lt;0,W238=0,V238&gt;W238,M238&gt;W238-V238,P238&gt;8,Q238&gt;4,R238&gt;12,S238&gt;12,T238&gt;1,AB238&lt;0),"Review quantity / rate",IF(OR(N238&gt;Settings!$C$17,AK238&gt;Settings!$C$19),"Review benefit ceiling","OK"))))))</x:f>
        <x:v>OK</x:v>
      </x:c>
    </x:row>
    <x:row r="239" ht="23" customHeight="1">
      <x:c r="A239" s="8" t="str">
        <x:v>BE-0231</x:v>
      </x:c>
      <x:c r="B239" s="8" t="str">
        <x:v>Technology</x:v>
      </x:c>
      <x:c r="C239" s="8" t="str">
        <x:v>Ghent</x:v>
      </x:c>
      <x:c r="D239" s="8" t="str">
        <x:v>Developer</x:v>
      </x:c>
      <x:c r="E239" s="8" t="str">
        <x:v>G2</x:v>
      </x:c>
      <x:c r="F239" s="20" t="n">
        <x:v>1</x:v>
      </x:c>
      <x:c r="G239" s="12" t="n">
        <x:v>3420</x:v>
      </x:c>
      <x:c r="H239" s="21" t="n">
        <x:v>0.05</x:v>
      </x:c>
      <x:c r="I239" s="20" t="n">
        <x:v>1.1</x:v>
      </x:c>
      <x:c r="J239" s="20" t="n">
        <x:v>1</x:v>
      </x:c>
      <x:c r="K239" s="20" t="n">
        <x:v>1</x:v>
      </x:c>
      <x:c r="L239" s="12" t="n">
        <x:v>3420</x:v>
      </x:c>
      <x:c r="M239" s="8" t="n">
        <x:v>208</x:v>
      </x:c>
      <x:c r="N239" s="12" t="n">
        <x:v>250</x:v>
      </x:c>
      <x:c r="O239" s="8" t="n">
        <x:v>0</x:v>
      </x:c>
      <x:c r="P239" s="8" t="n">
        <x:v>8</x:v>
      </x:c>
      <x:c r="Q239" s="8" t="n">
        <x:v>4</x:v>
      </x:c>
      <x:c r="R239" s="8" t="n">
        <x:v>12</x:v>
      </x:c>
      <x:c r="S239" s="8" t="n">
        <x:v>12</x:v>
      </x:c>
      <x:c r="T239" s="8" t="n">
        <x:v>1</x:v>
      </x:c>
      <x:c r="U239" s="12" t="n">
        <x:v>0</x:v>
      </x:c>
      <x:c r="V239" s="8" t="n">
        <x:v>2</x:v>
      </x:c>
      <x:c r="W239" s="8" t="n">
        <x:v>230</x:v>
      </x:c>
      <x:c r="X239" s="12" t="n">
        <x:v>66400</x:v>
      </x:c>
      <x:c r="Y239" s="21"/>
      <x:c r="Z239" s="24" t="n">
        <x:f>IF($A239="","",INDEX(Settings!$C$29:$C$33,MATCH(E239,Settings!$A$29:$A$33,0)))</x:f>
        <x:v>3300</x:v>
      </x:c>
      <x:c r="AA239" s="22" t="n">
        <x:f>IF($A239="","",G239/Z239)</x:f>
        <x:v>1.0363636363636364</x:v>
      </x:c>
      <x:c r="AB239" s="25" t="n">
        <x:f>IF($A239="","",IF(ISNUMBER(Y239),Y239,Settings!$B$10))</x:f>
        <x:v>0.03</x:v>
      </x:c>
      <x:c r="AC239" s="23" t="n">
        <x:f>IF($A239="","",G239*(1+AB239))</x:f>
        <x:v>3522.6</x:v>
      </x:c>
      <x:c r="AD239" s="23" t="n">
        <x:f>IF($A239="","",G239*F239*12)</x:f>
        <x:v>41040</x:v>
      </x:c>
      <x:c r="AE239" s="23" t="n">
        <x:f>IF($A239="","",G239*F239*J239)</x:f>
        <x:v>3420</x:v>
      </x:c>
      <x:c r="AF239" s="24" t="n">
        <x:f>IF($A239="","",L239*F239*K239*Settings!$B$13)</x:f>
        <x:v>3146.4</x:v>
      </x:c>
      <x:c r="AG239" s="23" t="n">
        <x:f>IF($A239="","",AD239*H239*I239)</x:f>
        <x:v>2257.2000000000003</x:v>
      </x:c>
      <x:c r="AH239" s="24" t="n">
        <x:f>IF($A239="","",SUM(AD239:AE239,AG239)*SUM(Settings!$B$11:$B$12))</x:f>
        <x:v>11679.3</x:v>
      </x:c>
      <x:c r="AI239" s="24" t="n">
        <x:f>IF($A239="","",M239*Settings!$B$16)</x:f>
        <x:v>1853.28</x:v>
      </x:c>
      <x:c r="AJ239" s="24" t="n">
        <x:f>IF($A239="","",M239*Settings!$B$15)</x:f>
        <x:v>226.72000000000003</x:v>
      </x:c>
      <x:c r="AK239" s="24" t="n">
        <x:f>IF($A239="","",O239*Settings!$B$18)</x:f>
        <x:v>0</x:v>
      </x:c>
      <x:c r="AL239" s="24" t="n">
        <x:f>IF($A239="","",P239*Settings!$B$20+Q239*Settings!$B$21+R239*Settings!$B$22+S239*Settings!$B$23)</x:f>
        <x:v>2424.76</x:v>
      </x:c>
      <x:c r="AM239" s="24" t="n">
        <x:f>IF($A239="","",T239*Settings!$B$24)</x:f>
        <x:v>40</x:v>
      </x:c>
      <x:c r="AN239" s="23" t="n">
        <x:f>IF($A239="","",SUM(AI239,N239,AK239:AM239,U239))</x:f>
        <x:v>4568.04</x:v>
      </x:c>
      <x:c r="AO239" s="23" t="n">
        <x:f>IF($A239="","",SUM(AD239:AI239,N239,AK239:AM239,U239))</x:f>
        <x:v>66110.93999999999</x:v>
      </x:c>
      <x:c r="AP239" s="24" t="n">
        <x:f>IF($A239="","",G239*F239*AB239*((13-Settings!$B$9)*(1+H239*I239)+J239)*(1+SUM(Settings!$B$11:$B$12)))</x:f>
        <x:v>1345.9837499999999</x:v>
      </x:c>
      <x:c r="AQ239" s="23" t="n">
        <x:f>IF($A239="","",SUM(AO239:AP239))</x:f>
        <x:v>67456.92374999999</x:v>
      </x:c>
      <x:c r="AR239" s="23" t="n">
        <x:f>IF($A239="","",AQ239-X239)</x:f>
        <x:v>1056.9237499999872</x:v>
      </x:c>
      <x:c r="AS239" s="22" t="n">
        <x:f>IF($A239="","",IF(W239=0,"n.a.",V239/W239))</x:f>
        <x:v>0.008695652173913044</x:v>
      </x:c>
      <x:c r="AT239" s="26" t="str">
        <x:f>IF($A239="",IF(COUNTA(B239:Y239)&gt;0,"Missing ID",""),IF(COUNTIFS($A$9:$A$508,A239)&gt;1,"Duplicate ID",IF(OR(B239="",C239="",D239="",E239="",COUNT(F239:X239)&lt;&gt;19),"Missing / text input",IF(OR(COUNTIFS(Settings!$A$59:$A$64,B239)&lt;&gt;1,COUNTIFS(Settings!$A$29:$A$33,E239)&lt;&gt;1),"Unknown department / grade",IF(OR(F239&lt;=0,F239&gt;1,G239&lt;=0,L239&lt;=0,H239&lt;0,I239&lt;0,J239&lt;0,K239&lt;0,K239&gt;1,MIN(M239:X239)&lt;0,W239=0,V239&gt;W239,M239&gt;W239-V239,P239&gt;8,Q239&gt;4,R239&gt;12,S239&gt;12,T239&gt;1,AB239&lt;0),"Review quantity / rate",IF(OR(N239&gt;Settings!$C$17,AK239&gt;Settings!$C$19),"Review benefit ceiling","OK"))))))</x:f>
        <x:v>OK</x:v>
      </x:c>
    </x:row>
    <x:row r="240" ht="23" customHeight="1">
      <x:c r="A240" s="8" t="str">
        <x:v>BE-0232</x:v>
      </x:c>
      <x:c r="B240" s="8" t="str">
        <x:v>Sales</x:v>
      </x:c>
      <x:c r="C240" s="8" t="str">
        <x:v>Brussels</x:v>
      </x:c>
      <x:c r="D240" s="8" t="str">
        <x:v>Account manager</x:v>
      </x:c>
      <x:c r="E240" s="8" t="str">
        <x:v>G2</x:v>
      </x:c>
      <x:c r="F240" s="20" t="n">
        <x:v>0.8</x:v>
      </x:c>
      <x:c r="G240" s="12" t="n">
        <x:v>3360</x:v>
      </x:c>
      <x:c r="H240" s="21" t="n">
        <x:v>0.05</x:v>
      </x:c>
      <x:c r="I240" s="20" t="n">
        <x:v>0.8</x:v>
      </x:c>
      <x:c r="J240" s="20" t="n">
        <x:v>1</x:v>
      </x:c>
      <x:c r="K240" s="20" t="n">
        <x:v>1</x:v>
      </x:c>
      <x:c r="L240" s="12" t="n">
        <x:v>3360</x:v>
      </x:c>
      <x:c r="M240" s="8" t="n">
        <x:v>171</x:v>
      </x:c>
      <x:c r="N240" s="12" t="n">
        <x:v>200</x:v>
      </x:c>
      <x:c r="O240" s="8" t="n">
        <x:v>630</x:v>
      </x:c>
      <x:c r="P240" s="8" t="n">
        <x:v>8</x:v>
      </x:c>
      <x:c r="Q240" s="8" t="n">
        <x:v>4</x:v>
      </x:c>
      <x:c r="R240" s="8" t="n">
        <x:v>12</x:v>
      </x:c>
      <x:c r="S240" s="8" t="n">
        <x:v>0</x:v>
      </x:c>
      <x:c r="T240" s="8" t="n">
        <x:v>1</x:v>
      </x:c>
      <x:c r="U240" s="12" t="n">
        <x:v>0</x:v>
      </x:c>
      <x:c r="V240" s="8" t="n">
        <x:v>3</x:v>
      </x:c>
      <x:c r="W240" s="8" t="n">
        <x:v>184</x:v>
      </x:c>
      <x:c r="X240" s="12" t="n">
        <x:v>52700</x:v>
      </x:c>
      <x:c r="Y240" s="21" t="n">
        <x:v>0</x:v>
      </x:c>
      <x:c r="Z240" s="24" t="n">
        <x:f>IF($A240="","",INDEX(Settings!$C$29:$C$33,MATCH(E240,Settings!$A$29:$A$33,0)))</x:f>
        <x:v>3300</x:v>
      </x:c>
      <x:c r="AA240" s="22" t="n">
        <x:f>IF($A240="","",G240/Z240)</x:f>
        <x:v>1.018181818181818</x:v>
      </x:c>
      <x:c r="AB240" s="25" t="n">
        <x:f>IF($A240="","",IF(ISNUMBER(Y240),Y240,Settings!$B$10))</x:f>
        <x:v>0</x:v>
      </x:c>
      <x:c r="AC240" s="23" t="n">
        <x:f>IF($A240="","",G240*(1+AB240))</x:f>
        <x:v>3360</x:v>
      </x:c>
      <x:c r="AD240" s="23" t="n">
        <x:f>IF($A240="","",G240*F240*12)</x:f>
        <x:v>32256</x:v>
      </x:c>
      <x:c r="AE240" s="23" t="n">
        <x:f>IF($A240="","",G240*F240*J240)</x:f>
        <x:v>2688</x:v>
      </x:c>
      <x:c r="AF240" s="24" t="n">
        <x:f>IF($A240="","",L240*F240*K240*Settings!$B$13)</x:f>
        <x:v>2472.96</x:v>
      </x:c>
      <x:c r="AG240" s="23" t="n">
        <x:f>IF($A240="","",AD240*H240*I240)</x:f>
        <x:v>1290.2400000000002</x:v>
      </x:c>
      <x:c r="AH240" s="24" t="n">
        <x:f>IF($A240="","",SUM(AD240:AE240,AG240)*SUM(Settings!$B$11:$B$12))</x:f>
        <x:v>9058.56</x:v>
      </x:c>
      <x:c r="AI240" s="24" t="n">
        <x:f>IF($A240="","",M240*Settings!$B$16)</x:f>
        <x:v>1523.6100000000001</x:v>
      </x:c>
      <x:c r="AJ240" s="24" t="n">
        <x:f>IF($A240="","",M240*Settings!$B$15)</x:f>
        <x:v>186.39000000000001</x:v>
      </x:c>
      <x:c r="AK240" s="24" t="n">
        <x:f>IF($A240="","",O240*Settings!$B$18)</x:f>
        <x:v>233.1</x:v>
      </x:c>
      <x:c r="AL240" s="24" t="n">
        <x:f>IF($A240="","",P240*Settings!$B$20+Q240*Settings!$B$21+R240*Settings!$B$22+S240*Settings!$B$23)</x:f>
        <x:v>2184.76</x:v>
      </x:c>
      <x:c r="AM240" s="24" t="n">
        <x:f>IF($A240="","",T240*Settings!$B$24)</x:f>
        <x:v>40</x:v>
      </x:c>
      <x:c r="AN240" s="23" t="n">
        <x:f>IF($A240="","",SUM(AI240,N240,AK240:AM240,U240))</x:f>
        <x:v>4181.47</x:v>
      </x:c>
      <x:c r="AO240" s="23" t="n">
        <x:f>IF($A240="","",SUM(AD240:AI240,N240,AK240:AM240,U240))</x:f>
        <x:v>51947.229999999996</x:v>
      </x:c>
      <x:c r="AP240" s="24" t="n">
        <x:f>IF($A240="","",G240*F240*AB240*((13-Settings!$B$9)*(1+H240*I240)+J240)*(1+SUM(Settings!$B$11:$B$12)))</x:f>
        <x:v>0</x:v>
      </x:c>
      <x:c r="AQ240" s="23" t="n">
        <x:f>IF($A240="","",SUM(AO240:AP240))</x:f>
        <x:v>51947.229999999996</x:v>
      </x:c>
      <x:c r="AR240" s="23" t="n">
        <x:f>IF($A240="","",AQ240-X240)</x:f>
        <x:v>-752.7700000000041</x:v>
      </x:c>
      <x:c r="AS240" s="22" t="n">
        <x:f>IF($A240="","",IF(W240=0,"n.a.",V240/W240))</x:f>
        <x:v>0.016304347826086956</x:v>
      </x:c>
      <x:c r="AT240" s="26" t="str">
        <x:f>IF($A240="",IF(COUNTA(B240:Y240)&gt;0,"Missing ID",""),IF(COUNTIFS($A$9:$A$508,A240)&gt;1,"Duplicate ID",IF(OR(B240="",C240="",D240="",E240="",COUNT(F240:X240)&lt;&gt;19),"Missing / text input",IF(OR(COUNTIFS(Settings!$A$59:$A$64,B240)&lt;&gt;1,COUNTIFS(Settings!$A$29:$A$33,E240)&lt;&gt;1),"Unknown department / grade",IF(OR(F240&lt;=0,F240&gt;1,G240&lt;=0,L240&lt;=0,H240&lt;0,I240&lt;0,J240&lt;0,K240&lt;0,K240&gt;1,MIN(M240:X240)&lt;0,W240=0,V240&gt;W240,M240&gt;W240-V240,P240&gt;8,Q240&gt;4,R240&gt;12,S240&gt;12,T240&gt;1,AB240&lt;0),"Review quantity / rate",IF(OR(N240&gt;Settings!$C$17,AK240&gt;Settings!$C$19),"Review benefit ceiling","OK"))))))</x:f>
        <x:v>OK</x:v>
      </x:c>
    </x:row>
    <x:row r="241" ht="23" customHeight="1">
      <x:c r="A241" s="8" t="str">
        <x:v>BE-0233</x:v>
      </x:c>
      <x:c r="B241" s="8" t="str">
        <x:v>Customer Operations</x:v>
      </x:c>
      <x:c r="C241" s="8" t="str">
        <x:v>Antwerp</x:v>
      </x:c>
      <x:c r="D241" s="8" t="str">
        <x:v>Senior service specialist</x:v>
      </x:c>
      <x:c r="E241" s="8" t="str">
        <x:v>G3</x:v>
      </x:c>
      <x:c r="F241" s="20" t="n">
        <x:v>1</x:v>
      </x:c>
      <x:c r="G241" s="12" t="n">
        <x:v>3900</x:v>
      </x:c>
      <x:c r="H241" s="21" t="n">
        <x:v>0.08</x:v>
      </x:c>
      <x:c r="I241" s="20" t="n">
        <x:v>1</x:v>
      </x:c>
      <x:c r="J241" s="20" t="n">
        <x:v>1</x:v>
      </x:c>
      <x:c r="K241" s="20" t="n">
        <x:v>1</x:v>
      </x:c>
      <x:c r="L241" s="12" t="n">
        <x:v>3900</x:v>
      </x:c>
      <x:c r="M241" s="8" t="n">
        <x:v>213</x:v>
      </x:c>
      <x:c r="N241" s="12" t="n">
        <x:v>250</x:v>
      </x:c>
      <x:c r="O241" s="8" t="n">
        <x:v>0</x:v>
      </x:c>
      <x:c r="P241" s="8" t="n">
        <x:v>0</x:v>
      </x:c>
      <x:c r="Q241" s="8" t="n">
        <x:v>0</x:v>
      </x:c>
      <x:c r="R241" s="8" t="n">
        <x:v>0</x:v>
      </x:c>
      <x:c r="S241" s="8" t="n">
        <x:v>0</x:v>
      </x:c>
      <x:c r="T241" s="8" t="n">
        <x:v>1</x:v>
      </x:c>
      <x:c r="U241" s="12" t="n">
        <x:v>0</x:v>
      </x:c>
      <x:c r="V241" s="8" t="n">
        <x:v>4</x:v>
      </x:c>
      <x:c r="W241" s="8" t="n">
        <x:v>230</x:v>
      </x:c>
      <x:c r="X241" s="12" t="n">
        <x:v>76500</x:v>
      </x:c>
      <x:c r="Y241" s="21"/>
      <x:c r="Z241" s="24" t="n">
        <x:f>IF($A241="","",INDEX(Settings!$C$29:$C$33,MATCH(E241,Settings!$A$29:$A$33,0)))</x:f>
        <x:v>4200</x:v>
      </x:c>
      <x:c r="AA241" s="22" t="n">
        <x:f>IF($A241="","",G241/Z241)</x:f>
        <x:v>0.9285714285714286</x:v>
      </x:c>
      <x:c r="AB241" s="25" t="n">
        <x:f>IF($A241="","",IF(ISNUMBER(Y241),Y241,Settings!$B$10))</x:f>
        <x:v>0.03</x:v>
      </x:c>
      <x:c r="AC241" s="23" t="n">
        <x:f>IF($A241="","",G241*(1+AB241))</x:f>
        <x:v>4017</x:v>
      </x:c>
      <x:c r="AD241" s="23" t="n">
        <x:f>IF($A241="","",G241*F241*12)</x:f>
        <x:v>46800</x:v>
      </x:c>
      <x:c r="AE241" s="23" t="n">
        <x:f>IF($A241="","",G241*F241*J241)</x:f>
        <x:v>3900</x:v>
      </x:c>
      <x:c r="AF241" s="24" t="n">
        <x:f>IF($A241="","",L241*F241*K241*Settings!$B$13)</x:f>
        <x:v>3588</x:v>
      </x:c>
      <x:c r="AG241" s="23" t="n">
        <x:f>IF($A241="","",AD241*H241*I241)</x:f>
        <x:v>3744</x:v>
      </x:c>
      <x:c r="AH241" s="24" t="n">
        <x:f>IF($A241="","",SUM(AD241:AE241,AG241)*SUM(Settings!$B$11:$B$12))</x:f>
        <x:v>13611</x:v>
      </x:c>
      <x:c r="AI241" s="24" t="n">
        <x:f>IF($A241="","",M241*Settings!$B$16)</x:f>
        <x:v>1897.83</x:v>
      </x:c>
      <x:c r="AJ241" s="24" t="n">
        <x:f>IF($A241="","",M241*Settings!$B$15)</x:f>
        <x:v>232.17000000000002</x:v>
      </x:c>
      <x:c r="AK241" s="24" t="n">
        <x:f>IF($A241="","",O241*Settings!$B$18)</x:f>
        <x:v>0</x:v>
      </x:c>
      <x:c r="AL241" s="24" t="n">
        <x:f>IF($A241="","",P241*Settings!$B$20+Q241*Settings!$B$21+R241*Settings!$B$22+S241*Settings!$B$23)</x:f>
        <x:v>0</x:v>
      </x:c>
      <x:c r="AM241" s="24" t="n">
        <x:f>IF($A241="","",T241*Settings!$B$24)</x:f>
        <x:v>40</x:v>
      </x:c>
      <x:c r="AN241" s="23" t="n">
        <x:f>IF($A241="","",SUM(AI241,N241,AK241:AM241,U241))</x:f>
        <x:v>2187.83</x:v>
      </x:c>
      <x:c r="AO241" s="23" t="n">
        <x:f>IF($A241="","",SUM(AD241:AI241,N241,AK241:AM241,U241))</x:f>
        <x:v>73830.83</x:v>
      </x:c>
      <x:c r="AP241" s="24" t="n">
        <x:f>IF($A241="","",G241*F241*AB241*((13-Settings!$B$9)*(1+H241*I241)+J241)*(1+SUM(Settings!$B$11:$B$12)))</x:f>
        <x:v>1567.8</x:v>
      </x:c>
      <x:c r="AQ241" s="23" t="n">
        <x:f>IF($A241="","",SUM(AO241:AP241))</x:f>
        <x:v>75398.63</x:v>
      </x:c>
      <x:c r="AR241" s="23" t="n">
        <x:f>IF($A241="","",AQ241-X241)</x:f>
        <x:v>-1101.3699999999953</x:v>
      </x:c>
      <x:c r="AS241" s="22" t="n">
        <x:f>IF($A241="","",IF(W241=0,"n.a.",V241/W241))</x:f>
        <x:v>0.017391304347826087</x:v>
      </x:c>
      <x:c r="AT241" s="26" t="str">
        <x:f>IF($A241="",IF(COUNTA(B241:Y241)&gt;0,"Missing ID",""),IF(COUNTIFS($A$9:$A$508,A241)&gt;1,"Duplicate ID",IF(OR(B241="",C241="",D241="",E241="",COUNT(F241:X241)&lt;&gt;19),"Missing / text input",IF(OR(COUNTIFS(Settings!$A$59:$A$64,B241)&lt;&gt;1,COUNTIFS(Settings!$A$29:$A$33,E241)&lt;&gt;1),"Unknown department / grade",IF(OR(F241&lt;=0,F241&gt;1,G241&lt;=0,L241&lt;=0,H241&lt;0,I241&lt;0,J241&lt;0,K241&lt;0,K241&gt;1,MIN(M241:X241)&lt;0,W241=0,V241&gt;W241,M241&gt;W241-V241,P241&gt;8,Q241&gt;4,R241&gt;12,S241&gt;12,T241&gt;1,AB241&lt;0),"Review quantity / rate",IF(OR(N241&gt;Settings!$C$17,AK241&gt;Settings!$C$19),"Review benefit ceiling","OK"))))))</x:f>
        <x:v>OK</x:v>
      </x:c>
    </x:row>
    <x:row r="242" ht="23" customHeight="1">
      <x:c r="A242" s="8" t="str">
        <x:v>BE-0234</x:v>
      </x:c>
      <x:c r="B242" s="8" t="str">
        <x:v>Business Support</x:v>
      </x:c>
      <x:c r="C242" s="8" t="str">
        <x:v>Ghent</x:v>
      </x:c>
      <x:c r="D242" s="8" t="str">
        <x:v>Senior business analyst</x:v>
      </x:c>
      <x:c r="E242" s="8" t="str">
        <x:v>G3</x:v>
      </x:c>
      <x:c r="F242" s="20" t="n">
        <x:v>1</x:v>
      </x:c>
      <x:c r="G242" s="12" t="n">
        <x:v>4290</x:v>
      </x:c>
      <x:c r="H242" s="21" t="n">
        <x:v>0.08</x:v>
      </x:c>
      <x:c r="I242" s="20" t="n">
        <x:v>1.1</x:v>
      </x:c>
      <x:c r="J242" s="20" t="n">
        <x:v>1</x:v>
      </x:c>
      <x:c r="K242" s="20" t="n">
        <x:v>1</x:v>
      </x:c>
      <x:c r="L242" s="12" t="n">
        <x:v>4290</x:v>
      </x:c>
      <x:c r="M242" s="8" t="n">
        <x:v>212</x:v>
      </x:c>
      <x:c r="N242" s="12" t="n">
        <x:v>250</x:v>
      </x:c>
      <x:c r="O242" s="8" t="n">
        <x:v>0</x:v>
      </x:c>
      <x:c r="P242" s="8" t="n">
        <x:v>8</x:v>
      </x:c>
      <x:c r="Q242" s="8" t="n">
        <x:v>4</x:v>
      </x:c>
      <x:c r="R242" s="8" t="n">
        <x:v>12</x:v>
      </x:c>
      <x:c r="S242" s="8" t="n">
        <x:v>0</x:v>
      </x:c>
      <x:c r="T242" s="8" t="n">
        <x:v>1</x:v>
      </x:c>
      <x:c r="U242" s="12" t="n">
        <x:v>0</x:v>
      </x:c>
      <x:c r="V242" s="8" t="n">
        <x:v>5</x:v>
      </x:c>
      <x:c r="W242" s="8" t="n">
        <x:v>230</x:v>
      </x:c>
      <x:c r="X242" s="12" t="n">
        <x:v>86700</x:v>
      </x:c>
      <x:c r="Y242" s="21"/>
      <x:c r="Z242" s="24" t="n">
        <x:f>IF($A242="","",INDEX(Settings!$C$29:$C$33,MATCH(E242,Settings!$A$29:$A$33,0)))</x:f>
        <x:v>4200</x:v>
      </x:c>
      <x:c r="AA242" s="22" t="n">
        <x:f>IF($A242="","",G242/Z242)</x:f>
        <x:v>1.0214285714285714</x:v>
      </x:c>
      <x:c r="AB242" s="25" t="n">
        <x:f>IF($A242="","",IF(ISNUMBER(Y242),Y242,Settings!$B$10))</x:f>
        <x:v>0.03</x:v>
      </x:c>
      <x:c r="AC242" s="23" t="n">
        <x:f>IF($A242="","",G242*(1+AB242))</x:f>
        <x:v>4418.7</x:v>
      </x:c>
      <x:c r="AD242" s="23" t="n">
        <x:f>IF($A242="","",G242*F242*12)</x:f>
        <x:v>51480</x:v>
      </x:c>
      <x:c r="AE242" s="23" t="n">
        <x:f>IF($A242="","",G242*F242*J242)</x:f>
        <x:v>4290</x:v>
      </x:c>
      <x:c r="AF242" s="24" t="n">
        <x:f>IF($A242="","",L242*F242*K242*Settings!$B$13)</x:f>
        <x:v>3946.8</x:v>
      </x:c>
      <x:c r="AG242" s="23" t="n">
        <x:f>IF($A242="","",AD242*H242*I242)</x:f>
        <x:v>4530.24</x:v>
      </x:c>
      <x:c r="AH242" s="24" t="n">
        <x:f>IF($A242="","",SUM(AD242:AE242,AG242)*SUM(Settings!$B$11:$B$12))</x:f>
        <x:v>15075.06</x:v>
      </x:c>
      <x:c r="AI242" s="24" t="n">
        <x:f>IF($A242="","",M242*Settings!$B$16)</x:f>
        <x:v>1888.92</x:v>
      </x:c>
      <x:c r="AJ242" s="24" t="n">
        <x:f>IF($A242="","",M242*Settings!$B$15)</x:f>
        <x:v>231.08</x:v>
      </x:c>
      <x:c r="AK242" s="24" t="n">
        <x:f>IF($A242="","",O242*Settings!$B$18)</x:f>
        <x:v>0</x:v>
      </x:c>
      <x:c r="AL242" s="24" t="n">
        <x:f>IF($A242="","",P242*Settings!$B$20+Q242*Settings!$B$21+R242*Settings!$B$22+S242*Settings!$B$23)</x:f>
        <x:v>2184.76</x:v>
      </x:c>
      <x:c r="AM242" s="24" t="n">
        <x:f>IF($A242="","",T242*Settings!$B$24)</x:f>
        <x:v>40</x:v>
      </x:c>
      <x:c r="AN242" s="23" t="n">
        <x:f>IF($A242="","",SUM(AI242,N242,AK242:AM242,U242))</x:f>
        <x:v>4363.68</x:v>
      </x:c>
      <x:c r="AO242" s="23" t="n">
        <x:f>IF($A242="","",SUM(AD242:AI242,N242,AK242:AM242,U242))</x:f>
        <x:v>83685.78</x:v>
      </x:c>
      <x:c r="AP242" s="24" t="n">
        <x:f>IF($A242="","",G242*F242*AB242*((13-Settings!$B$9)*(1+H242*I242)+J242)*(1+SUM(Settings!$B$11:$B$12)))</x:f>
        <x:v>1736.1630000000002</x:v>
      </x:c>
      <x:c r="AQ242" s="23" t="n">
        <x:f>IF($A242="","",SUM(AO242:AP242))</x:f>
        <x:v>85421.943</x:v>
      </x:c>
      <x:c r="AR242" s="23" t="n">
        <x:f>IF($A242="","",AQ242-X242)</x:f>
        <x:v>-1278.0570000000007</x:v>
      </x:c>
      <x:c r="AS242" s="22" t="n">
        <x:f>IF($A242="","",IF(W242=0,"n.a.",V242/W242))</x:f>
        <x:v>0.021739130434782608</x:v>
      </x:c>
      <x:c r="AT242" s="26" t="str">
        <x:f>IF($A242="",IF(COUNTA(B242:Y242)&gt;0,"Missing ID",""),IF(COUNTIFS($A$9:$A$508,A242)&gt;1,"Duplicate ID",IF(OR(B242="",C242="",D242="",E242="",COUNT(F242:X242)&lt;&gt;19),"Missing / text input",IF(OR(COUNTIFS(Settings!$A$59:$A$64,B242)&lt;&gt;1,COUNTIFS(Settings!$A$29:$A$33,E242)&lt;&gt;1),"Unknown department / grade",IF(OR(F242&lt;=0,F242&gt;1,G242&lt;=0,L242&lt;=0,H242&lt;0,I242&lt;0,J242&lt;0,K242&lt;0,K242&gt;1,MIN(M242:X242)&lt;0,W242=0,V242&gt;W242,M242&gt;W242-V242,P242&gt;8,Q242&gt;4,R242&gt;12,S242&gt;12,T242&gt;1,AB242&lt;0),"Review quantity / rate",IF(OR(N242&gt;Settings!$C$17,AK242&gt;Settings!$C$19),"Review benefit ceiling","OK"))))))</x:f>
        <x:v>OK</x:v>
      </x:c>
    </x:row>
    <x:row r="243" ht="23" customHeight="1">
      <x:c r="A243" s="8" t="str">
        <x:v>BE-0235</x:v>
      </x:c>
      <x:c r="B243" s="8" t="str">
        <x:v>Finance</x:v>
      </x:c>
      <x:c r="C243" s="8" t="str">
        <x:v>Brussels</x:v>
      </x:c>
      <x:c r="D243" s="8" t="str">
        <x:v>Senior analyst</x:v>
      </x:c>
      <x:c r="E243" s="8" t="str">
        <x:v>G3</x:v>
      </x:c>
      <x:c r="F243" s="20" t="n">
        <x:v>0.6</x:v>
      </x:c>
      <x:c r="G243" s="12" t="n">
        <x:v>4610</x:v>
      </x:c>
      <x:c r="H243" s="21" t="n">
        <x:v>0.08</x:v>
      </x:c>
      <x:c r="I243" s="20" t="n">
        <x:v>0.8</x:v>
      </x:c>
      <x:c r="J243" s="20" t="n">
        <x:v>1</x:v>
      </x:c>
      <x:c r="K243" s="20" t="n">
        <x:v>1</x:v>
      </x:c>
      <x:c r="L243" s="12" t="n">
        <x:v>4610</x:v>
      </x:c>
      <x:c r="M243" s="8" t="n">
        <x:v>125</x:v>
      </x:c>
      <x:c r="N243" s="12" t="n">
        <x:v>150</x:v>
      </x:c>
      <x:c r="O243" s="8" t="n">
        <x:v>960</x:v>
      </x:c>
      <x:c r="P243" s="8" t="n">
        <x:v>8</x:v>
      </x:c>
      <x:c r="Q243" s="8" t="n">
        <x:v>4</x:v>
      </x:c>
      <x:c r="R243" s="8" t="n">
        <x:v>12</x:v>
      </x:c>
      <x:c r="S243" s="8" t="n">
        <x:v>0</x:v>
      </x:c>
      <x:c r="T243" s="8" t="n">
        <x:v>1</x:v>
      </x:c>
      <x:c r="U243" s="12" t="n">
        <x:v>0</x:v>
      </x:c>
      <x:c r="V243" s="8" t="n">
        <x:v>6</x:v>
      </x:c>
      <x:c r="W243" s="8" t="n">
        <x:v>138</x:v>
      </x:c>
      <x:c r="X243" s="12" t="n">
        <x:v>55900</x:v>
      </x:c>
      <x:c r="Y243" s="21"/>
      <x:c r="Z243" s="24" t="n">
        <x:f>IF($A243="","",INDEX(Settings!$C$29:$C$33,MATCH(E243,Settings!$A$29:$A$33,0)))</x:f>
        <x:v>4200</x:v>
      </x:c>
      <x:c r="AA243" s="22" t="n">
        <x:f>IF($A243="","",G243/Z243)</x:f>
        <x:v>1.0976190476190477</x:v>
      </x:c>
      <x:c r="AB243" s="25" t="n">
        <x:f>IF($A243="","",IF(ISNUMBER(Y243),Y243,Settings!$B$10))</x:f>
        <x:v>0.03</x:v>
      </x:c>
      <x:c r="AC243" s="23" t="n">
        <x:f>IF($A243="","",G243*(1+AB243))</x:f>
        <x:v>4748.3</x:v>
      </x:c>
      <x:c r="AD243" s="23" t="n">
        <x:f>IF($A243="","",G243*F243*12)</x:f>
        <x:v>33192</x:v>
      </x:c>
      <x:c r="AE243" s="23" t="n">
        <x:f>IF($A243="","",G243*F243*J243)</x:f>
        <x:v>2766</x:v>
      </x:c>
      <x:c r="AF243" s="24" t="n">
        <x:f>IF($A243="","",L243*F243*K243*Settings!$B$13)</x:f>
        <x:v>2544.7200000000003</x:v>
      </x:c>
      <x:c r="AG243" s="23" t="n">
        <x:f>IF($A243="","",AD243*H243*I243)</x:f>
        <x:v>2124.288</x:v>
      </x:c>
      <x:c r="AH243" s="24" t="n">
        <x:f>IF($A243="","",SUM(AD243:AE243,AG243)*SUM(Settings!$B$11:$B$12))</x:f>
        <x:v>9520.572</x:v>
      </x:c>
      <x:c r="AI243" s="24" t="n">
        <x:f>IF($A243="","",M243*Settings!$B$16)</x:f>
        <x:v>1113.75</x:v>
      </x:c>
      <x:c r="AJ243" s="24" t="n">
        <x:f>IF($A243="","",M243*Settings!$B$15)</x:f>
        <x:v>136.25</x:v>
      </x:c>
      <x:c r="AK243" s="24" t="n">
        <x:f>IF($A243="","",O243*Settings!$B$18)</x:f>
        <x:v>355.2</x:v>
      </x:c>
      <x:c r="AL243" s="24" t="n">
        <x:f>IF($A243="","",P243*Settings!$B$20+Q243*Settings!$B$21+R243*Settings!$B$22+S243*Settings!$B$23)</x:f>
        <x:v>2184.76</x:v>
      </x:c>
      <x:c r="AM243" s="24" t="n">
        <x:f>IF($A243="","",T243*Settings!$B$24)</x:f>
        <x:v>40</x:v>
      </x:c>
      <x:c r="AN243" s="23" t="n">
        <x:f>IF($A243="","",SUM(AI243,N243,AK243:AM243,U243))</x:f>
        <x:v>3843.71</x:v>
      </x:c>
      <x:c r="AO243" s="23" t="n">
        <x:f>IF($A243="","",SUM(AD243:AI243,N243,AK243:AM243,U243))</x:f>
        <x:v>53991.29</x:v>
      </x:c>
      <x:c r="AP243" s="24" t="n">
        <x:f>IF($A243="","",G243*F243*AB243*((13-Settings!$B$9)*(1+H243*I243)+J243)*(1+SUM(Settings!$B$11:$B$12)))</x:f>
        <x:v>1096.9956</x:v>
      </x:c>
      <x:c r="AQ243" s="23" t="n">
        <x:f>IF($A243="","",SUM(AO243:AP243))</x:f>
        <x:v>55088.2856</x:v>
      </x:c>
      <x:c r="AR243" s="23" t="n">
        <x:f>IF($A243="","",AQ243-X243)</x:f>
        <x:v>-811.7143999999971</x:v>
      </x:c>
      <x:c r="AS243" s="22" t="n">
        <x:f>IF($A243="","",IF(W243=0,"n.a.",V243/W243))</x:f>
        <x:v>0.043478260869565216</x:v>
      </x:c>
      <x:c r="AT243" s="26" t="str">
        <x:f>IF($A243="",IF(COUNTA(B243:Y243)&gt;0,"Missing ID",""),IF(COUNTIFS($A$9:$A$508,A243)&gt;1,"Duplicate ID",IF(OR(B243="",C243="",D243="",E243="",COUNT(F243:X243)&lt;&gt;19),"Missing / text input",IF(OR(COUNTIFS(Settings!$A$59:$A$64,B243)&lt;&gt;1,COUNTIFS(Settings!$A$29:$A$33,E243)&lt;&gt;1),"Unknown department / grade",IF(OR(F243&lt;=0,F243&gt;1,G243&lt;=0,L243&lt;=0,H243&lt;0,I243&lt;0,J243&lt;0,K243&lt;0,K243&gt;1,MIN(M243:X243)&lt;0,W243=0,V243&gt;W243,M243&gt;W243-V243,P243&gt;8,Q243&gt;4,R243&gt;12,S243&gt;12,T243&gt;1,AB243&lt;0),"Review quantity / rate",IF(OR(N243&gt;Settings!$C$17,AK243&gt;Settings!$C$19),"Review benefit ceiling","OK"))))))</x:f>
        <x:v>OK</x:v>
      </x:c>
    </x:row>
    <x:row r="244" ht="23" customHeight="1">
      <x:c r="A244" s="8" t="str">
        <x:v>BE-0236</x:v>
      </x:c>
      <x:c r="B244" s="8" t="str">
        <x:v>People &amp; Culture</x:v>
      </x:c>
      <x:c r="C244" s="8" t="str">
        <x:v>Antwerp</x:v>
      </x:c>
      <x:c r="D244" s="8" t="str">
        <x:v>Reward specialist</x:v>
      </x:c>
      <x:c r="E244" s="8" t="str">
        <x:v>G3</x:v>
      </x:c>
      <x:c r="F244" s="20" t="n">
        <x:v>1</x:v>
      </x:c>
      <x:c r="G244" s="12" t="n">
        <x:v>3810</x:v>
      </x:c>
      <x:c r="H244" s="21" t="n">
        <x:v>0.08</x:v>
      </x:c>
      <x:c r="I244" s="20" t="n">
        <x:v>1</x:v>
      </x:c>
      <x:c r="J244" s="20" t="n">
        <x:v>1</x:v>
      </x:c>
      <x:c r="K244" s="20" t="n">
        <x:v>1</x:v>
      </x:c>
      <x:c r="L244" s="12" t="n">
        <x:v>3810</x:v>
      </x:c>
      <x:c r="M244" s="8" t="n">
        <x:v>210</x:v>
      </x:c>
      <x:c r="N244" s="12" t="n">
        <x:v>250</x:v>
      </x:c>
      <x:c r="O244" s="8" t="n">
        <x:v>0</x:v>
      </x:c>
      <x:c r="P244" s="8" t="n">
        <x:v>8</x:v>
      </x:c>
      <x:c r="Q244" s="8" t="n">
        <x:v>4</x:v>
      </x:c>
      <x:c r="R244" s="8" t="n">
        <x:v>12</x:v>
      </x:c>
      <x:c r="S244" s="8" t="n">
        <x:v>12</x:v>
      </x:c>
      <x:c r="T244" s="8" t="n">
        <x:v>1</x:v>
      </x:c>
      <x:c r="U244" s="12" t="n">
        <x:v>0</x:v>
      </x:c>
      <x:c r="V244" s="8" t="n">
        <x:v>7</x:v>
      </x:c>
      <x:c r="W244" s="8" t="n">
        <x:v>230</x:v>
      </x:c>
      <x:c r="X244" s="12" t="n">
        <x:v>75000</x:v>
      </x:c>
      <x:c r="Y244" s="21"/>
      <x:c r="Z244" s="24" t="n">
        <x:f>IF($A244="","",INDEX(Settings!$C$29:$C$33,MATCH(E244,Settings!$A$29:$A$33,0)))</x:f>
        <x:v>4200</x:v>
      </x:c>
      <x:c r="AA244" s="22" t="n">
        <x:f>IF($A244="","",G244/Z244)</x:f>
        <x:v>0.9071428571428571</x:v>
      </x:c>
      <x:c r="AB244" s="25" t="n">
        <x:f>IF($A244="","",IF(ISNUMBER(Y244),Y244,Settings!$B$10))</x:f>
        <x:v>0.03</x:v>
      </x:c>
      <x:c r="AC244" s="23" t="n">
        <x:f>IF($A244="","",G244*(1+AB244))</x:f>
        <x:v>3924.3</x:v>
      </x:c>
      <x:c r="AD244" s="23" t="n">
        <x:f>IF($A244="","",G244*F244*12)</x:f>
        <x:v>45720</x:v>
      </x:c>
      <x:c r="AE244" s="23" t="n">
        <x:f>IF($A244="","",G244*F244*J244)</x:f>
        <x:v>3810</x:v>
      </x:c>
      <x:c r="AF244" s="24" t="n">
        <x:f>IF($A244="","",L244*F244*K244*Settings!$B$13)</x:f>
        <x:v>3505.2000000000003</x:v>
      </x:c>
      <x:c r="AG244" s="23" t="n">
        <x:f>IF($A244="","",AD244*H244*I244)</x:f>
        <x:v>3657.6</x:v>
      </x:c>
      <x:c r="AH244" s="24" t="n">
        <x:f>IF($A244="","",SUM(AD244:AE244,AG244)*SUM(Settings!$B$11:$B$12))</x:f>
        <x:v>13296.9</x:v>
      </x:c>
      <x:c r="AI244" s="24" t="n">
        <x:f>IF($A244="","",M244*Settings!$B$16)</x:f>
        <x:v>1871.1000000000001</x:v>
      </x:c>
      <x:c r="AJ244" s="24" t="n">
        <x:f>IF($A244="","",M244*Settings!$B$15)</x:f>
        <x:v>228.9</x:v>
      </x:c>
      <x:c r="AK244" s="24" t="n">
        <x:f>IF($A244="","",O244*Settings!$B$18)</x:f>
        <x:v>0</x:v>
      </x:c>
      <x:c r="AL244" s="24" t="n">
        <x:f>IF($A244="","",P244*Settings!$B$20+Q244*Settings!$B$21+R244*Settings!$B$22+S244*Settings!$B$23)</x:f>
        <x:v>2424.76</x:v>
      </x:c>
      <x:c r="AM244" s="24" t="n">
        <x:f>IF($A244="","",T244*Settings!$B$24)</x:f>
        <x:v>40</x:v>
      </x:c>
      <x:c r="AN244" s="23" t="n">
        <x:f>IF($A244="","",SUM(AI244,N244,AK244:AM244,U244))</x:f>
        <x:v>4585.860000000001</x:v>
      </x:c>
      <x:c r="AO244" s="23" t="n">
        <x:f>IF($A244="","",SUM(AD244:AI244,N244,AK244:AM244,U244))</x:f>
        <x:v>74575.56</x:v>
      </x:c>
      <x:c r="AP244" s="24" t="n">
        <x:f>IF($A244="","",G244*F244*AB244*((13-Settings!$B$9)*(1+H244*I244)+J244)*(1+SUM(Settings!$B$11:$B$12)))</x:f>
        <x:v>1531.6200000000001</x:v>
      </x:c>
      <x:c r="AQ244" s="23" t="n">
        <x:f>IF($A244="","",SUM(AO244:AP244))</x:f>
        <x:v>76107.18</x:v>
      </x:c>
      <x:c r="AR244" s="23" t="n">
        <x:f>IF($A244="","",AQ244-X244)</x:f>
        <x:v>1107.179999999993</x:v>
      </x:c>
      <x:c r="AS244" s="22" t="n">
        <x:f>IF($A244="","",IF(W244=0,"n.a.",V244/W244))</x:f>
        <x:v>0.030434782608695653</x:v>
      </x:c>
      <x:c r="AT244" s="26" t="str">
        <x:f>IF($A244="",IF(COUNTA(B244:Y244)&gt;0,"Missing ID",""),IF(COUNTIFS($A$9:$A$508,A244)&gt;1,"Duplicate ID",IF(OR(B244="",C244="",D244="",E244="",COUNT(F244:X244)&lt;&gt;19),"Missing / text input",IF(OR(COUNTIFS(Settings!$A$59:$A$64,B244)&lt;&gt;1,COUNTIFS(Settings!$A$29:$A$33,E244)&lt;&gt;1),"Unknown department / grade",IF(OR(F244&lt;=0,F244&gt;1,G244&lt;=0,L244&lt;=0,H244&lt;0,I244&lt;0,J244&lt;0,K244&lt;0,K244&gt;1,MIN(M244:X244)&lt;0,W244=0,V244&gt;W244,M244&gt;W244-V244,P244&gt;8,Q244&gt;4,R244&gt;12,S244&gt;12,T244&gt;1,AB244&lt;0),"Review quantity / rate",IF(OR(N244&gt;Settings!$C$17,AK244&gt;Settings!$C$19),"Review benefit ceiling","OK"))))))</x:f>
        <x:v>OK</x:v>
      </x:c>
    </x:row>
    <x:row r="245" ht="23" customHeight="1">
      <x:c r="A245" s="8" t="str">
        <x:v>BE-0237</x:v>
      </x:c>
      <x:c r="B245" s="8" t="str">
        <x:v>Technology</x:v>
      </x:c>
      <x:c r="C245" s="8" t="str">
        <x:v>Ghent</x:v>
      </x:c>
      <x:c r="D245" s="8" t="str">
        <x:v>Senior engineer</x:v>
      </x:c>
      <x:c r="E245" s="8" t="str">
        <x:v>G3</x:v>
      </x:c>
      <x:c r="F245" s="20" t="n">
        <x:v>1</x:v>
      </x:c>
      <x:c r="G245" s="12" t="n">
        <x:v>3870</x:v>
      </x:c>
      <x:c r="H245" s="21" t="n">
        <x:v>0.08</x:v>
      </x:c>
      <x:c r="I245" s="20" t="n">
        <x:v>1.1</x:v>
      </x:c>
      <x:c r="J245" s="20" t="n">
        <x:v>1</x:v>
      </x:c>
      <x:c r="K245" s="20" t="n">
        <x:v>1</x:v>
      </x:c>
      <x:c r="L245" s="12" t="n">
        <x:v>3870</x:v>
      </x:c>
      <x:c r="M245" s="8" t="n">
        <x:v>209</x:v>
      </x:c>
      <x:c r="N245" s="12" t="n">
        <x:v>250</x:v>
      </x:c>
      <x:c r="O245" s="8" t="n">
        <x:v>0</x:v>
      </x:c>
      <x:c r="P245" s="8" t="n">
        <x:v>0</x:v>
      </x:c>
      <x:c r="Q245" s="8" t="n">
        <x:v>0</x:v>
      </x:c>
      <x:c r="R245" s="8" t="n">
        <x:v>0</x:v>
      </x:c>
      <x:c r="S245" s="8" t="n">
        <x:v>0</x:v>
      </x:c>
      <x:c r="T245" s="8" t="n">
        <x:v>1</x:v>
      </x:c>
      <x:c r="U245" s="12" t="n">
        <x:v>0</x:v>
      </x:c>
      <x:c r="V245" s="8" t="n">
        <x:v>8</x:v>
      </x:c>
      <x:c r="W245" s="8" t="n">
        <x:v>230</x:v>
      </x:c>
      <x:c r="X245" s="12" t="n">
        <x:v>76400</x:v>
      </x:c>
      <x:c r="Y245" s="21"/>
      <x:c r="Z245" s="24" t="n">
        <x:f>IF($A245="","",INDEX(Settings!$C$29:$C$33,MATCH(E245,Settings!$A$29:$A$33,0)))</x:f>
        <x:v>4200</x:v>
      </x:c>
      <x:c r="AA245" s="22" t="n">
        <x:f>IF($A245="","",G245/Z245)</x:f>
        <x:v>0.9214285714285714</x:v>
      </x:c>
      <x:c r="AB245" s="25" t="n">
        <x:f>IF($A245="","",IF(ISNUMBER(Y245),Y245,Settings!$B$10))</x:f>
        <x:v>0.03</x:v>
      </x:c>
      <x:c r="AC245" s="23" t="n">
        <x:f>IF($A245="","",G245*(1+AB245))</x:f>
        <x:v>3986.1</x:v>
      </x:c>
      <x:c r="AD245" s="23" t="n">
        <x:f>IF($A245="","",G245*F245*12)</x:f>
        <x:v>46440</x:v>
      </x:c>
      <x:c r="AE245" s="23" t="n">
        <x:f>IF($A245="","",G245*F245*J245)</x:f>
        <x:v>3870</x:v>
      </x:c>
      <x:c r="AF245" s="24" t="n">
        <x:f>IF($A245="","",L245*F245*K245*Settings!$B$13)</x:f>
        <x:v>3560.4</x:v>
      </x:c>
      <x:c r="AG245" s="23" t="n">
        <x:f>IF($A245="","",AD245*H245*I245)</x:f>
        <x:v>4086.7200000000007</x:v>
      </x:c>
      <x:c r="AH245" s="24" t="n">
        <x:f>IF($A245="","",SUM(AD245:AE245,AG245)*SUM(Settings!$B$11:$B$12))</x:f>
        <x:v>13599.18</x:v>
      </x:c>
      <x:c r="AI245" s="24" t="n">
        <x:f>IF($A245="","",M245*Settings!$B$16)</x:f>
        <x:v>1862.19</x:v>
      </x:c>
      <x:c r="AJ245" s="24" t="n">
        <x:f>IF($A245="","",M245*Settings!$B$15)</x:f>
        <x:v>227.81000000000003</x:v>
      </x:c>
      <x:c r="AK245" s="24" t="n">
        <x:f>IF($A245="","",O245*Settings!$B$18)</x:f>
        <x:v>0</x:v>
      </x:c>
      <x:c r="AL245" s="24" t="n">
        <x:f>IF($A245="","",P245*Settings!$B$20+Q245*Settings!$B$21+R245*Settings!$B$22+S245*Settings!$B$23)</x:f>
        <x:v>0</x:v>
      </x:c>
      <x:c r="AM245" s="24" t="n">
        <x:f>IF($A245="","",T245*Settings!$B$24)</x:f>
        <x:v>40</x:v>
      </x:c>
      <x:c r="AN245" s="23" t="n">
        <x:f>IF($A245="","",SUM(AI245,N245,AK245:AM245,U245))</x:f>
        <x:v>2152.19</x:v>
      </x:c>
      <x:c r="AO245" s="23" t="n">
        <x:f>IF($A245="","",SUM(AD245:AI245,N245,AK245:AM245,U245))</x:f>
        <x:v>73708.49</x:v>
      </x:c>
      <x:c r="AP245" s="24" t="n">
        <x:f>IF($A245="","",G245*F245*AB245*((13-Settings!$B$9)*(1+H245*I245)+J245)*(1+SUM(Settings!$B$11:$B$12)))</x:f>
        <x:v>1566.1890000000003</x:v>
      </x:c>
      <x:c r="AQ245" s="23" t="n">
        <x:f>IF($A245="","",SUM(AO245:AP245))</x:f>
        <x:v>75274.679</x:v>
      </x:c>
      <x:c r="AR245" s="23" t="n">
        <x:f>IF($A245="","",AQ245-X245)</x:f>
        <x:v>-1125.3209999999963</x:v>
      </x:c>
      <x:c r="AS245" s="22" t="n">
        <x:f>IF($A245="","",IF(W245=0,"n.a.",V245/W245))</x:f>
        <x:v>0.034782608695652174</x:v>
      </x:c>
      <x:c r="AT245" s="26" t="str">
        <x:f>IF($A245="",IF(COUNTA(B245:Y245)&gt;0,"Missing ID",""),IF(COUNTIFS($A$9:$A$508,A245)&gt;1,"Duplicate ID",IF(OR(B245="",C245="",D245="",E245="",COUNT(F245:X245)&lt;&gt;19),"Missing / text input",IF(OR(COUNTIFS(Settings!$A$59:$A$64,B245)&lt;&gt;1,COUNTIFS(Settings!$A$29:$A$33,E245)&lt;&gt;1),"Unknown department / grade",IF(OR(F245&lt;=0,F245&gt;1,G245&lt;=0,L245&lt;=0,H245&lt;0,I245&lt;0,J245&lt;0,K245&lt;0,K245&gt;1,MIN(M245:X245)&lt;0,W245=0,V245&gt;W245,M245&gt;W245-V245,P245&gt;8,Q245&gt;4,R245&gt;12,S245&gt;12,T245&gt;1,AB245&lt;0),"Review quantity / rate",IF(OR(N245&gt;Settings!$C$17,AK245&gt;Settings!$C$19),"Review benefit ceiling","OK"))))))</x:f>
        <x:v>OK</x:v>
      </x:c>
    </x:row>
    <x:row r="246" ht="23" customHeight="1">
      <x:c r="A246" s="8" t="str">
        <x:v>BE-0238</x:v>
      </x:c>
      <x:c r="B246" s="8" t="str">
        <x:v>Sales</x:v>
      </x:c>
      <x:c r="C246" s="8" t="str">
        <x:v>Brussels</x:v>
      </x:c>
      <x:c r="D246" s="8" t="str">
        <x:v>Sales manager</x:v>
      </x:c>
      <x:c r="E246" s="8" t="str">
        <x:v>G4</x:v>
      </x:c>
      <x:c r="F246" s="20" t="n">
        <x:v>1</x:v>
      </x:c>
      <x:c r="G246" s="12" t="n">
        <x:v>5560</x:v>
      </x:c>
      <x:c r="H246" s="21" t="n">
        <x:v>0.12</x:v>
      </x:c>
      <x:c r="I246" s="20" t="n">
        <x:v>0.8</x:v>
      </x:c>
      <x:c r="J246" s="20" t="n">
        <x:v>1</x:v>
      </x:c>
      <x:c r="K246" s="20" t="n">
        <x:v>1</x:v>
      </x:c>
      <x:c r="L246" s="12" t="n">
        <x:v>5560</x:v>
      </x:c>
      <x:c r="M246" s="8" t="n">
        <x:v>208</x:v>
      </x:c>
      <x:c r="N246" s="12" t="n">
        <x:v>250</x:v>
      </x:c>
      <x:c r="O246" s="8" t="n">
        <x:v>1290</x:v>
      </x:c>
      <x:c r="P246" s="8" t="n">
        <x:v>8</x:v>
      </x:c>
      <x:c r="Q246" s="8" t="n">
        <x:v>4</x:v>
      </x:c>
      <x:c r="R246" s="8" t="n">
        <x:v>12</x:v>
      </x:c>
      <x:c r="S246" s="8" t="n">
        <x:v>0</x:v>
      </x:c>
      <x:c r="T246" s="8" t="n">
        <x:v>1</x:v>
      </x:c>
      <x:c r="U246" s="12" t="n">
        <x:v>0</x:v>
      </x:c>
      <x:c r="V246" s="8" t="n">
        <x:v>9</x:v>
      </x:c>
      <x:c r="W246" s="8" t="n">
        <x:v>230</x:v>
      </x:c>
      <x:c r="X246" s="12" t="n">
        <x:v>112200</x:v>
      </x:c>
      <x:c r="Y246" s="21"/>
      <x:c r="Z246" s="24" t="n">
        <x:f>IF($A246="","",INDEX(Settings!$C$29:$C$33,MATCH(E246,Settings!$A$29:$A$33,0)))</x:f>
        <x:v>5400</x:v>
      </x:c>
      <x:c r="AA246" s="22" t="n">
        <x:f>IF($A246="","",G246/Z246)</x:f>
        <x:v>1.0296296296296297</x:v>
      </x:c>
      <x:c r="AB246" s="25" t="n">
        <x:f>IF($A246="","",IF(ISNUMBER(Y246),Y246,Settings!$B$10))</x:f>
        <x:v>0.03</x:v>
      </x:c>
      <x:c r="AC246" s="23" t="n">
        <x:f>IF($A246="","",G246*(1+AB246))</x:f>
        <x:v>5726.8</x:v>
      </x:c>
      <x:c r="AD246" s="23" t="n">
        <x:f>IF($A246="","",G246*F246*12)</x:f>
        <x:v>66720</x:v>
      </x:c>
      <x:c r="AE246" s="23" t="n">
        <x:f>IF($A246="","",G246*F246*J246)</x:f>
        <x:v>5560</x:v>
      </x:c>
      <x:c r="AF246" s="24" t="n">
        <x:f>IF($A246="","",L246*F246*K246*Settings!$B$13)</x:f>
        <x:v>5115.2</x:v>
      </x:c>
      <x:c r="AG246" s="23" t="n">
        <x:f>IF($A246="","",AD246*H246*I246)</x:f>
        <x:v>6405.12</x:v>
      </x:c>
      <x:c r="AH246" s="24" t="n">
        <x:f>IF($A246="","",SUM(AD246:AE246,AG246)*SUM(Settings!$B$11:$B$12))</x:f>
        <x:v>19671.28</x:v>
      </x:c>
      <x:c r="AI246" s="24" t="n">
        <x:f>IF($A246="","",M246*Settings!$B$16)</x:f>
        <x:v>1853.28</x:v>
      </x:c>
      <x:c r="AJ246" s="24" t="n">
        <x:f>IF($A246="","",M246*Settings!$B$15)</x:f>
        <x:v>226.72000000000003</x:v>
      </x:c>
      <x:c r="AK246" s="24" t="n">
        <x:f>IF($A246="","",O246*Settings!$B$18)</x:f>
        <x:v>477.3</x:v>
      </x:c>
      <x:c r="AL246" s="24" t="n">
        <x:f>IF($A246="","",P246*Settings!$B$20+Q246*Settings!$B$21+R246*Settings!$B$22+S246*Settings!$B$23)</x:f>
        <x:v>2184.76</x:v>
      </x:c>
      <x:c r="AM246" s="24" t="n">
        <x:f>IF($A246="","",T246*Settings!$B$24)</x:f>
        <x:v>40</x:v>
      </x:c>
      <x:c r="AN246" s="23" t="n">
        <x:f>IF($A246="","",SUM(AI246,N246,AK246:AM246,U246))</x:f>
        <x:v>4805.34</x:v>
      </x:c>
      <x:c r="AO246" s="23" t="n">
        <x:f>IF($A246="","",SUM(AD246:AI246,N246,AK246:AM246,U246))</x:f>
        <x:v>108276.93999999999</x:v>
      </x:c>
      <x:c r="AP246" s="24" t="n">
        <x:f>IF($A246="","",G246*F246*AB246*((13-Settings!$B$9)*(1+H246*I246)+J246)*(1+SUM(Settings!$B$11:$B$12)))</x:f>
        <x:v>2265.144</x:v>
      </x:c>
      <x:c r="AQ246" s="23" t="n">
        <x:f>IF($A246="","",SUM(AO246:AP246))</x:f>
        <x:v>110542.08399999999</x:v>
      </x:c>
      <x:c r="AR246" s="23" t="n">
        <x:f>IF($A246="","",AQ246-X246)</x:f>
        <x:v>-1657.916000000012</x:v>
      </x:c>
      <x:c r="AS246" s="22" t="n">
        <x:f>IF($A246="","",IF(W246=0,"n.a.",V246/W246))</x:f>
        <x:v>0.0391304347826087</x:v>
      </x:c>
      <x:c r="AT246" s="26" t="str">
        <x:f>IF($A246="",IF(COUNTA(B246:Y246)&gt;0,"Missing ID",""),IF(COUNTIFS($A$9:$A$508,A246)&gt;1,"Duplicate ID",IF(OR(B246="",C246="",D246="",E246="",COUNT(F246:X246)&lt;&gt;19),"Missing / text input",IF(OR(COUNTIFS(Settings!$A$59:$A$64,B246)&lt;&gt;1,COUNTIFS(Settings!$A$29:$A$33,E246)&lt;&gt;1),"Unknown department / grade",IF(OR(F246&lt;=0,F246&gt;1,G246&lt;=0,L246&lt;=0,H246&lt;0,I246&lt;0,J246&lt;0,K246&lt;0,K246&gt;1,MIN(M246:X246)&lt;0,W246=0,V246&gt;W246,M246&gt;W246-V246,P246&gt;8,Q246&gt;4,R246&gt;12,S246&gt;12,T246&gt;1,AB246&lt;0),"Review quantity / rate",IF(OR(N246&gt;Settings!$C$17,AK246&gt;Settings!$C$19),"Review benefit ceiling","OK"))))))</x:f>
        <x:v>OK</x:v>
      </x:c>
    </x:row>
    <x:row r="247" ht="23" customHeight="1">
      <x:c r="A247" s="8" t="str">
        <x:v>BE-0239</x:v>
      </x:c>
      <x:c r="B247" s="8" t="str">
        <x:v>Customer Operations</x:v>
      </x:c>
      <x:c r="C247" s="8" t="str">
        <x:v>Antwerp</x:v>
      </x:c>
      <x:c r="D247" s="8" t="str">
        <x:v>Service manager</x:v>
      </x:c>
      <x:c r="E247" s="8" t="str">
        <x:v>G4</x:v>
      </x:c>
      <x:c r="F247" s="20" t="n">
        <x:v>0.8</x:v>
      </x:c>
      <x:c r="G247" s="12" t="n">
        <x:v>5060</x:v>
      </x:c>
      <x:c r="H247" s="21" t="n">
        <x:v>0.12</x:v>
      </x:c>
      <x:c r="I247" s="20" t="n">
        <x:v>1</x:v>
      </x:c>
      <x:c r="J247" s="20" t="n">
        <x:v>1</x:v>
      </x:c>
      <x:c r="K247" s="20" t="n">
        <x:v>1</x:v>
      </x:c>
      <x:c r="L247" s="12" t="n">
        <x:v>5060</x:v>
      </x:c>
      <x:c r="M247" s="8" t="n">
        <x:v>171</x:v>
      </x:c>
      <x:c r="N247" s="12" t="n">
        <x:v>200</x:v>
      </x:c>
      <x:c r="O247" s="8" t="n">
        <x:v>0</x:v>
      </x:c>
      <x:c r="P247" s="8" t="n">
        <x:v>8</x:v>
      </x:c>
      <x:c r="Q247" s="8" t="n">
        <x:v>4</x:v>
      </x:c>
      <x:c r="R247" s="8" t="n">
        <x:v>12</x:v>
      </x:c>
      <x:c r="S247" s="8" t="n">
        <x:v>0</x:v>
      </x:c>
      <x:c r="T247" s="8" t="n">
        <x:v>1</x:v>
      </x:c>
      <x:c r="U247" s="12" t="n">
        <x:v>0</x:v>
      </x:c>
      <x:c r="V247" s="8" t="n">
        <x:v>10</x:v>
      </x:c>
      <x:c r="W247" s="8" t="n">
        <x:v>184</x:v>
      </x:c>
      <x:c r="X247" s="12" t="n">
        <x:v>83700</x:v>
      </x:c>
      <x:c r="Y247" s="21"/>
      <x:c r="Z247" s="24" t="n">
        <x:f>IF($A247="","",INDEX(Settings!$C$29:$C$33,MATCH(E247,Settings!$A$29:$A$33,0)))</x:f>
        <x:v>5400</x:v>
      </x:c>
      <x:c r="AA247" s="22" t="n">
        <x:f>IF($A247="","",G247/Z247)</x:f>
        <x:v>0.937037037037037</x:v>
      </x:c>
      <x:c r="AB247" s="25" t="n">
        <x:f>IF($A247="","",IF(ISNUMBER(Y247),Y247,Settings!$B$10))</x:f>
        <x:v>0.03</x:v>
      </x:c>
      <x:c r="AC247" s="23" t="n">
        <x:f>IF($A247="","",G247*(1+AB247))</x:f>
        <x:v>5211.8</x:v>
      </x:c>
      <x:c r="AD247" s="23" t="n">
        <x:f>IF($A247="","",G247*F247*12)</x:f>
        <x:v>48576</x:v>
      </x:c>
      <x:c r="AE247" s="23" t="n">
        <x:f>IF($A247="","",G247*F247*J247)</x:f>
        <x:v>4048</x:v>
      </x:c>
      <x:c r="AF247" s="24" t="n">
        <x:f>IF($A247="","",L247*F247*K247*Settings!$B$13)</x:f>
        <x:v>3724.1600000000003</x:v>
      </x:c>
      <x:c r="AG247" s="23" t="n">
        <x:f>IF($A247="","",AD247*H247*I247)</x:f>
        <x:v>5829.12</x:v>
      </x:c>
      <x:c r="AH247" s="24" t="n">
        <x:f>IF($A247="","",SUM(AD247:AE247,AG247)*SUM(Settings!$B$11:$B$12))</x:f>
        <x:v>14613.28</x:v>
      </x:c>
      <x:c r="AI247" s="24" t="n">
        <x:f>IF($A247="","",M247*Settings!$B$16)</x:f>
        <x:v>1523.6100000000001</x:v>
      </x:c>
      <x:c r="AJ247" s="24" t="n">
        <x:f>IF($A247="","",M247*Settings!$B$15)</x:f>
        <x:v>186.39000000000001</x:v>
      </x:c>
      <x:c r="AK247" s="24" t="n">
        <x:f>IF($A247="","",O247*Settings!$B$18)</x:f>
        <x:v>0</x:v>
      </x:c>
      <x:c r="AL247" s="24" t="n">
        <x:f>IF($A247="","",P247*Settings!$B$20+Q247*Settings!$B$21+R247*Settings!$B$22+S247*Settings!$B$23)</x:f>
        <x:v>2184.76</x:v>
      </x:c>
      <x:c r="AM247" s="24" t="n">
        <x:f>IF($A247="","",T247*Settings!$B$24)</x:f>
        <x:v>40</x:v>
      </x:c>
      <x:c r="AN247" s="23" t="n">
        <x:f>IF($A247="","",SUM(AI247,N247,AK247:AM247,U247))</x:f>
        <x:v>3948.3700000000003</x:v>
      </x:c>
      <x:c r="AO247" s="23" t="n">
        <x:f>IF($A247="","",SUM(AD247:AI247,N247,AK247:AM247,U247))</x:f>
        <x:v>80738.93000000001</x:v>
      </x:c>
      <x:c r="AP247" s="24" t="n">
        <x:f>IF($A247="","",G247*F247*AB247*((13-Settings!$B$9)*(1+H247*I247)+J247)*(1+SUM(Settings!$B$11:$B$12)))</x:f>
        <x:v>1681.9440000000004</x:v>
      </x:c>
      <x:c r="AQ247" s="23" t="n">
        <x:f>IF($A247="","",SUM(AO247:AP247))</x:f>
        <x:v>82420.87400000001</x:v>
      </x:c>
      <x:c r="AR247" s="23" t="n">
        <x:f>IF($A247="","",AQ247-X247)</x:f>
        <x:v>-1279.1259999999893</x:v>
      </x:c>
      <x:c r="AS247" s="22" t="n">
        <x:f>IF($A247="","",IF(W247=0,"n.a.",V247/W247))</x:f>
        <x:v>0.05434782608695652</x:v>
      </x:c>
      <x:c r="AT247" s="26" t="str">
        <x:f>IF($A247="",IF(COUNTA(B247:Y247)&gt;0,"Missing ID",""),IF(COUNTIFS($A$9:$A$508,A247)&gt;1,"Duplicate ID",IF(OR(B247="",C247="",D247="",E247="",COUNT(F247:X247)&lt;&gt;19),"Missing / text input",IF(OR(COUNTIFS(Settings!$A$59:$A$64,B247)&lt;&gt;1,COUNTIFS(Settings!$A$29:$A$33,E247)&lt;&gt;1),"Unknown department / grade",IF(OR(F247&lt;=0,F247&gt;1,G247&lt;=0,L247&lt;=0,H247&lt;0,I247&lt;0,J247&lt;0,K247&lt;0,K247&gt;1,MIN(M247:X247)&lt;0,W247=0,V247&gt;W247,M247&gt;W247-V247,P247&gt;8,Q247&gt;4,R247&gt;12,S247&gt;12,T247&gt;1,AB247&lt;0),"Review quantity / rate",IF(OR(N247&gt;Settings!$C$17,AK247&gt;Settings!$C$19),"Review benefit ceiling","OK"))))))</x:f>
        <x:v>OK</x:v>
      </x:c>
    </x:row>
    <x:row r="248" ht="23" customHeight="1">
      <x:c r="A248" s="8" t="str">
        <x:v>BE-0240</x:v>
      </x:c>
      <x:c r="B248" s="8" t="str">
        <x:v>Business Support</x:v>
      </x:c>
      <x:c r="C248" s="8" t="str">
        <x:v>Ghent</x:v>
      </x:c>
      <x:c r="D248" s="8" t="str">
        <x:v>Head of Support</x:v>
      </x:c>
      <x:c r="E248" s="8" t="str">
        <x:v>G5</x:v>
      </x:c>
      <x:c r="F248" s="20" t="n">
        <x:v>1</x:v>
      </x:c>
      <x:c r="G248" s="12" t="n">
        <x:v>8190</x:v>
      </x:c>
      <x:c r="H248" s="21" t="n">
        <x:v>0.18</x:v>
      </x:c>
      <x:c r="I248" s="20" t="n">
        <x:v>1.1</x:v>
      </x:c>
      <x:c r="J248" s="20" t="n">
        <x:v>1</x:v>
      </x:c>
      <x:c r="K248" s="20" t="n">
        <x:v>1</x:v>
      </x:c>
      <x:c r="L248" s="12" t="n">
        <x:v>8190</x:v>
      </x:c>
      <x:c r="M248" s="8" t="n">
        <x:v>213</x:v>
      </x:c>
      <x:c r="N248" s="12" t="n">
        <x:v>250</x:v>
      </x:c>
      <x:c r="O248" s="8" t="n">
        <x:v>0</x:v>
      </x:c>
      <x:c r="P248" s="8" t="n">
        <x:v>8</x:v>
      </x:c>
      <x:c r="Q248" s="8" t="n">
        <x:v>4</x:v>
      </x:c>
      <x:c r="R248" s="8" t="n">
        <x:v>12</x:v>
      </x:c>
      <x:c r="S248" s="8" t="n">
        <x:v>0</x:v>
      </x:c>
      <x:c r="T248" s="8" t="n">
        <x:v>1</x:v>
      </x:c>
      <x:c r="U248" s="12" t="n">
        <x:v>0</x:v>
      </x:c>
      <x:c r="V248" s="8" t="n">
        <x:v>11</x:v>
      </x:c>
      <x:c r="W248" s="8" t="n">
        <x:v>230</x:v>
      </x:c>
      <x:c r="X248" s="12" t="n">
        <x:v>175500</x:v>
      </x:c>
      <x:c r="Y248" s="21"/>
      <x:c r="Z248" s="24" t="n">
        <x:f>IF($A248="","",INDEX(Settings!$C$29:$C$33,MATCH(E248,Settings!$A$29:$A$33,0)))</x:f>
        <x:v>7500</x:v>
      </x:c>
      <x:c r="AA248" s="22" t="n">
        <x:f>IF($A248="","",G248/Z248)</x:f>
        <x:v>1.092</x:v>
      </x:c>
      <x:c r="AB248" s="25" t="n">
        <x:f>IF($A248="","",IF(ISNUMBER(Y248),Y248,Settings!$B$10))</x:f>
        <x:v>0.03</x:v>
      </x:c>
      <x:c r="AC248" s="23" t="n">
        <x:f>IF($A248="","",G248*(1+AB248))</x:f>
        <x:v>8435.7</x:v>
      </x:c>
      <x:c r="AD248" s="23" t="n">
        <x:f>IF($A248="","",G248*F248*12)</x:f>
        <x:v>98280</x:v>
      </x:c>
      <x:c r="AE248" s="23" t="n">
        <x:f>IF($A248="","",G248*F248*J248)</x:f>
        <x:v>8190</x:v>
      </x:c>
      <x:c r="AF248" s="24" t="n">
        <x:f>IF($A248="","",L248*F248*K248*Settings!$B$13)</x:f>
        <x:v>7534.8</x:v>
      </x:c>
      <x:c r="AG248" s="23" t="n">
        <x:f>IF($A248="","",AD248*H248*I248)</x:f>
        <x:v>19459.44</x:v>
      </x:c>
      <x:c r="AH248" s="24" t="n">
        <x:f>IF($A248="","",SUM(AD248:AE248,AG248)*SUM(Settings!$B$11:$B$12))</x:f>
        <x:v>31482.36</x:v>
      </x:c>
      <x:c r="AI248" s="24" t="n">
        <x:f>IF($A248="","",M248*Settings!$B$16)</x:f>
        <x:v>1897.83</x:v>
      </x:c>
      <x:c r="AJ248" s="24" t="n">
        <x:f>IF($A248="","",M248*Settings!$B$15)</x:f>
        <x:v>232.17000000000002</x:v>
      </x:c>
      <x:c r="AK248" s="24" t="n">
        <x:f>IF($A248="","",O248*Settings!$B$18)</x:f>
        <x:v>0</x:v>
      </x:c>
      <x:c r="AL248" s="24" t="n">
        <x:f>IF($A248="","",P248*Settings!$B$20+Q248*Settings!$B$21+R248*Settings!$B$22+S248*Settings!$B$23)</x:f>
        <x:v>2184.76</x:v>
      </x:c>
      <x:c r="AM248" s="24" t="n">
        <x:f>IF($A248="","",T248*Settings!$B$24)</x:f>
        <x:v>40</x:v>
      </x:c>
      <x:c r="AN248" s="23" t="n">
        <x:f>IF($A248="","",SUM(AI248,N248,AK248:AM248,U248))</x:f>
        <x:v>4372.59</x:v>
      </x:c>
      <x:c r="AO248" s="23" t="n">
        <x:f>IF($A248="","",SUM(AD248:AI248,N248,AK248:AM248,U248))</x:f>
        <x:v>169319.18999999997</x:v>
      </x:c>
      <x:c r="AP248" s="24" t="n">
        <x:f>IF($A248="","",G248*F248*AB248*((13-Settings!$B$9)*(1+H248*I248)+J248)*(1+SUM(Settings!$B$11:$B$12)))</x:f>
        <x:v>3618.54675</x:v>
      </x:c>
      <x:c r="AQ248" s="23" t="n">
        <x:f>IF($A248="","",SUM(AO248:AP248))</x:f>
        <x:v>172937.73674999998</x:v>
      </x:c>
      <x:c r="AR248" s="23" t="n">
        <x:f>IF($A248="","",AQ248-X248)</x:f>
        <x:v>-2562.263250000018</x:v>
      </x:c>
      <x:c r="AS248" s="22" t="n">
        <x:f>IF($A248="","",IF(W248=0,"n.a.",V248/W248))</x:f>
        <x:v>0.04782608695652174</x:v>
      </x:c>
      <x:c r="AT248" s="26" t="str">
        <x:f>IF($A248="",IF(COUNTA(B248:Y248)&gt;0,"Missing ID",""),IF(COUNTIFS($A$9:$A$508,A248)&gt;1,"Duplicate ID",IF(OR(B248="",C248="",D248="",E248="",COUNT(F248:X248)&lt;&gt;19),"Missing / text input",IF(OR(COUNTIFS(Settings!$A$59:$A$64,B248)&lt;&gt;1,COUNTIFS(Settings!$A$29:$A$33,E248)&lt;&gt;1),"Unknown department / grade",IF(OR(F248&lt;=0,F248&gt;1,G248&lt;=0,L248&lt;=0,H248&lt;0,I248&lt;0,J248&lt;0,K248&lt;0,K248&gt;1,MIN(M248:X248)&lt;0,W248=0,V248&gt;W248,M248&gt;W248-V248,P248&gt;8,Q248&gt;4,R248&gt;12,S248&gt;12,T248&gt;1,AB248&lt;0),"Review quantity / rate",IF(OR(N248&gt;Settings!$C$17,AK248&gt;Settings!$C$19),"Review benefit ceiling","OK"))))))</x:f>
        <x:v>OK</x:v>
      </x:c>
    </x:row>
    <x:row r="249" ht="23" customHeight="1">
      <x:c r="A249" s="8" t="str">
        <x:v>BE-0241</x:v>
      </x:c>
      <x:c r="B249" s="8" t="str">
        <x:v>Finance</x:v>
      </x:c>
      <x:c r="C249" s="8" t="str">
        <x:v>Brussels</x:v>
      </x:c>
      <x:c r="D249" s="8" t="str">
        <x:v>Finance administrator</x:v>
      </x:c>
      <x:c r="E249" s="8" t="str">
        <x:v>G1</x:v>
      </x:c>
      <x:c r="F249" s="20" t="n">
        <x:v>1</x:v>
      </x:c>
      <x:c r="G249" s="12" t="n">
        <x:v>2840</x:v>
      </x:c>
      <x:c r="H249" s="21" t="n">
        <x:v>0.03</x:v>
      </x:c>
      <x:c r="I249" s="20" t="n">
        <x:v>0.8</x:v>
      </x:c>
      <x:c r="J249" s="20" t="n">
        <x:v>1</x:v>
      </x:c>
      <x:c r="K249" s="20" t="n">
        <x:v>1</x:v>
      </x:c>
      <x:c r="L249" s="12" t="n">
        <x:v>2840</x:v>
      </x:c>
      <x:c r="M249" s="8" t="n">
        <x:v>212</x:v>
      </x:c>
      <x:c r="N249" s="12" t="n">
        <x:v>250</x:v>
      </x:c>
      <x:c r="O249" s="8" t="n">
        <x:v>1620</x:v>
      </x:c>
      <x:c r="P249" s="8" t="n">
        <x:v>0</x:v>
      </x:c>
      <x:c r="Q249" s="8" t="n">
        <x:v>0</x:v>
      </x:c>
      <x:c r="R249" s="8" t="n">
        <x:v>0</x:v>
      </x:c>
      <x:c r="S249" s="8" t="n">
        <x:v>0</x:v>
      </x:c>
      <x:c r="T249" s="8" t="n">
        <x:v>1</x:v>
      </x:c>
      <x:c r="U249" s="12" t="n">
        <x:v>0</x:v>
      </x:c>
      <x:c r="V249" s="8" t="n">
        <x:v>0</x:v>
      </x:c>
      <x:c r="W249" s="8" t="n">
        <x:v>230</x:v>
      </x:c>
      <x:c r="X249" s="12" t="n">
        <x:v>52800</x:v>
      </x:c>
      <x:c r="Y249" s="21"/>
      <x:c r="Z249" s="24" t="n">
        <x:f>IF($A249="","",INDEX(Settings!$C$29:$C$33,MATCH(E249,Settings!$A$29:$A$33,0)))</x:f>
        <x:v>2700</x:v>
      </x:c>
      <x:c r="AA249" s="22" t="n">
        <x:f>IF($A249="","",G249/Z249)</x:f>
        <x:v>1.0518518518518518</x:v>
      </x:c>
      <x:c r="AB249" s="25" t="n">
        <x:f>IF($A249="","",IF(ISNUMBER(Y249),Y249,Settings!$B$10))</x:f>
        <x:v>0.03</x:v>
      </x:c>
      <x:c r="AC249" s="23" t="n">
        <x:f>IF($A249="","",G249*(1+AB249))</x:f>
        <x:v>2925.2000000000003</x:v>
      </x:c>
      <x:c r="AD249" s="23" t="n">
        <x:f>IF($A249="","",G249*F249*12)</x:f>
        <x:v>34080</x:v>
      </x:c>
      <x:c r="AE249" s="23" t="n">
        <x:f>IF($A249="","",G249*F249*J249)</x:f>
        <x:v>2840</x:v>
      </x:c>
      <x:c r="AF249" s="24" t="n">
        <x:f>IF($A249="","",L249*F249*K249*Settings!$B$13)</x:f>
        <x:v>2612.8</x:v>
      </x:c>
      <x:c r="AG249" s="23" t="n">
        <x:f>IF($A249="","",AD249*H249*I249)</x:f>
        <x:v>817.9200000000001</x:v>
      </x:c>
      <x:c r="AH249" s="24" t="n">
        <x:f>IF($A249="","",SUM(AD249:AE249,AG249)*SUM(Settings!$B$11:$B$12))</x:f>
        <x:v>9434.48</x:v>
      </x:c>
      <x:c r="AI249" s="24" t="n">
        <x:f>IF($A249="","",M249*Settings!$B$16)</x:f>
        <x:v>1888.92</x:v>
      </x:c>
      <x:c r="AJ249" s="24" t="n">
        <x:f>IF($A249="","",M249*Settings!$B$15)</x:f>
        <x:v>231.08</x:v>
      </x:c>
      <x:c r="AK249" s="24" t="n">
        <x:f>IF($A249="","",O249*Settings!$B$18)</x:f>
        <x:v>599.4</x:v>
      </x:c>
      <x:c r="AL249" s="24" t="n">
        <x:f>IF($A249="","",P249*Settings!$B$20+Q249*Settings!$B$21+R249*Settings!$B$22+S249*Settings!$B$23)</x:f>
        <x:v>0</x:v>
      </x:c>
      <x:c r="AM249" s="24" t="n">
        <x:f>IF($A249="","",T249*Settings!$B$24)</x:f>
        <x:v>40</x:v>
      </x:c>
      <x:c r="AN249" s="23" t="n">
        <x:f>IF($A249="","",SUM(AI249,N249,AK249:AM249,U249))</x:f>
        <x:v>2778.32</x:v>
      </x:c>
      <x:c r="AO249" s="23" t="n">
        <x:f>IF($A249="","",SUM(AD249:AI249,N249,AK249:AM249,U249))</x:f>
        <x:v>52563.52</x:v>
      </x:c>
      <x:c r="AP249" s="24" t="n">
        <x:f>IF($A249="","",G249*F249*AB249*((13-Settings!$B$9)*(1+H249*I249)+J249)*(1+SUM(Settings!$B$11:$B$12)))</x:f>
        <x:v>1088.0040000000001</x:v>
      </x:c>
      <x:c r="AQ249" s="23" t="n">
        <x:f>IF($A249="","",SUM(AO249:AP249))</x:f>
        <x:v>53651.524</x:v>
      </x:c>
      <x:c r="AR249" s="23" t="n">
        <x:f>IF($A249="","",AQ249-X249)</x:f>
        <x:v>851.5239999999976</x:v>
      </x:c>
      <x:c r="AS249" s="22" t="n">
        <x:f>IF($A249="","",IF(W249=0,"n.a.",V249/W249))</x:f>
        <x:v>0</x:v>
      </x:c>
      <x:c r="AT249" s="26" t="str">
        <x:f>IF($A249="",IF(COUNTA(B249:Y249)&gt;0,"Missing ID",""),IF(COUNTIFS($A$9:$A$508,A249)&gt;1,"Duplicate ID",IF(OR(B249="",C249="",D249="",E249="",COUNT(F249:X249)&lt;&gt;19),"Missing / text input",IF(OR(COUNTIFS(Settings!$A$59:$A$64,B249)&lt;&gt;1,COUNTIFS(Settings!$A$29:$A$33,E249)&lt;&gt;1),"Unknown department / grade",IF(OR(F249&lt;=0,F249&gt;1,G249&lt;=0,L249&lt;=0,H249&lt;0,I249&lt;0,J249&lt;0,K249&lt;0,K249&gt;1,MIN(M249:X249)&lt;0,W249=0,V249&gt;W249,M249&gt;W249-V249,P249&gt;8,Q249&gt;4,R249&gt;12,S249&gt;12,T249&gt;1,AB249&lt;0),"Review quantity / rate",IF(OR(N249&gt;Settings!$C$17,AK249&gt;Settings!$C$19),"Review benefit ceiling","OK"))))))</x:f>
        <x:v>OK</x:v>
      </x:c>
    </x:row>
    <x:row r="250" ht="23" customHeight="1">
      <x:c r="A250" s="8" t="str">
        <x:v>BE-0242</x:v>
      </x:c>
      <x:c r="B250" s="8" t="str">
        <x:v>People &amp; Culture</x:v>
      </x:c>
      <x:c r="C250" s="8" t="str">
        <x:v>Antwerp</x:v>
      </x:c>
      <x:c r="D250" s="8" t="str">
        <x:v>HR administrator</x:v>
      </x:c>
      <x:c r="E250" s="8" t="str">
        <x:v>G1</x:v>
      </x:c>
      <x:c r="F250" s="20" t="n">
        <x:v>1</x:v>
      </x:c>
      <x:c r="G250" s="12" t="n">
        <x:v>2440</x:v>
      </x:c>
      <x:c r="H250" s="21" t="n">
        <x:v>0.03</x:v>
      </x:c>
      <x:c r="I250" s="20" t="n">
        <x:v>1</x:v>
      </x:c>
      <x:c r="J250" s="20" t="n">
        <x:v>1</x:v>
      </x:c>
      <x:c r="K250" s="20" t="n">
        <x:v>1</x:v>
      </x:c>
      <x:c r="L250" s="12" t="n">
        <x:v>2440</x:v>
      </x:c>
      <x:c r="M250" s="8" t="n">
        <x:v>211</x:v>
      </x:c>
      <x:c r="N250" s="12" t="n">
        <x:v>250</x:v>
      </x:c>
      <x:c r="O250" s="8" t="n">
        <x:v>0</x:v>
      </x:c>
      <x:c r="P250" s="8" t="n">
        <x:v>8</x:v>
      </x:c>
      <x:c r="Q250" s="8" t="n">
        <x:v>4</x:v>
      </x:c>
      <x:c r="R250" s="8" t="n">
        <x:v>12</x:v>
      </x:c>
      <x:c r="S250" s="8" t="n">
        <x:v>0</x:v>
      </x:c>
      <x:c r="T250" s="8" t="n">
        <x:v>1</x:v>
      </x:c>
      <x:c r="U250" s="12" t="n">
        <x:v>0</x:v>
      </x:c>
      <x:c r="V250" s="8" t="n">
        <x:v>1</x:v>
      </x:c>
      <x:c r="W250" s="8" t="n">
        <x:v>230</x:v>
      </x:c>
      <x:c r="X250" s="12" t="n">
        <x:v>49000</x:v>
      </x:c>
      <x:c r="Y250" s="21"/>
      <x:c r="Z250" s="24" t="n">
        <x:f>IF($A250="","",INDEX(Settings!$C$29:$C$33,MATCH(E250,Settings!$A$29:$A$33,0)))</x:f>
        <x:v>2700</x:v>
      </x:c>
      <x:c r="AA250" s="22" t="n">
        <x:f>IF($A250="","",G250/Z250)</x:f>
        <x:v>0.9037037037037037</x:v>
      </x:c>
      <x:c r="AB250" s="25" t="n">
        <x:f>IF($A250="","",IF(ISNUMBER(Y250),Y250,Settings!$B$10))</x:f>
        <x:v>0.03</x:v>
      </x:c>
      <x:c r="AC250" s="23" t="n">
        <x:f>IF($A250="","",G250*(1+AB250))</x:f>
        <x:v>2513.2000000000003</x:v>
      </x:c>
      <x:c r="AD250" s="23" t="n">
        <x:f>IF($A250="","",G250*F250*12)</x:f>
        <x:v>29280</x:v>
      </x:c>
      <x:c r="AE250" s="23" t="n">
        <x:f>IF($A250="","",G250*F250*J250)</x:f>
        <x:v>2440</x:v>
      </x:c>
      <x:c r="AF250" s="24" t="n">
        <x:f>IF($A250="","",L250*F250*K250*Settings!$B$13)</x:f>
        <x:v>2244.8</x:v>
      </x:c>
      <x:c r="AG250" s="23" t="n">
        <x:f>IF($A250="","",AD250*H250*I250)</x:f>
        <x:v>878.4</x:v>
      </x:c>
      <x:c r="AH250" s="24" t="n">
        <x:f>IF($A250="","",SUM(AD250:AE250,AG250)*SUM(Settings!$B$11:$B$12))</x:f>
        <x:v>8149.6</x:v>
      </x:c>
      <x:c r="AI250" s="24" t="n">
        <x:f>IF($A250="","",M250*Settings!$B$16)</x:f>
        <x:v>1880.01</x:v>
      </x:c>
      <x:c r="AJ250" s="24" t="n">
        <x:f>IF($A250="","",M250*Settings!$B$15)</x:f>
        <x:v>229.99</x:v>
      </x:c>
      <x:c r="AK250" s="24" t="n">
        <x:f>IF($A250="","",O250*Settings!$B$18)</x:f>
        <x:v>0</x:v>
      </x:c>
      <x:c r="AL250" s="24" t="n">
        <x:f>IF($A250="","",P250*Settings!$B$20+Q250*Settings!$B$21+R250*Settings!$B$22+S250*Settings!$B$23)</x:f>
        <x:v>2184.76</x:v>
      </x:c>
      <x:c r="AM250" s="24" t="n">
        <x:f>IF($A250="","",T250*Settings!$B$24)</x:f>
        <x:v>40</x:v>
      </x:c>
      <x:c r="AN250" s="23" t="n">
        <x:f>IF($A250="","",SUM(AI250,N250,AK250:AM250,U250))</x:f>
        <x:v>4354.77</x:v>
      </x:c>
      <x:c r="AO250" s="23" t="n">
        <x:f>IF($A250="","",SUM(AD250:AI250,N250,AK250:AM250,U250))</x:f>
        <x:v>47347.57000000001</x:v>
      </x:c>
      <x:c r="AP250" s="24" t="n">
        <x:f>IF($A250="","",G250*F250*AB250*((13-Settings!$B$9)*(1+H250*I250)+J250)*(1+SUM(Settings!$B$11:$B$12)))</x:f>
        <x:v>939.705</x:v>
      </x:c>
      <x:c r="AQ250" s="23" t="n">
        <x:f>IF($A250="","",SUM(AO250:AP250))</x:f>
        <x:v>48287.27500000001</x:v>
      </x:c>
      <x:c r="AR250" s="23" t="n">
        <x:f>IF($A250="","",AQ250-X250)</x:f>
        <x:v>-712.7249999999913</x:v>
      </x:c>
      <x:c r="AS250" s="22" t="n">
        <x:f>IF($A250="","",IF(W250=0,"n.a.",V250/W250))</x:f>
        <x:v>0.004347826086956522</x:v>
      </x:c>
      <x:c r="AT250" s="26" t="str">
        <x:f>IF($A250="",IF(COUNTA(B250:Y250)&gt;0,"Missing ID",""),IF(COUNTIFS($A$9:$A$508,A250)&gt;1,"Duplicate ID",IF(OR(B250="",C250="",D250="",E250="",COUNT(F250:X250)&lt;&gt;19),"Missing / text input",IF(OR(COUNTIFS(Settings!$A$59:$A$64,B250)&lt;&gt;1,COUNTIFS(Settings!$A$29:$A$33,E250)&lt;&gt;1),"Unknown department / grade",IF(OR(F250&lt;=0,F250&gt;1,G250&lt;=0,L250&lt;=0,H250&lt;0,I250&lt;0,J250&lt;0,K250&lt;0,K250&gt;1,MIN(M250:X250)&lt;0,W250=0,V250&gt;W250,M250&gt;W250-V250,P250&gt;8,Q250&gt;4,R250&gt;12,S250&gt;12,T250&gt;1,AB250&lt;0),"Review quantity / rate",IF(OR(N250&gt;Settings!$C$17,AK250&gt;Settings!$C$19),"Review benefit ceiling","OK"))))))</x:f>
        <x:v>OK</x:v>
      </x:c>
    </x:row>
    <x:row r="251" ht="23" customHeight="1">
      <x:c r="A251" s="8" t="str">
        <x:v>BE-0243</x:v>
      </x:c>
      <x:c r="B251" s="8" t="str">
        <x:v>Technology</x:v>
      </x:c>
      <x:c r="C251" s="8" t="str">
        <x:v>Ghent</x:v>
      </x:c>
      <x:c r="D251" s="8" t="str">
        <x:v>IT coordinator</x:v>
      </x:c>
      <x:c r="E251" s="8" t="str">
        <x:v>G1</x:v>
      </x:c>
      <x:c r="F251" s="20" t="n">
        <x:v>1</x:v>
      </x:c>
      <x:c r="G251" s="12" t="n">
        <x:v>2950</x:v>
      </x:c>
      <x:c r="H251" s="21" t="n">
        <x:v>0.03</x:v>
      </x:c>
      <x:c r="I251" s="20" t="n">
        <x:v>1.1</x:v>
      </x:c>
      <x:c r="J251" s="20" t="n">
        <x:v>1</x:v>
      </x:c>
      <x:c r="K251" s="20" t="n">
        <x:v>1</x:v>
      </x:c>
      <x:c r="L251" s="12" t="n">
        <x:v>2950</x:v>
      </x:c>
      <x:c r="M251" s="8" t="n">
        <x:v>210</x:v>
      </x:c>
      <x:c r="N251" s="12" t="n">
        <x:v>250</x:v>
      </x:c>
      <x:c r="O251" s="8" t="n">
        <x:v>0</x:v>
      </x:c>
      <x:c r="P251" s="8" t="n">
        <x:v>8</x:v>
      </x:c>
      <x:c r="Q251" s="8" t="n">
        <x:v>4</x:v>
      </x:c>
      <x:c r="R251" s="8" t="n">
        <x:v>12</x:v>
      </x:c>
      <x:c r="S251" s="8" t="n">
        <x:v>0</x:v>
      </x:c>
      <x:c r="T251" s="8" t="n">
        <x:v>1</x:v>
      </x:c>
      <x:c r="U251" s="12" t="n">
        <x:v>0</x:v>
      </x:c>
      <x:c r="V251" s="8" t="n">
        <x:v>2</x:v>
      </x:c>
      <x:c r="W251" s="8" t="n">
        <x:v>230</x:v>
      </x:c>
      <x:c r="X251" s="12" t="n">
        <x:v>57300</x:v>
      </x:c>
      <x:c r="Y251" s="21" t="n">
        <x:v>0</x:v>
      </x:c>
      <x:c r="Z251" s="24" t="n">
        <x:f>IF($A251="","",INDEX(Settings!$C$29:$C$33,MATCH(E251,Settings!$A$29:$A$33,0)))</x:f>
        <x:v>2700</x:v>
      </x:c>
      <x:c r="AA251" s="22" t="n">
        <x:f>IF($A251="","",G251/Z251)</x:f>
        <x:v>1.0925925925925926</x:v>
      </x:c>
      <x:c r="AB251" s="25" t="n">
        <x:f>IF($A251="","",IF(ISNUMBER(Y251),Y251,Settings!$B$10))</x:f>
        <x:v>0</x:v>
      </x:c>
      <x:c r="AC251" s="23" t="n">
        <x:f>IF($A251="","",G251*(1+AB251))</x:f>
        <x:v>2950</x:v>
      </x:c>
      <x:c r="AD251" s="23" t="n">
        <x:f>IF($A251="","",G251*F251*12)</x:f>
        <x:v>35400</x:v>
      </x:c>
      <x:c r="AE251" s="23" t="n">
        <x:f>IF($A251="","",G251*F251*J251)</x:f>
        <x:v>2950</x:v>
      </x:c>
      <x:c r="AF251" s="24" t="n">
        <x:f>IF($A251="","",L251*F251*K251*Settings!$B$13)</x:f>
        <x:v>2714</x:v>
      </x:c>
      <x:c r="AG251" s="23" t="n">
        <x:f>IF($A251="","",AD251*H251*I251)</x:f>
        <x:v>1168.2</x:v>
      </x:c>
      <x:c r="AH251" s="24" t="n">
        <x:f>IF($A251="","",SUM(AD251:AE251,AG251)*SUM(Settings!$B$11:$B$12))</x:f>
        <x:v>9879.55</x:v>
      </x:c>
      <x:c r="AI251" s="24" t="n">
        <x:f>IF($A251="","",M251*Settings!$B$16)</x:f>
        <x:v>1871.1000000000001</x:v>
      </x:c>
      <x:c r="AJ251" s="24" t="n">
        <x:f>IF($A251="","",M251*Settings!$B$15)</x:f>
        <x:v>228.9</x:v>
      </x:c>
      <x:c r="AK251" s="24" t="n">
        <x:f>IF($A251="","",O251*Settings!$B$18)</x:f>
        <x:v>0</x:v>
      </x:c>
      <x:c r="AL251" s="24" t="n">
        <x:f>IF($A251="","",P251*Settings!$B$20+Q251*Settings!$B$21+R251*Settings!$B$22+S251*Settings!$B$23)</x:f>
        <x:v>2184.76</x:v>
      </x:c>
      <x:c r="AM251" s="24" t="n">
        <x:f>IF($A251="","",T251*Settings!$B$24)</x:f>
        <x:v>40</x:v>
      </x:c>
      <x:c r="AN251" s="23" t="n">
        <x:f>IF($A251="","",SUM(AI251,N251,AK251:AM251,U251))</x:f>
        <x:v>4345.860000000001</x:v>
      </x:c>
      <x:c r="AO251" s="23" t="n">
        <x:f>IF($A251="","",SUM(AD251:AI251,N251,AK251:AM251,U251))</x:f>
        <x:v>56457.61</x:v>
      </x:c>
      <x:c r="AP251" s="24" t="n">
        <x:f>IF($A251="","",G251*F251*AB251*((13-Settings!$B$9)*(1+H251*I251)+J251)*(1+SUM(Settings!$B$11:$B$12)))</x:f>
        <x:v>0</x:v>
      </x:c>
      <x:c r="AQ251" s="23" t="n">
        <x:f>IF($A251="","",SUM(AO251:AP251))</x:f>
        <x:v>56457.61</x:v>
      </x:c>
      <x:c r="AR251" s="23" t="n">
        <x:f>IF($A251="","",AQ251-X251)</x:f>
        <x:v>-842.3899999999994</x:v>
      </x:c>
      <x:c r="AS251" s="22" t="n">
        <x:f>IF($A251="","",IF(W251=0,"n.a.",V251/W251))</x:f>
        <x:v>0.008695652173913044</x:v>
      </x:c>
      <x:c r="AT251" s="26" t="str">
        <x:f>IF($A251="",IF(COUNTA(B251:Y251)&gt;0,"Missing ID",""),IF(COUNTIFS($A$9:$A$508,A251)&gt;1,"Duplicate ID",IF(OR(B251="",C251="",D251="",E251="",COUNT(F251:X251)&lt;&gt;19),"Missing / text input",IF(OR(COUNTIFS(Settings!$A$59:$A$64,B251)&lt;&gt;1,COUNTIFS(Settings!$A$29:$A$33,E251)&lt;&gt;1),"Unknown department / grade",IF(OR(F251&lt;=0,F251&gt;1,G251&lt;=0,L251&lt;=0,H251&lt;0,I251&lt;0,J251&lt;0,K251&lt;0,K251&gt;1,MIN(M251:X251)&lt;0,W251=0,V251&gt;W251,M251&gt;W251-V251,P251&gt;8,Q251&gt;4,R251&gt;12,S251&gt;12,T251&gt;1,AB251&lt;0),"Review quantity / rate",IF(OR(N251&gt;Settings!$C$17,AK251&gt;Settings!$C$19),"Review benefit ceiling","OK"))))))</x:f>
        <x:v>OK</x:v>
      </x:c>
    </x:row>
    <x:row r="252" ht="23" customHeight="1">
      <x:c r="A252" s="8" t="str">
        <x:v>BE-0244</x:v>
      </x:c>
      <x:c r="B252" s="8" t="str">
        <x:v>Sales</x:v>
      </x:c>
      <x:c r="C252" s="8" t="str">
        <x:v>Brussels</x:v>
      </x:c>
      <x:c r="D252" s="8" t="str">
        <x:v>Sales coordinator</x:v>
      </x:c>
      <x:c r="E252" s="8" t="str">
        <x:v>G1</x:v>
      </x:c>
      <x:c r="F252" s="20" t="n">
        <x:v>0.6</x:v>
      </x:c>
      <x:c r="G252" s="12" t="n">
        <x:v>2690</x:v>
      </x:c>
      <x:c r="H252" s="21" t="n">
        <x:v>0.03</x:v>
      </x:c>
      <x:c r="I252" s="20" t="n">
        <x:v>0.8</x:v>
      </x:c>
      <x:c r="J252" s="20" t="n">
        <x:v>1</x:v>
      </x:c>
      <x:c r="K252" s="20" t="n">
        <x:v>1</x:v>
      </x:c>
      <x:c r="L252" s="12" t="n">
        <x:v>2690</x:v>
      </x:c>
      <x:c r="M252" s="8" t="n">
        <x:v>123</x:v>
      </x:c>
      <x:c r="N252" s="12" t="n">
        <x:v>150</x:v>
      </x:c>
      <x:c r="O252" s="8" t="n">
        <x:v>1950</x:v>
      </x:c>
      <x:c r="P252" s="8" t="n">
        <x:v>8</x:v>
      </x:c>
      <x:c r="Q252" s="8" t="n">
        <x:v>4</x:v>
      </x:c>
      <x:c r="R252" s="8" t="n">
        <x:v>12</x:v>
      </x:c>
      <x:c r="S252" s="8" t="n">
        <x:v>0</x:v>
      </x:c>
      <x:c r="T252" s="8" t="n">
        <x:v>1</x:v>
      </x:c>
      <x:c r="U252" s="12" t="n">
        <x:v>0</x:v>
      </x:c>
      <x:c r="V252" s="8" t="n">
        <x:v>3</x:v>
      </x:c>
      <x:c r="W252" s="8" t="n">
        <x:v>138</x:v>
      </x:c>
      <x:c r="X252" s="12" t="n">
        <x:v>33600</x:v>
      </x:c>
      <x:c r="Y252" s="21"/>
      <x:c r="Z252" s="24" t="n">
        <x:f>IF($A252="","",INDEX(Settings!$C$29:$C$33,MATCH(E252,Settings!$A$29:$A$33,0)))</x:f>
        <x:v>2700</x:v>
      </x:c>
      <x:c r="AA252" s="22" t="n">
        <x:f>IF($A252="","",G252/Z252)</x:f>
        <x:v>0.9962962962962963</x:v>
      </x:c>
      <x:c r="AB252" s="25" t="n">
        <x:f>IF($A252="","",IF(ISNUMBER(Y252),Y252,Settings!$B$10))</x:f>
        <x:v>0.03</x:v>
      </x:c>
      <x:c r="AC252" s="23" t="n">
        <x:f>IF($A252="","",G252*(1+AB252))</x:f>
        <x:v>2770.7000000000003</x:v>
      </x:c>
      <x:c r="AD252" s="23" t="n">
        <x:f>IF($A252="","",G252*F252*12)</x:f>
        <x:v>19368</x:v>
      </x:c>
      <x:c r="AE252" s="23" t="n">
        <x:f>IF($A252="","",G252*F252*J252)</x:f>
        <x:v>1614</x:v>
      </x:c>
      <x:c r="AF252" s="24" t="n">
        <x:f>IF($A252="","",L252*F252*K252*Settings!$B$13)</x:f>
        <x:v>1484.88</x:v>
      </x:c>
      <x:c r="AG252" s="23" t="n">
        <x:f>IF($A252="","",AD252*H252*I252)</x:f>
        <x:v>464.832</x:v>
      </x:c>
      <x:c r="AH252" s="24" t="n">
        <x:f>IF($A252="","",SUM(AD252:AE252,AG252)*SUM(Settings!$B$11:$B$12))</x:f>
        <x:v>5361.708</x:v>
      </x:c>
      <x:c r="AI252" s="24" t="n">
        <x:f>IF($A252="","",M252*Settings!$B$16)</x:f>
        <x:v>1095.93</x:v>
      </x:c>
      <x:c r="AJ252" s="24" t="n">
        <x:f>IF($A252="","",M252*Settings!$B$15)</x:f>
        <x:v>134.07000000000002</x:v>
      </x:c>
      <x:c r="AK252" s="24" t="n">
        <x:f>IF($A252="","",O252*Settings!$B$18)</x:f>
        <x:v>721.5</x:v>
      </x:c>
      <x:c r="AL252" s="24" t="n">
        <x:f>IF($A252="","",P252*Settings!$B$20+Q252*Settings!$B$21+R252*Settings!$B$22+S252*Settings!$B$23)</x:f>
        <x:v>2184.76</x:v>
      </x:c>
      <x:c r="AM252" s="24" t="n">
        <x:f>IF($A252="","",T252*Settings!$B$24)</x:f>
        <x:v>40</x:v>
      </x:c>
      <x:c r="AN252" s="23" t="n">
        <x:f>IF($A252="","",SUM(AI252,N252,AK252:AM252,U252))</x:f>
        <x:v>4192.1900000000005</x:v>
      </x:c>
      <x:c r="AO252" s="23" t="n">
        <x:f>IF($A252="","",SUM(AD252:AI252,N252,AK252:AM252,U252))</x:f>
        <x:v>32485.61</x:v>
      </x:c>
      <x:c r="AP252" s="24" t="n">
        <x:f>IF($A252="","",G252*F252*AB252*((13-Settings!$B$9)*(1+H252*I252)+J252)*(1+SUM(Settings!$B$11:$B$12)))</x:f>
        <x:v>618.3234000000001</x:v>
      </x:c>
      <x:c r="AQ252" s="23" t="n">
        <x:f>IF($A252="","",SUM(AO252:AP252))</x:f>
        <x:v>33103.9334</x:v>
      </x:c>
      <x:c r="AR252" s="23" t="n">
        <x:f>IF($A252="","",AQ252-X252)</x:f>
        <x:v>-496.0665999999983</x:v>
      </x:c>
      <x:c r="AS252" s="22" t="n">
        <x:f>IF($A252="","",IF(W252=0,"n.a.",V252/W252))</x:f>
        <x:v>0.021739130434782608</x:v>
      </x:c>
      <x:c r="AT252" s="26" t="str">
        <x:f>IF($A252="",IF(COUNTA(B252:Y252)&gt;0,"Missing ID",""),IF(COUNTIFS($A$9:$A$508,A252)&gt;1,"Duplicate ID",IF(OR(B252="",C252="",D252="",E252="",COUNT(F252:X252)&lt;&gt;19),"Missing / text input",IF(OR(COUNTIFS(Settings!$A$59:$A$64,B252)&lt;&gt;1,COUNTIFS(Settings!$A$29:$A$33,E252)&lt;&gt;1),"Unknown department / grade",IF(OR(F252&lt;=0,F252&gt;1,G252&lt;=0,L252&lt;=0,H252&lt;0,I252&lt;0,J252&lt;0,K252&lt;0,K252&gt;1,MIN(M252:X252)&lt;0,W252=0,V252&gt;W252,M252&gt;W252-V252,P252&gt;8,Q252&gt;4,R252&gt;12,S252&gt;12,T252&gt;1,AB252&lt;0),"Review quantity / rate",IF(OR(N252&gt;Settings!$C$17,AK252&gt;Settings!$C$19),"Review benefit ceiling","OK"))))))</x:f>
        <x:v>OK</x:v>
      </x:c>
    </x:row>
    <x:row r="253" ht="23" customHeight="1">
      <x:c r="A253" s="8" t="str">
        <x:v>BE-0245</x:v>
      </x:c>
      <x:c r="B253" s="8" t="str">
        <x:v>Customer Operations</x:v>
      </x:c>
      <x:c r="C253" s="8" t="str">
        <x:v>Antwerp</x:v>
      </x:c>
      <x:c r="D253" s="8" t="str">
        <x:v>Service administrator</x:v>
      </x:c>
      <x:c r="E253" s="8" t="str">
        <x:v>G1</x:v>
      </x:c>
      <x:c r="F253" s="20" t="n">
        <x:v>1</x:v>
      </x:c>
      <x:c r="G253" s="12" t="n">
        <x:v>2780</x:v>
      </x:c>
      <x:c r="H253" s="21" t="n">
        <x:v>0.03</x:v>
      </x:c>
      <x:c r="I253" s="20" t="n">
        <x:v>1</x:v>
      </x:c>
      <x:c r="J253" s="20" t="n">
        <x:v>1</x:v>
      </x:c>
      <x:c r="K253" s="20" t="n">
        <x:v>1</x:v>
      </x:c>
      <x:c r="L253" s="12" t="n">
        <x:v>2780</x:v>
      </x:c>
      <x:c r="M253" s="8" t="n">
        <x:v>208</x:v>
      </x:c>
      <x:c r="N253" s="12" t="n">
        <x:v>250</x:v>
      </x:c>
      <x:c r="O253" s="8" t="n">
        <x:v>0</x:v>
      </x:c>
      <x:c r="P253" s="8" t="n">
        <x:v>0</x:v>
      </x:c>
      <x:c r="Q253" s="8" t="n">
        <x:v>0</x:v>
      </x:c>
      <x:c r="R253" s="8" t="n">
        <x:v>0</x:v>
      </x:c>
      <x:c r="S253" s="8" t="n">
        <x:v>0</x:v>
      </x:c>
      <x:c r="T253" s="8" t="n">
        <x:v>1</x:v>
      </x:c>
      <x:c r="U253" s="12" t="n">
        <x:v>0</x:v>
      </x:c>
      <x:c r="V253" s="8" t="n">
        <x:v>4</x:v>
      </x:c>
      <x:c r="W253" s="8" t="n">
        <x:v>230</x:v>
      </x:c>
      <x:c r="X253" s="12" t="n">
        <x:v>53000</x:v>
      </x:c>
      <x:c r="Y253" s="21"/>
      <x:c r="Z253" s="24" t="n">
        <x:f>IF($A253="","",INDEX(Settings!$C$29:$C$33,MATCH(E253,Settings!$A$29:$A$33,0)))</x:f>
        <x:v>2700</x:v>
      </x:c>
      <x:c r="AA253" s="22" t="n">
        <x:f>IF($A253="","",G253/Z253)</x:f>
        <x:v>1.0296296296296297</x:v>
      </x:c>
      <x:c r="AB253" s="25" t="n">
        <x:f>IF($A253="","",IF(ISNUMBER(Y253),Y253,Settings!$B$10))</x:f>
        <x:v>0.03</x:v>
      </x:c>
      <x:c r="AC253" s="23" t="n">
        <x:f>IF($A253="","",G253*(1+AB253))</x:f>
        <x:v>2863.4</x:v>
      </x:c>
      <x:c r="AD253" s="23" t="n">
        <x:f>IF($A253="","",G253*F253*12)</x:f>
        <x:v>33360</x:v>
      </x:c>
      <x:c r="AE253" s="23" t="n">
        <x:f>IF($A253="","",G253*F253*J253)</x:f>
        <x:v>2780</x:v>
      </x:c>
      <x:c r="AF253" s="24" t="n">
        <x:f>IF($A253="","",L253*F253*K253*Settings!$B$13)</x:f>
        <x:v>2557.6</x:v>
      </x:c>
      <x:c r="AG253" s="23" t="n">
        <x:f>IF($A253="","",AD253*H253*I253)</x:f>
        <x:v>1000.8</x:v>
      </x:c>
      <x:c r="AH253" s="24" t="n">
        <x:f>IF($A253="","",SUM(AD253:AE253,AG253)*SUM(Settings!$B$11:$B$12))</x:f>
        <x:v>9285.2</x:v>
      </x:c>
      <x:c r="AI253" s="24" t="n">
        <x:f>IF($A253="","",M253*Settings!$B$16)</x:f>
        <x:v>1853.28</x:v>
      </x:c>
      <x:c r="AJ253" s="24" t="n">
        <x:f>IF($A253="","",M253*Settings!$B$15)</x:f>
        <x:v>226.72000000000003</x:v>
      </x:c>
      <x:c r="AK253" s="24" t="n">
        <x:f>IF($A253="","",O253*Settings!$B$18)</x:f>
        <x:v>0</x:v>
      </x:c>
      <x:c r="AL253" s="24" t="n">
        <x:f>IF($A253="","",P253*Settings!$B$20+Q253*Settings!$B$21+R253*Settings!$B$22+S253*Settings!$B$23)</x:f>
        <x:v>0</x:v>
      </x:c>
      <x:c r="AM253" s="24" t="n">
        <x:f>IF($A253="","",T253*Settings!$B$24)</x:f>
        <x:v>40</x:v>
      </x:c>
      <x:c r="AN253" s="23" t="n">
        <x:f>IF($A253="","",SUM(AI253,N253,AK253:AM253,U253))</x:f>
        <x:v>2143.2799999999997</x:v>
      </x:c>
      <x:c r="AO253" s="23" t="n">
        <x:f>IF($A253="","",SUM(AD253:AI253,N253,AK253:AM253,U253))</x:f>
        <x:v>51126.880000000005</x:v>
      </x:c>
      <x:c r="AP253" s="24" t="n">
        <x:f>IF($A253="","",G253*F253*AB253*((13-Settings!$B$9)*(1+H253*I253)+J253)*(1+SUM(Settings!$B$11:$B$12)))</x:f>
        <x:v>1070.6474999999998</x:v>
      </x:c>
      <x:c r="AQ253" s="23" t="n">
        <x:f>IF($A253="","",SUM(AO253:AP253))</x:f>
        <x:v>52197.527500000004</x:v>
      </x:c>
      <x:c r="AR253" s="23" t="n">
        <x:f>IF($A253="","",AQ253-X253)</x:f>
        <x:v>-802.4724999999962</x:v>
      </x:c>
      <x:c r="AS253" s="22" t="n">
        <x:f>IF($A253="","",IF(W253=0,"n.a.",V253/W253))</x:f>
        <x:v>0.017391304347826087</x:v>
      </x:c>
      <x:c r="AT253" s="26" t="str">
        <x:f>IF($A253="",IF(COUNTA(B253:Y253)&gt;0,"Missing ID",""),IF(COUNTIFS($A$9:$A$508,A253)&gt;1,"Duplicate ID",IF(OR(B253="",C253="",D253="",E253="",COUNT(F253:X253)&lt;&gt;19),"Missing / text input",IF(OR(COUNTIFS(Settings!$A$59:$A$64,B253)&lt;&gt;1,COUNTIFS(Settings!$A$29:$A$33,E253)&lt;&gt;1),"Unknown department / grade",IF(OR(F253&lt;=0,F253&gt;1,G253&lt;=0,L253&lt;=0,H253&lt;0,I253&lt;0,J253&lt;0,K253&lt;0,K253&gt;1,MIN(M253:X253)&lt;0,W253=0,V253&gt;W253,M253&gt;W253-V253,P253&gt;8,Q253&gt;4,R253&gt;12,S253&gt;12,T253&gt;1,AB253&lt;0),"Review quantity / rate",IF(OR(N253&gt;Settings!$C$17,AK253&gt;Settings!$C$19),"Review benefit ceiling","OK"))))))</x:f>
        <x:v>OK</x:v>
      </x:c>
    </x:row>
    <x:row r="254" ht="23" customHeight="1">
      <x:c r="A254" s="8" t="str">
        <x:v>BE-0246</x:v>
      </x:c>
      <x:c r="B254" s="8" t="str">
        <x:v>Business Support</x:v>
      </x:c>
      <x:c r="C254" s="8" t="str">
        <x:v>Ghent</x:v>
      </x:c>
      <x:c r="D254" s="8" t="str">
        <x:v>Business specialist</x:v>
      </x:c>
      <x:c r="E254" s="8" t="str">
        <x:v>G2</x:v>
      </x:c>
      <x:c r="F254" s="20" t="n">
        <x:v>0.8</x:v>
      </x:c>
      <x:c r="G254" s="12" t="n">
        <x:v>3390</x:v>
      </x:c>
      <x:c r="H254" s="21" t="n">
        <x:v>0.05</x:v>
      </x:c>
      <x:c r="I254" s="20" t="n">
        <x:v>1.1</x:v>
      </x:c>
      <x:c r="J254" s="20" t="n">
        <x:v>1</x:v>
      </x:c>
      <x:c r="K254" s="20" t="n">
        <x:v>1</x:v>
      </x:c>
      <x:c r="L254" s="12" t="n">
        <x:v>3390</x:v>
      </x:c>
      <x:c r="M254" s="8" t="n">
        <x:v>171</x:v>
      </x:c>
      <x:c r="N254" s="12" t="n">
        <x:v>200</x:v>
      </x:c>
      <x:c r="O254" s="8" t="n">
        <x:v>0</x:v>
      </x:c>
      <x:c r="P254" s="8" t="n">
        <x:v>8</x:v>
      </x:c>
      <x:c r="Q254" s="8" t="n">
        <x:v>4</x:v>
      </x:c>
      <x:c r="R254" s="8" t="n">
        <x:v>12</x:v>
      </x:c>
      <x:c r="S254" s="8" t="n">
        <x:v>12</x:v>
      </x:c>
      <x:c r="T254" s="8" t="n">
        <x:v>1</x:v>
      </x:c>
      <x:c r="U254" s="12" t="n">
        <x:v>0</x:v>
      </x:c>
      <x:c r="V254" s="8" t="n">
        <x:v>5</x:v>
      </x:c>
      <x:c r="W254" s="8" t="n">
        <x:v>184</x:v>
      </x:c>
      <x:c r="X254" s="12" t="n">
        <x:v>53200</x:v>
      </x:c>
      <x:c r="Y254" s="21"/>
      <x:c r="Z254" s="24" t="n">
        <x:f>IF($A254="","",INDEX(Settings!$C$29:$C$33,MATCH(E254,Settings!$A$29:$A$33,0)))</x:f>
        <x:v>3300</x:v>
      </x:c>
      <x:c r="AA254" s="22" t="n">
        <x:f>IF($A254="","",G254/Z254)</x:f>
        <x:v>1.0272727272727273</x:v>
      </x:c>
      <x:c r="AB254" s="25" t="n">
        <x:f>IF($A254="","",IF(ISNUMBER(Y254),Y254,Settings!$B$10))</x:f>
        <x:v>0.03</x:v>
      </x:c>
      <x:c r="AC254" s="23" t="n">
        <x:f>IF($A254="","",G254*(1+AB254))</x:f>
        <x:v>3491.7000000000003</x:v>
      </x:c>
      <x:c r="AD254" s="23" t="n">
        <x:f>IF($A254="","",G254*F254*12)</x:f>
        <x:v>32544</x:v>
      </x:c>
      <x:c r="AE254" s="23" t="n">
        <x:f>IF($A254="","",G254*F254*J254)</x:f>
        <x:v>2712</x:v>
      </x:c>
      <x:c r="AF254" s="24" t="n">
        <x:f>IF($A254="","",L254*F254*K254*Settings!$B$13)</x:f>
        <x:v>2495.04</x:v>
      </x:c>
      <x:c r="AG254" s="23" t="n">
        <x:f>IF($A254="","",AD254*H254*I254)</x:f>
        <x:v>1789.9200000000003</x:v>
      </x:c>
      <x:c r="AH254" s="24" t="n">
        <x:f>IF($A254="","",SUM(AD254:AE254,AG254)*SUM(Settings!$B$11:$B$12))</x:f>
        <x:v>9261.48</x:v>
      </x:c>
      <x:c r="AI254" s="24" t="n">
        <x:f>IF($A254="","",M254*Settings!$B$16)</x:f>
        <x:v>1523.6100000000001</x:v>
      </x:c>
      <x:c r="AJ254" s="24" t="n">
        <x:f>IF($A254="","",M254*Settings!$B$15)</x:f>
        <x:v>186.39000000000001</x:v>
      </x:c>
      <x:c r="AK254" s="24" t="n">
        <x:f>IF($A254="","",O254*Settings!$B$18)</x:f>
        <x:v>0</x:v>
      </x:c>
      <x:c r="AL254" s="24" t="n">
        <x:f>IF($A254="","",P254*Settings!$B$20+Q254*Settings!$B$21+R254*Settings!$B$22+S254*Settings!$B$23)</x:f>
        <x:v>2424.76</x:v>
      </x:c>
      <x:c r="AM254" s="24" t="n">
        <x:f>IF($A254="","",T254*Settings!$B$24)</x:f>
        <x:v>40</x:v>
      </x:c>
      <x:c r="AN254" s="23" t="n">
        <x:f>IF($A254="","",SUM(AI254,N254,AK254:AM254,U254))</x:f>
        <x:v>4188.370000000001</x:v>
      </x:c>
      <x:c r="AO254" s="23" t="n">
        <x:f>IF($A254="","",SUM(AD254:AI254,N254,AK254:AM254,U254))</x:f>
        <x:v>52990.810000000005</x:v>
      </x:c>
      <x:c r="AP254" s="24" t="n">
        <x:f>IF($A254="","",G254*F254*AB254*((13-Settings!$B$9)*(1+H254*I254)+J254)*(1+SUM(Settings!$B$11:$B$12)))</x:f>
        <x:v>1067.3414999999998</x:v>
      </x:c>
      <x:c r="AQ254" s="23" t="n">
        <x:f>IF($A254="","",SUM(AO254:AP254))</x:f>
        <x:v>54058.15150000001</x:v>
      </x:c>
      <x:c r="AR254" s="23" t="n">
        <x:f>IF($A254="","",AQ254-X254)</x:f>
        <x:v>858.1515000000072</x:v>
      </x:c>
      <x:c r="AS254" s="22" t="n">
        <x:f>IF($A254="","",IF(W254=0,"n.a.",V254/W254))</x:f>
        <x:v>0.02717391304347826</x:v>
      </x:c>
      <x:c r="AT254" s="26" t="str">
        <x:f>IF($A254="",IF(COUNTA(B254:Y254)&gt;0,"Missing ID",""),IF(COUNTIFS($A$9:$A$508,A254)&gt;1,"Duplicate ID",IF(OR(B254="",C254="",D254="",E254="",COUNT(F254:X254)&lt;&gt;19),"Missing / text input",IF(OR(COUNTIFS(Settings!$A$59:$A$64,B254)&lt;&gt;1,COUNTIFS(Settings!$A$29:$A$33,E254)&lt;&gt;1),"Unknown department / grade",IF(OR(F254&lt;=0,F254&gt;1,G254&lt;=0,L254&lt;=0,H254&lt;0,I254&lt;0,J254&lt;0,K254&lt;0,K254&gt;1,MIN(M254:X254)&lt;0,W254=0,V254&gt;W254,M254&gt;W254-V254,P254&gt;8,Q254&gt;4,R254&gt;12,S254&gt;12,T254&gt;1,AB254&lt;0),"Review quantity / rate",IF(OR(N254&gt;Settings!$C$17,AK254&gt;Settings!$C$19),"Review benefit ceiling","OK"))))))</x:f>
        <x:v>OK</x:v>
      </x:c>
    </x:row>
    <x:row r="255" ht="23" customHeight="1">
      <x:c r="A255" s="8" t="str">
        <x:v>BE-0247</x:v>
      </x:c>
      <x:c r="B255" s="8" t="str">
        <x:v>Finance</x:v>
      </x:c>
      <x:c r="C255" s="8" t="str">
        <x:v>Brussels</x:v>
      </x:c>
      <x:c r="D255" s="8" t="str">
        <x:v>Accountant</x:v>
      </x:c>
      <x:c r="E255" s="8" t="str">
        <x:v>G2</x:v>
      </x:c>
      <x:c r="F255" s="20" t="n">
        <x:v>1</x:v>
      </x:c>
      <x:c r="G255" s="12" t="n">
        <x:v>3620</x:v>
      </x:c>
      <x:c r="H255" s="21" t="n">
        <x:v>0.05</x:v>
      </x:c>
      <x:c r="I255" s="20" t="n">
        <x:v>0.8</x:v>
      </x:c>
      <x:c r="J255" s="20" t="n">
        <x:v>1</x:v>
      </x:c>
      <x:c r="K255" s="20" t="n">
        <x:v>1</x:v>
      </x:c>
      <x:c r="L255" s="12" t="n">
        <x:v>3620</x:v>
      </x:c>
      <x:c r="M255" s="8" t="n">
        <x:v>213</x:v>
      </x:c>
      <x:c r="N255" s="12" t="n">
        <x:v>250</x:v>
      </x:c>
      <x:c r="O255" s="8" t="n">
        <x:v>2280</x:v>
      </x:c>
      <x:c r="P255" s="8" t="n">
        <x:v>8</x:v>
      </x:c>
      <x:c r="Q255" s="8" t="n">
        <x:v>4</x:v>
      </x:c>
      <x:c r="R255" s="8" t="n">
        <x:v>12</x:v>
      </x:c>
      <x:c r="S255" s="8" t="n">
        <x:v>0</x:v>
      </x:c>
      <x:c r="T255" s="8" t="n">
        <x:v>1</x:v>
      </x:c>
      <x:c r="U255" s="12" t="n">
        <x:v>0</x:v>
      </x:c>
      <x:c r="V255" s="8" t="n">
        <x:v>6</x:v>
      </x:c>
      <x:c r="W255" s="8" t="n">
        <x:v>230</x:v>
      </x:c>
      <x:c r="X255" s="12" t="n">
        <x:v>72000</x:v>
      </x:c>
      <x:c r="Y255" s="21"/>
      <x:c r="Z255" s="24" t="n">
        <x:f>IF($A255="","",INDEX(Settings!$C$29:$C$33,MATCH(E255,Settings!$A$29:$A$33,0)))</x:f>
        <x:v>3300</x:v>
      </x:c>
      <x:c r="AA255" s="22" t="n">
        <x:f>IF($A255="","",G255/Z255)</x:f>
        <x:v>1.096969696969697</x:v>
      </x:c>
      <x:c r="AB255" s="25" t="n">
        <x:f>IF($A255="","",IF(ISNUMBER(Y255),Y255,Settings!$B$10))</x:f>
        <x:v>0.03</x:v>
      </x:c>
      <x:c r="AC255" s="23" t="n">
        <x:f>IF($A255="","",G255*(1+AB255))</x:f>
        <x:v>3728.6</x:v>
      </x:c>
      <x:c r="AD255" s="23" t="n">
        <x:f>IF($A255="","",G255*F255*12)</x:f>
        <x:v>43440</x:v>
      </x:c>
      <x:c r="AE255" s="23" t="n">
        <x:f>IF($A255="","",G255*F255*J255)</x:f>
        <x:v>3620</x:v>
      </x:c>
      <x:c r="AF255" s="24" t="n">
        <x:f>IF($A255="","",L255*F255*K255*Settings!$B$13)</x:f>
        <x:v>3330.4</x:v>
      </x:c>
      <x:c r="AG255" s="23" t="n">
        <x:f>IF($A255="","",AD255*H255*I255)</x:f>
        <x:v>1737.6000000000001</x:v>
      </x:c>
      <x:c r="AH255" s="24" t="n">
        <x:f>IF($A255="","",SUM(AD255:AE255,AG255)*SUM(Settings!$B$11:$B$12))</x:f>
        <x:v>12199.4</x:v>
      </x:c>
      <x:c r="AI255" s="24" t="n">
        <x:f>IF($A255="","",M255*Settings!$B$16)</x:f>
        <x:v>1897.83</x:v>
      </x:c>
      <x:c r="AJ255" s="24" t="n">
        <x:f>IF($A255="","",M255*Settings!$B$15)</x:f>
        <x:v>232.17000000000002</x:v>
      </x:c>
      <x:c r="AK255" s="24" t="n">
        <x:f>IF($A255="","",O255*Settings!$B$18)</x:f>
        <x:v>843.6</x:v>
      </x:c>
      <x:c r="AL255" s="24" t="n">
        <x:f>IF($A255="","",P255*Settings!$B$20+Q255*Settings!$B$21+R255*Settings!$B$22+S255*Settings!$B$23)</x:f>
        <x:v>2184.76</x:v>
      </x:c>
      <x:c r="AM255" s="24" t="n">
        <x:f>IF($A255="","",T255*Settings!$B$24)</x:f>
        <x:v>40</x:v>
      </x:c>
      <x:c r="AN255" s="23" t="n">
        <x:f>IF($A255="","",SUM(AI255,N255,AK255:AM255,U255))</x:f>
        <x:v>5216.1900000000005</x:v>
      </x:c>
      <x:c r="AO255" s="23" t="n">
        <x:f>IF($A255="","",SUM(AD255:AI255,N255,AK255:AM255,U255))</x:f>
        <x:v>69543.59</x:v>
      </x:c>
      <x:c r="AP255" s="24" t="n">
        <x:f>IF($A255="","",G255*F255*AB255*((13-Settings!$B$9)*(1+H255*I255)+J255)*(1+SUM(Settings!$B$11:$B$12)))</x:f>
        <x:v>1406.3699999999997</x:v>
      </x:c>
      <x:c r="AQ255" s="23" t="n">
        <x:f>IF($A255="","",SUM(AO255:AP255))</x:f>
        <x:v>70949.95999999999</x:v>
      </x:c>
      <x:c r="AR255" s="23" t="n">
        <x:f>IF($A255="","",AQ255-X255)</x:f>
        <x:v>-1050.0400000000081</x:v>
      </x:c>
      <x:c r="AS255" s="22" t="n">
        <x:f>IF($A255="","",IF(W255=0,"n.a.",V255/W255))</x:f>
        <x:v>0.02608695652173913</x:v>
      </x:c>
      <x:c r="AT255" s="26" t="str">
        <x:f>IF($A255="",IF(COUNTA(B255:Y255)&gt;0,"Missing ID",""),IF(COUNTIFS($A$9:$A$508,A255)&gt;1,"Duplicate ID",IF(OR(B255="",C255="",D255="",E255="",COUNT(F255:X255)&lt;&gt;19),"Missing / text input",IF(OR(COUNTIFS(Settings!$A$59:$A$64,B255)&lt;&gt;1,COUNTIFS(Settings!$A$29:$A$33,E255)&lt;&gt;1),"Unknown department / grade",IF(OR(F255&lt;=0,F255&gt;1,G255&lt;=0,L255&lt;=0,H255&lt;0,I255&lt;0,J255&lt;0,K255&lt;0,K255&gt;1,MIN(M255:X255)&lt;0,W255=0,V255&gt;W255,M255&gt;W255-V255,P255&gt;8,Q255&gt;4,R255&gt;12,S255&gt;12,T255&gt;1,AB255&lt;0),"Review quantity / rate",IF(OR(N255&gt;Settings!$C$17,AK255&gt;Settings!$C$19),"Review benefit ceiling","OK"))))))</x:f>
        <x:v>OK</x:v>
      </x:c>
    </x:row>
    <x:row r="256" ht="23" customHeight="1">
      <x:c r="A256" s="8" t="str">
        <x:v>BE-0248</x:v>
      </x:c>
      <x:c r="B256" s="8" t="str">
        <x:v>People &amp; Culture</x:v>
      </x:c>
      <x:c r="C256" s="8" t="str">
        <x:v>Antwerp</x:v>
      </x:c>
      <x:c r="D256" s="8" t="str">
        <x:v>HR specialist</x:v>
      </x:c>
      <x:c r="E256" s="8" t="str">
        <x:v>G2</x:v>
      </x:c>
      <x:c r="F256" s="20" t="n">
        <x:v>1</x:v>
      </x:c>
      <x:c r="G256" s="12" t="n">
        <x:v>3470</x:v>
      </x:c>
      <x:c r="H256" s="21" t="n">
        <x:v>0.05</x:v>
      </x:c>
      <x:c r="I256" s="20" t="n">
        <x:v>1</x:v>
      </x:c>
      <x:c r="J256" s="20" t="n">
        <x:v>1</x:v>
      </x:c>
      <x:c r="K256" s="20" t="n">
        <x:v>1</x:v>
      </x:c>
      <x:c r="L256" s="12" t="n">
        <x:v>3470</x:v>
      </x:c>
      <x:c r="M256" s="8" t="n">
        <x:v>212</x:v>
      </x:c>
      <x:c r="N256" s="12" t="n">
        <x:v>250</x:v>
      </x:c>
      <x:c r="O256" s="8" t="n">
        <x:v>0</x:v>
      </x:c>
      <x:c r="P256" s="8" t="n">
        <x:v>8</x:v>
      </x:c>
      <x:c r="Q256" s="8" t="n">
        <x:v>4</x:v>
      </x:c>
      <x:c r="R256" s="8" t="n">
        <x:v>12</x:v>
      </x:c>
      <x:c r="S256" s="8" t="n">
        <x:v>0</x:v>
      </x:c>
      <x:c r="T256" s="8" t="n">
        <x:v>1</x:v>
      </x:c>
      <x:c r="U256" s="12" t="n">
        <x:v>0</x:v>
      </x:c>
      <x:c r="V256" s="8" t="n">
        <x:v>7</x:v>
      </x:c>
      <x:c r="W256" s="8" t="n">
        <x:v>230</x:v>
      </x:c>
      <x:c r="X256" s="12" t="n">
        <x:v>68900</x:v>
      </x:c>
      <x:c r="Y256" s="21"/>
      <x:c r="Z256" s="24" t="n">
        <x:f>IF($A256="","",INDEX(Settings!$C$29:$C$33,MATCH(E256,Settings!$A$29:$A$33,0)))</x:f>
        <x:v>3300</x:v>
      </x:c>
      <x:c r="AA256" s="22" t="n">
        <x:f>IF($A256="","",G256/Z256)</x:f>
        <x:v>1.0515151515151515</x:v>
      </x:c>
      <x:c r="AB256" s="25" t="n">
        <x:f>IF($A256="","",IF(ISNUMBER(Y256),Y256,Settings!$B$10))</x:f>
        <x:v>0.03</x:v>
      </x:c>
      <x:c r="AC256" s="23" t="n">
        <x:f>IF($A256="","",G256*(1+AB256))</x:f>
        <x:v>3574.1</x:v>
      </x:c>
      <x:c r="AD256" s="23" t="n">
        <x:f>IF($A256="","",G256*F256*12)</x:f>
        <x:v>41640</x:v>
      </x:c>
      <x:c r="AE256" s="23" t="n">
        <x:f>IF($A256="","",G256*F256*J256)</x:f>
        <x:v>3470</x:v>
      </x:c>
      <x:c r="AF256" s="24" t="n">
        <x:f>IF($A256="","",L256*F256*K256*Settings!$B$13)</x:f>
        <x:v>3192.4</x:v>
      </x:c>
      <x:c r="AG256" s="23" t="n">
        <x:f>IF($A256="","",AD256*H256*I256)</x:f>
        <x:v>2082</x:v>
      </x:c>
      <x:c r="AH256" s="24" t="n">
        <x:f>IF($A256="","",SUM(AD256:AE256,AG256)*SUM(Settings!$B$11:$B$12))</x:f>
        <x:v>11798</x:v>
      </x:c>
      <x:c r="AI256" s="24" t="n">
        <x:f>IF($A256="","",M256*Settings!$B$16)</x:f>
        <x:v>1888.92</x:v>
      </x:c>
      <x:c r="AJ256" s="24" t="n">
        <x:f>IF($A256="","",M256*Settings!$B$15)</x:f>
        <x:v>231.08</x:v>
      </x:c>
      <x:c r="AK256" s="24" t="n">
        <x:f>IF($A256="","",O256*Settings!$B$18)</x:f>
        <x:v>0</x:v>
      </x:c>
      <x:c r="AL256" s="24" t="n">
        <x:f>IF($A256="","",P256*Settings!$B$20+Q256*Settings!$B$21+R256*Settings!$B$22+S256*Settings!$B$23)</x:f>
        <x:v>2184.76</x:v>
      </x:c>
      <x:c r="AM256" s="24" t="n">
        <x:f>IF($A256="","",T256*Settings!$B$24)</x:f>
        <x:v>40</x:v>
      </x:c>
      <x:c r="AN256" s="23" t="n">
        <x:f>IF($A256="","",SUM(AI256,N256,AK256:AM256,U256))</x:f>
        <x:v>4363.68</x:v>
      </x:c>
      <x:c r="AO256" s="23" t="n">
        <x:f>IF($A256="","",SUM(AD256:AI256,N256,AK256:AM256,U256))</x:f>
        <x:v>66546.08</x:v>
      </x:c>
      <x:c r="AP256" s="24" t="n">
        <x:f>IF($A256="","",G256*F256*AB256*((13-Settings!$B$9)*(1+H256*I256)+J256)*(1+SUM(Settings!$B$11:$B$12)))</x:f>
        <x:v>1359.80625</x:v>
      </x:c>
      <x:c r="AQ256" s="23" t="n">
        <x:f>IF($A256="","",SUM(AO256:AP256))</x:f>
        <x:v>67905.88625</x:v>
      </x:c>
      <x:c r="AR256" s="23" t="n">
        <x:f>IF($A256="","",AQ256-X256)</x:f>
        <x:v>-994.1137500000041</x:v>
      </x:c>
      <x:c r="AS256" s="22" t="n">
        <x:f>IF($A256="","",IF(W256=0,"n.a.",V256/W256))</x:f>
        <x:v>0.030434782608695653</x:v>
      </x:c>
      <x:c r="AT256" s="26" t="str">
        <x:f>IF($A256="",IF(COUNTA(B256:Y256)&gt;0,"Missing ID",""),IF(COUNTIFS($A$9:$A$508,A256)&gt;1,"Duplicate ID",IF(OR(B256="",C256="",D256="",E256="",COUNT(F256:X256)&lt;&gt;19),"Missing / text input",IF(OR(COUNTIFS(Settings!$A$59:$A$64,B256)&lt;&gt;1,COUNTIFS(Settings!$A$29:$A$33,E256)&lt;&gt;1),"Unknown department / grade",IF(OR(F256&lt;=0,F256&gt;1,G256&lt;=0,L256&lt;=0,H256&lt;0,I256&lt;0,J256&lt;0,K256&lt;0,K256&gt;1,MIN(M256:X256)&lt;0,W256=0,V256&gt;W256,M256&gt;W256-V256,P256&gt;8,Q256&gt;4,R256&gt;12,S256&gt;12,T256&gt;1,AB256&lt;0),"Review quantity / rate",IF(OR(N256&gt;Settings!$C$17,AK256&gt;Settings!$C$19),"Review benefit ceiling","OK"))))))</x:f>
        <x:v>OK</x:v>
      </x:c>
    </x:row>
    <x:row r="257" ht="23" customHeight="1">
      <x:c r="A257" s="8" t="str">
        <x:v>BE-0249</x:v>
      </x:c>
      <x:c r="B257" s="8" t="str">
        <x:v>Technology</x:v>
      </x:c>
      <x:c r="C257" s="8" t="str">
        <x:v>Ghent</x:v>
      </x:c>
      <x:c r="D257" s="8" t="str">
        <x:v>Developer</x:v>
      </x:c>
      <x:c r="E257" s="8" t="str">
        <x:v>G2</x:v>
      </x:c>
      <x:c r="F257" s="20" t="n">
        <x:v>1</x:v>
      </x:c>
      <x:c r="G257" s="12" t="n">
        <x:v>3080</x:v>
      </x:c>
      <x:c r="H257" s="21" t="n">
        <x:v>0.05</x:v>
      </x:c>
      <x:c r="I257" s="20" t="n">
        <x:v>1.1</x:v>
      </x:c>
      <x:c r="J257" s="20" t="n">
        <x:v>1</x:v>
      </x:c>
      <x:c r="K257" s="20" t="n">
        <x:v>1</x:v>
      </x:c>
      <x:c r="L257" s="12" t="n">
        <x:v>3080</x:v>
      </x:c>
      <x:c r="M257" s="8" t="n">
        <x:v>211</x:v>
      </x:c>
      <x:c r="N257" s="12" t="n">
        <x:v>250</x:v>
      </x:c>
      <x:c r="O257" s="8" t="n">
        <x:v>0</x:v>
      </x:c>
      <x:c r="P257" s="8" t="n">
        <x:v>0</x:v>
      </x:c>
      <x:c r="Q257" s="8" t="n">
        <x:v>0</x:v>
      </x:c>
      <x:c r="R257" s="8" t="n">
        <x:v>0</x:v>
      </x:c>
      <x:c r="S257" s="8" t="n">
        <x:v>0</x:v>
      </x:c>
      <x:c r="T257" s="8" t="n">
        <x:v>1</x:v>
      </x:c>
      <x:c r="U257" s="12" t="n">
        <x:v>0</x:v>
      </x:c>
      <x:c r="V257" s="8" t="n">
        <x:v>8</x:v>
      </x:c>
      <x:c r="W257" s="8" t="n">
        <x:v>230</x:v>
      </x:c>
      <x:c r="X257" s="12" t="n">
        <x:v>59700</x:v>
      </x:c>
      <x:c r="Y257" s="21"/>
      <x:c r="Z257" s="24" t="n">
        <x:f>IF($A257="","",INDEX(Settings!$C$29:$C$33,MATCH(E257,Settings!$A$29:$A$33,0)))</x:f>
        <x:v>3300</x:v>
      </x:c>
      <x:c r="AA257" s="22" t="n">
        <x:f>IF($A257="","",G257/Z257)</x:f>
        <x:v>0.9333333333333333</x:v>
      </x:c>
      <x:c r="AB257" s="25" t="n">
        <x:f>IF($A257="","",IF(ISNUMBER(Y257),Y257,Settings!$B$10))</x:f>
        <x:v>0.03</x:v>
      </x:c>
      <x:c r="AC257" s="23" t="n">
        <x:f>IF($A257="","",G257*(1+AB257))</x:f>
        <x:v>3172.4</x:v>
      </x:c>
      <x:c r="AD257" s="23" t="n">
        <x:f>IF($A257="","",G257*F257*12)</x:f>
        <x:v>36960</x:v>
      </x:c>
      <x:c r="AE257" s="23" t="n">
        <x:f>IF($A257="","",G257*F257*J257)</x:f>
        <x:v>3080</x:v>
      </x:c>
      <x:c r="AF257" s="24" t="n">
        <x:f>IF($A257="","",L257*F257*K257*Settings!$B$13)</x:f>
        <x:v>2833.6</x:v>
      </x:c>
      <x:c r="AG257" s="23" t="n">
        <x:f>IF($A257="","",AD257*H257*I257)</x:f>
        <x:v>2032.8000000000002</x:v>
      </x:c>
      <x:c r="AH257" s="24" t="n">
        <x:f>IF($A257="","",SUM(AD257:AE257,AG257)*SUM(Settings!$B$11:$B$12))</x:f>
        <x:v>10518.2</x:v>
      </x:c>
      <x:c r="AI257" s="24" t="n">
        <x:f>IF($A257="","",M257*Settings!$B$16)</x:f>
        <x:v>1880.01</x:v>
      </x:c>
      <x:c r="AJ257" s="24" t="n">
        <x:f>IF($A257="","",M257*Settings!$B$15)</x:f>
        <x:v>229.99</x:v>
      </x:c>
      <x:c r="AK257" s="24" t="n">
        <x:f>IF($A257="","",O257*Settings!$B$18)</x:f>
        <x:v>0</x:v>
      </x:c>
      <x:c r="AL257" s="24" t="n">
        <x:f>IF($A257="","",P257*Settings!$B$20+Q257*Settings!$B$21+R257*Settings!$B$22+S257*Settings!$B$23)</x:f>
        <x:v>0</x:v>
      </x:c>
      <x:c r="AM257" s="24" t="n">
        <x:f>IF($A257="","",T257*Settings!$B$24)</x:f>
        <x:v>40</x:v>
      </x:c>
      <x:c r="AN257" s="23" t="n">
        <x:f>IF($A257="","",SUM(AI257,N257,AK257:AM257,U257))</x:f>
        <x:v>2170.01</x:v>
      </x:c>
      <x:c r="AO257" s="23" t="n">
        <x:f>IF($A257="","",SUM(AD257:AI257,N257,AK257:AM257,U257))</x:f>
        <x:v>57594.61000000001</x:v>
      </x:c>
      <x:c r="AP257" s="24" t="n">
        <x:f>IF($A257="","",G257*F257*AB257*((13-Settings!$B$9)*(1+H257*I257)+J257)*(1+SUM(Settings!$B$11:$B$12)))</x:f>
        <x:v>1212.1724999999997</x:v>
      </x:c>
      <x:c r="AQ257" s="23" t="n">
        <x:f>IF($A257="","",SUM(AO257:AP257))</x:f>
        <x:v>58806.78250000001</x:v>
      </x:c>
      <x:c r="AR257" s="23" t="n">
        <x:f>IF($A257="","",AQ257-X257)</x:f>
        <x:v>-893.2174999999916</x:v>
      </x:c>
      <x:c r="AS257" s="22" t="n">
        <x:f>IF($A257="","",IF(W257=0,"n.a.",V257/W257))</x:f>
        <x:v>0.034782608695652174</x:v>
      </x:c>
      <x:c r="AT257" s="26" t="str">
        <x:f>IF($A257="",IF(COUNTA(B257:Y257)&gt;0,"Missing ID",""),IF(COUNTIFS($A$9:$A$508,A257)&gt;1,"Duplicate ID",IF(OR(B257="",C257="",D257="",E257="",COUNT(F257:X257)&lt;&gt;19),"Missing / text input",IF(OR(COUNTIFS(Settings!$A$59:$A$64,B257)&lt;&gt;1,COUNTIFS(Settings!$A$29:$A$33,E257)&lt;&gt;1),"Unknown department / grade",IF(OR(F257&lt;=0,F257&gt;1,G257&lt;=0,L257&lt;=0,H257&lt;0,I257&lt;0,J257&lt;0,K257&lt;0,K257&gt;1,MIN(M257:X257)&lt;0,W257=0,V257&gt;W257,M257&gt;W257-V257,P257&gt;8,Q257&gt;4,R257&gt;12,S257&gt;12,T257&gt;1,AB257&lt;0),"Review quantity / rate",IF(OR(N257&gt;Settings!$C$17,AK257&gt;Settings!$C$19),"Review benefit ceiling","OK"))))))</x:f>
        <x:v>OK</x:v>
      </x:c>
    </x:row>
    <x:row r="258" ht="23" customHeight="1">
      <x:c r="A258" s="8" t="str">
        <x:v>BE-0250</x:v>
      </x:c>
      <x:c r="B258" s="8" t="str">
        <x:v>Sales</x:v>
      </x:c>
      <x:c r="C258" s="8" t="str">
        <x:v>Brussels</x:v>
      </x:c>
      <x:c r="D258" s="8" t="str">
        <x:v>Account manager</x:v>
      </x:c>
      <x:c r="E258" s="8" t="str">
        <x:v>G2</x:v>
      </x:c>
      <x:c r="F258" s="20" t="n">
        <x:v>1</x:v>
      </x:c>
      <x:c r="G258" s="12" t="n">
        <x:v>3630</x:v>
      </x:c>
      <x:c r="H258" s="21" t="n">
        <x:v>0.05</x:v>
      </x:c>
      <x:c r="I258" s="20" t="n">
        <x:v>0.8</x:v>
      </x:c>
      <x:c r="J258" s="20" t="n">
        <x:v>1</x:v>
      </x:c>
      <x:c r="K258" s="20" t="n">
        <x:v>1</x:v>
      </x:c>
      <x:c r="L258" s="12" t="n">
        <x:v>3630</x:v>
      </x:c>
      <x:c r="M258" s="8" t="n">
        <x:v>210</x:v>
      </x:c>
      <x:c r="N258" s="12" t="n">
        <x:v>250</x:v>
      </x:c>
      <x:c r="O258" s="8" t="n">
        <x:v>520</x:v>
      </x:c>
      <x:c r="P258" s="8" t="n">
        <x:v>8</x:v>
      </x:c>
      <x:c r="Q258" s="8" t="n">
        <x:v>4</x:v>
      </x:c>
      <x:c r="R258" s="8" t="n">
        <x:v>12</x:v>
      </x:c>
      <x:c r="S258" s="8" t="n">
        <x:v>0</x:v>
      </x:c>
      <x:c r="T258" s="8" t="n">
        <x:v>1</x:v>
      </x:c>
      <x:c r="U258" s="12" t="n">
        <x:v>0</x:v>
      </x:c>
      <x:c r="V258" s="8" t="n">
        <x:v>9</x:v>
      </x:c>
      <x:c r="W258" s="8" t="n">
        <x:v>230</x:v>
      </x:c>
      <x:c r="X258" s="12" t="n">
        <x:v>71500</x:v>
      </x:c>
      <x:c r="Y258" s="21"/>
      <x:c r="Z258" s="24" t="n">
        <x:f>IF($A258="","",INDEX(Settings!$C$29:$C$33,MATCH(E258,Settings!$A$29:$A$33,0)))</x:f>
        <x:v>3300</x:v>
      </x:c>
      <x:c r="AA258" s="22" t="n">
        <x:f>IF($A258="","",G258/Z258)</x:f>
        <x:v>1.1</x:v>
      </x:c>
      <x:c r="AB258" s="25" t="n">
        <x:f>IF($A258="","",IF(ISNUMBER(Y258),Y258,Settings!$B$10))</x:f>
        <x:v>0.03</x:v>
      </x:c>
      <x:c r="AC258" s="23" t="n">
        <x:f>IF($A258="","",G258*(1+AB258))</x:f>
        <x:v>3738.9</x:v>
      </x:c>
      <x:c r="AD258" s="23" t="n">
        <x:f>IF($A258="","",G258*F258*12)</x:f>
        <x:v>43560</x:v>
      </x:c>
      <x:c r="AE258" s="23" t="n">
        <x:f>IF($A258="","",G258*F258*J258)</x:f>
        <x:v>3630</x:v>
      </x:c>
      <x:c r="AF258" s="24" t="n">
        <x:f>IF($A258="","",L258*F258*K258*Settings!$B$13)</x:f>
        <x:v>3339.6000000000004</x:v>
      </x:c>
      <x:c r="AG258" s="23" t="n">
        <x:f>IF($A258="","",AD258*H258*I258)</x:f>
        <x:v>1742.4</x:v>
      </x:c>
      <x:c r="AH258" s="24" t="n">
        <x:f>IF($A258="","",SUM(AD258:AE258,AG258)*SUM(Settings!$B$11:$B$12))</x:f>
        <x:v>12233.1</x:v>
      </x:c>
      <x:c r="AI258" s="24" t="n">
        <x:f>IF($A258="","",M258*Settings!$B$16)</x:f>
        <x:v>1871.1000000000001</x:v>
      </x:c>
      <x:c r="AJ258" s="24" t="n">
        <x:f>IF($A258="","",M258*Settings!$B$15)</x:f>
        <x:v>228.9</x:v>
      </x:c>
      <x:c r="AK258" s="24" t="n">
        <x:f>IF($A258="","",O258*Settings!$B$18)</x:f>
        <x:v>192.4</x:v>
      </x:c>
      <x:c r="AL258" s="24" t="n">
        <x:f>IF($A258="","",P258*Settings!$B$20+Q258*Settings!$B$21+R258*Settings!$B$22+S258*Settings!$B$23)</x:f>
        <x:v>2184.76</x:v>
      </x:c>
      <x:c r="AM258" s="24" t="n">
        <x:f>IF($A258="","",T258*Settings!$B$24)</x:f>
        <x:v>40</x:v>
      </x:c>
      <x:c r="AN258" s="23" t="n">
        <x:f>IF($A258="","",SUM(AI258,N258,AK258:AM258,U258))</x:f>
        <x:v>4538.26</x:v>
      </x:c>
      <x:c r="AO258" s="23" t="n">
        <x:f>IF($A258="","",SUM(AD258:AI258,N258,AK258:AM258,U258))</x:f>
        <x:v>69043.36</x:v>
      </x:c>
      <x:c r="AP258" s="24" t="n">
        <x:f>IF($A258="","",G258*F258*AB258*((13-Settings!$B$9)*(1+H258*I258)+J258)*(1+SUM(Settings!$B$11:$B$12)))</x:f>
        <x:v>1410.2549999999999</x:v>
      </x:c>
      <x:c r="AQ258" s="23" t="n">
        <x:f>IF($A258="","",SUM(AO258:AP258))</x:f>
        <x:v>70453.615</x:v>
      </x:c>
      <x:c r="AR258" s="23" t="n">
        <x:f>IF($A258="","",AQ258-X258)</x:f>
        <x:v>-1046.3849999999948</x:v>
      </x:c>
      <x:c r="AS258" s="22" t="n">
        <x:f>IF($A258="","",IF(W258=0,"n.a.",V258/W258))</x:f>
        <x:v>0.0391304347826087</x:v>
      </x:c>
      <x:c r="AT258" s="26" t="str">
        <x:f>IF($A258="",IF(COUNTA(B258:Y258)&gt;0,"Missing ID",""),IF(COUNTIFS($A$9:$A$508,A258)&gt;1,"Duplicate ID",IF(OR(B258="",C258="",D258="",E258="",COUNT(F258:X258)&lt;&gt;19),"Missing / text input",IF(OR(COUNTIFS(Settings!$A$59:$A$64,B258)&lt;&gt;1,COUNTIFS(Settings!$A$29:$A$33,E258)&lt;&gt;1),"Unknown department / grade",IF(OR(F258&lt;=0,F258&gt;1,G258&lt;=0,L258&lt;=0,H258&lt;0,I258&lt;0,J258&lt;0,K258&lt;0,K258&gt;1,MIN(M258:X258)&lt;0,W258=0,V258&gt;W258,M258&gt;W258-V258,P258&gt;8,Q258&gt;4,R258&gt;12,S258&gt;12,T258&gt;1,AB258&lt;0),"Review quantity / rate",IF(OR(N258&gt;Settings!$C$17,AK258&gt;Settings!$C$19),"Review benefit ceiling","OK"))))))</x:f>
        <x:v>OK</x:v>
      </x:c>
    </x:row>
    <x:row r="259" ht="23" customHeight="1">
      <x:c r="A259" s="8"/>
      <x:c r="B259" s="8"/>
      <x:c r="C259" s="8"/>
      <x:c r="D259" s="8"/>
      <x:c r="E259" s="8"/>
      <x:c r="F259" s="20"/>
      <x:c r="G259" s="12"/>
      <x:c r="H259" s="21"/>
      <x:c r="I259" s="20"/>
      <x:c r="J259" s="20"/>
      <x:c r="K259" s="20"/>
      <x:c r="L259" s="12"/>
      <x:c r="M259" s="8"/>
      <x:c r="N259" s="12"/>
      <x:c r="O259" s="8"/>
      <x:c r="P259" s="8"/>
      <x:c r="Q259" s="8"/>
      <x:c r="R259" s="8"/>
      <x:c r="S259" s="8"/>
      <x:c r="T259" s="8"/>
      <x:c r="U259" s="12"/>
      <x:c r="V259" s="8"/>
      <x:c r="W259" s="8"/>
      <x:c r="X259" s="12"/>
      <x:c r="Y259" s="21"/>
      <x:c r="Z259" s="24" t="str">
        <x:f>IF($A259="","",INDEX(Settings!$C$29:$C$33,MATCH(E259,Settings!$A$29:$A$33,0)))</x:f>
      </x:c>
      <x:c r="AA259" s="22" t="str">
        <x:f>IF($A259="","",G259/Z259)</x:f>
      </x:c>
      <x:c r="AB259" s="25" t="str">
        <x:f>IF($A259="","",IF(ISNUMBER(Y259),Y259,Settings!$B$10))</x:f>
      </x:c>
      <x:c r="AC259" s="23" t="str">
        <x:f>IF($A259="","",G259*(1+AB259))</x:f>
      </x:c>
      <x:c r="AD259" s="23" t="str">
        <x:f>IF($A259="","",G259*F259*12)</x:f>
      </x:c>
      <x:c r="AE259" s="23" t="str">
        <x:f>IF($A259="","",G259*F259*J259)</x:f>
      </x:c>
      <x:c r="AF259" s="24" t="str">
        <x:f>IF($A259="","",L259*F259*K259*Settings!$B$13)</x:f>
      </x:c>
      <x:c r="AG259" s="23" t="str">
        <x:f>IF($A259="","",AD259*H259*I259)</x:f>
      </x:c>
      <x:c r="AH259" s="24" t="str">
        <x:f>IF($A259="","",SUM(AD259:AE259,AG259)*SUM(Settings!$B$11:$B$12))</x:f>
      </x:c>
      <x:c r="AI259" s="24" t="str">
        <x:f>IF($A259="","",M259*Settings!$B$16)</x:f>
      </x:c>
      <x:c r="AJ259" s="24" t="str">
        <x:f>IF($A259="","",M259*Settings!$B$15)</x:f>
      </x:c>
      <x:c r="AK259" s="24" t="str">
        <x:f>IF($A259="","",O259*Settings!$B$18)</x:f>
      </x:c>
      <x:c r="AL259" s="24" t="str">
        <x:f>IF($A259="","",P259*Settings!$B$20+Q259*Settings!$B$21+R259*Settings!$B$22+S259*Settings!$B$23)</x:f>
      </x:c>
      <x:c r="AM259" s="24" t="str">
        <x:f>IF($A259="","",T259*Settings!$B$24)</x:f>
      </x:c>
      <x:c r="AN259" s="23" t="str">
        <x:f>IF($A259="","",SUM(AI259,N259,AK259:AM259,U259))</x:f>
      </x:c>
      <x:c r="AO259" s="23" t="str">
        <x:f>IF($A259="","",SUM(AD259:AI259,N259,AK259:AM259,U259))</x:f>
      </x:c>
      <x:c r="AP259" s="24" t="str">
        <x:f>IF($A259="","",G259*F259*AB259*((13-Settings!$B$9)*(1+H259*I259)+J259)*(1+SUM(Settings!$B$11:$B$12)))</x:f>
      </x:c>
      <x:c r="AQ259" s="23" t="str">
        <x:f>IF($A259="","",SUM(AO259:AP259))</x:f>
      </x:c>
      <x:c r="AR259" s="23" t="str">
        <x:f>IF($A259="","",AQ259-X259)</x:f>
      </x:c>
      <x:c r="AS259" s="22" t="str">
        <x:f>IF($A259="","",IF(W259=0,"n.a.",V259/W259))</x:f>
      </x:c>
      <x:c r="AT259" s="26" t="str">
        <x:f>IF($A259="",IF(COUNTA(B259:Y259)&gt;0,"Missing ID",""),IF(COUNTIFS($A$9:$A$508,A259)&gt;1,"Duplicate ID",IF(OR(B259="",C259="",D259="",E259="",COUNT(F259:X259)&lt;&gt;19),"Missing / text input",IF(OR(COUNTIFS(Settings!$A$59:$A$64,B259)&lt;&gt;1,COUNTIFS(Settings!$A$29:$A$33,E259)&lt;&gt;1),"Unknown department / grade",IF(OR(F259&lt;=0,F259&gt;1,G259&lt;=0,L259&lt;=0,H259&lt;0,I259&lt;0,J259&lt;0,K259&lt;0,K259&gt;1,MIN(M259:X259)&lt;0,W259=0,V259&gt;W259,M259&gt;W259-V259,P259&gt;8,Q259&gt;4,R259&gt;12,S259&gt;12,T259&gt;1,AB259&lt;0),"Review quantity / rate",IF(OR(N259&gt;Settings!$C$17,AK259&gt;Settings!$C$19),"Review benefit ceiling","OK"))))))</x:f>
      </x:c>
    </x:row>
    <x:row r="260" ht="23" customHeight="1">
      <x:c r="A260" s="8"/>
      <x:c r="B260" s="8"/>
      <x:c r="C260" s="8"/>
      <x:c r="D260" s="8"/>
      <x:c r="E260" s="8"/>
      <x:c r="F260" s="20"/>
      <x:c r="G260" s="12"/>
      <x:c r="H260" s="21"/>
      <x:c r="I260" s="20"/>
      <x:c r="J260" s="20"/>
      <x:c r="K260" s="20"/>
      <x:c r="L260" s="12"/>
      <x:c r="M260" s="8"/>
      <x:c r="N260" s="12"/>
      <x:c r="O260" s="8"/>
      <x:c r="P260" s="8"/>
      <x:c r="Q260" s="8"/>
      <x:c r="R260" s="8"/>
      <x:c r="S260" s="8"/>
      <x:c r="T260" s="8"/>
      <x:c r="U260" s="12"/>
      <x:c r="V260" s="8"/>
      <x:c r="W260" s="8"/>
      <x:c r="X260" s="12"/>
      <x:c r="Y260" s="21"/>
      <x:c r="Z260" s="24" t="str">
        <x:f>IF($A260="","",INDEX(Settings!$C$29:$C$33,MATCH(E260,Settings!$A$29:$A$33,0)))</x:f>
      </x:c>
      <x:c r="AA260" s="22" t="str">
        <x:f>IF($A260="","",G260/Z260)</x:f>
      </x:c>
      <x:c r="AB260" s="25" t="str">
        <x:f>IF($A260="","",IF(ISNUMBER(Y260),Y260,Settings!$B$10))</x:f>
      </x:c>
      <x:c r="AC260" s="23" t="str">
        <x:f>IF($A260="","",G260*(1+AB260))</x:f>
      </x:c>
      <x:c r="AD260" s="23" t="str">
        <x:f>IF($A260="","",G260*F260*12)</x:f>
      </x:c>
      <x:c r="AE260" s="23" t="str">
        <x:f>IF($A260="","",G260*F260*J260)</x:f>
      </x:c>
      <x:c r="AF260" s="24" t="str">
        <x:f>IF($A260="","",L260*F260*K260*Settings!$B$13)</x:f>
      </x:c>
      <x:c r="AG260" s="23" t="str">
        <x:f>IF($A260="","",AD260*H260*I260)</x:f>
      </x:c>
      <x:c r="AH260" s="24" t="str">
        <x:f>IF($A260="","",SUM(AD260:AE260,AG260)*SUM(Settings!$B$11:$B$12))</x:f>
      </x:c>
      <x:c r="AI260" s="24" t="str">
        <x:f>IF($A260="","",M260*Settings!$B$16)</x:f>
      </x:c>
      <x:c r="AJ260" s="24" t="str">
        <x:f>IF($A260="","",M260*Settings!$B$15)</x:f>
      </x:c>
      <x:c r="AK260" s="24" t="str">
        <x:f>IF($A260="","",O260*Settings!$B$18)</x:f>
      </x:c>
      <x:c r="AL260" s="24" t="str">
        <x:f>IF($A260="","",P260*Settings!$B$20+Q260*Settings!$B$21+R260*Settings!$B$22+S260*Settings!$B$23)</x:f>
      </x:c>
      <x:c r="AM260" s="24" t="str">
        <x:f>IF($A260="","",T260*Settings!$B$24)</x:f>
      </x:c>
      <x:c r="AN260" s="23" t="str">
        <x:f>IF($A260="","",SUM(AI260,N260,AK260:AM260,U260))</x:f>
      </x:c>
      <x:c r="AO260" s="23" t="str">
        <x:f>IF($A260="","",SUM(AD260:AI260,N260,AK260:AM260,U260))</x:f>
      </x:c>
      <x:c r="AP260" s="24" t="str">
        <x:f>IF($A260="","",G260*F260*AB260*((13-Settings!$B$9)*(1+H260*I260)+J260)*(1+SUM(Settings!$B$11:$B$12)))</x:f>
      </x:c>
      <x:c r="AQ260" s="23" t="str">
        <x:f>IF($A260="","",SUM(AO260:AP260))</x:f>
      </x:c>
      <x:c r="AR260" s="23" t="str">
        <x:f>IF($A260="","",AQ260-X260)</x:f>
      </x:c>
      <x:c r="AS260" s="22" t="str">
        <x:f>IF($A260="","",IF(W260=0,"n.a.",V260/W260))</x:f>
      </x:c>
      <x:c r="AT260" s="26" t="str">
        <x:f>IF($A260="",IF(COUNTA(B260:Y260)&gt;0,"Missing ID",""),IF(COUNTIFS($A$9:$A$508,A260)&gt;1,"Duplicate ID",IF(OR(B260="",C260="",D260="",E260="",COUNT(F260:X260)&lt;&gt;19),"Missing / text input",IF(OR(COUNTIFS(Settings!$A$59:$A$64,B260)&lt;&gt;1,COUNTIFS(Settings!$A$29:$A$33,E260)&lt;&gt;1),"Unknown department / grade",IF(OR(F260&lt;=0,F260&gt;1,G260&lt;=0,L260&lt;=0,H260&lt;0,I260&lt;0,J260&lt;0,K260&lt;0,K260&gt;1,MIN(M260:X260)&lt;0,W260=0,V260&gt;W260,M260&gt;W260-V260,P260&gt;8,Q260&gt;4,R260&gt;12,S260&gt;12,T260&gt;1,AB260&lt;0),"Review quantity / rate",IF(OR(N260&gt;Settings!$C$17,AK260&gt;Settings!$C$19),"Review benefit ceiling","OK"))))))</x:f>
      </x:c>
    </x:row>
    <x:row r="261" ht="23" customHeight="1">
      <x:c r="A261" s="8"/>
      <x:c r="B261" s="8"/>
      <x:c r="C261" s="8"/>
      <x:c r="D261" s="8"/>
      <x:c r="E261" s="8"/>
      <x:c r="F261" s="20"/>
      <x:c r="G261" s="12"/>
      <x:c r="H261" s="21"/>
      <x:c r="I261" s="20"/>
      <x:c r="J261" s="20"/>
      <x:c r="K261" s="20"/>
      <x:c r="L261" s="12"/>
      <x:c r="M261" s="8"/>
      <x:c r="N261" s="12"/>
      <x:c r="O261" s="8"/>
      <x:c r="P261" s="8"/>
      <x:c r="Q261" s="8"/>
      <x:c r="R261" s="8"/>
      <x:c r="S261" s="8"/>
      <x:c r="T261" s="8"/>
      <x:c r="U261" s="12"/>
      <x:c r="V261" s="8"/>
      <x:c r="W261" s="8"/>
      <x:c r="X261" s="12"/>
      <x:c r="Y261" s="21"/>
      <x:c r="Z261" s="24" t="str">
        <x:f>IF($A261="","",INDEX(Settings!$C$29:$C$33,MATCH(E261,Settings!$A$29:$A$33,0)))</x:f>
      </x:c>
      <x:c r="AA261" s="22" t="str">
        <x:f>IF($A261="","",G261/Z261)</x:f>
      </x:c>
      <x:c r="AB261" s="25" t="str">
        <x:f>IF($A261="","",IF(ISNUMBER(Y261),Y261,Settings!$B$10))</x:f>
      </x:c>
      <x:c r="AC261" s="23" t="str">
        <x:f>IF($A261="","",G261*(1+AB261))</x:f>
      </x:c>
      <x:c r="AD261" s="23" t="str">
        <x:f>IF($A261="","",G261*F261*12)</x:f>
      </x:c>
      <x:c r="AE261" s="23" t="str">
        <x:f>IF($A261="","",G261*F261*J261)</x:f>
      </x:c>
      <x:c r="AF261" s="24" t="str">
        <x:f>IF($A261="","",L261*F261*K261*Settings!$B$13)</x:f>
      </x:c>
      <x:c r="AG261" s="23" t="str">
        <x:f>IF($A261="","",AD261*H261*I261)</x:f>
      </x:c>
      <x:c r="AH261" s="24" t="str">
        <x:f>IF($A261="","",SUM(AD261:AE261,AG261)*SUM(Settings!$B$11:$B$12))</x:f>
      </x:c>
      <x:c r="AI261" s="24" t="str">
        <x:f>IF($A261="","",M261*Settings!$B$16)</x:f>
      </x:c>
      <x:c r="AJ261" s="24" t="str">
        <x:f>IF($A261="","",M261*Settings!$B$15)</x:f>
      </x:c>
      <x:c r="AK261" s="24" t="str">
        <x:f>IF($A261="","",O261*Settings!$B$18)</x:f>
      </x:c>
      <x:c r="AL261" s="24" t="str">
        <x:f>IF($A261="","",P261*Settings!$B$20+Q261*Settings!$B$21+R261*Settings!$B$22+S261*Settings!$B$23)</x:f>
      </x:c>
      <x:c r="AM261" s="24" t="str">
        <x:f>IF($A261="","",T261*Settings!$B$24)</x:f>
      </x:c>
      <x:c r="AN261" s="23" t="str">
        <x:f>IF($A261="","",SUM(AI261,N261,AK261:AM261,U261))</x:f>
      </x:c>
      <x:c r="AO261" s="23" t="str">
        <x:f>IF($A261="","",SUM(AD261:AI261,N261,AK261:AM261,U261))</x:f>
      </x:c>
      <x:c r="AP261" s="24" t="str">
        <x:f>IF($A261="","",G261*F261*AB261*((13-Settings!$B$9)*(1+H261*I261)+J261)*(1+SUM(Settings!$B$11:$B$12)))</x:f>
      </x:c>
      <x:c r="AQ261" s="23" t="str">
        <x:f>IF($A261="","",SUM(AO261:AP261))</x:f>
      </x:c>
      <x:c r="AR261" s="23" t="str">
        <x:f>IF($A261="","",AQ261-X261)</x:f>
      </x:c>
      <x:c r="AS261" s="22" t="str">
        <x:f>IF($A261="","",IF(W261=0,"n.a.",V261/W261))</x:f>
      </x:c>
      <x:c r="AT261" s="26" t="str">
        <x:f>IF($A261="",IF(COUNTA(B261:Y261)&gt;0,"Missing ID",""),IF(COUNTIFS($A$9:$A$508,A261)&gt;1,"Duplicate ID",IF(OR(B261="",C261="",D261="",E261="",COUNT(F261:X261)&lt;&gt;19),"Missing / text input",IF(OR(COUNTIFS(Settings!$A$59:$A$64,B261)&lt;&gt;1,COUNTIFS(Settings!$A$29:$A$33,E261)&lt;&gt;1),"Unknown department / grade",IF(OR(F261&lt;=0,F261&gt;1,G261&lt;=0,L261&lt;=0,H261&lt;0,I261&lt;0,J261&lt;0,K261&lt;0,K261&gt;1,MIN(M261:X261)&lt;0,W261=0,V261&gt;W261,M261&gt;W261-V261,P261&gt;8,Q261&gt;4,R261&gt;12,S261&gt;12,T261&gt;1,AB261&lt;0),"Review quantity / rate",IF(OR(N261&gt;Settings!$C$17,AK261&gt;Settings!$C$19),"Review benefit ceiling","OK"))))))</x:f>
      </x:c>
    </x:row>
    <x:row r="262" ht="23" customHeight="1">
      <x:c r="A262" s="8"/>
      <x:c r="B262" s="8"/>
      <x:c r="C262" s="8"/>
      <x:c r="D262" s="8"/>
      <x:c r="E262" s="8"/>
      <x:c r="F262" s="20"/>
      <x:c r="G262" s="12"/>
      <x:c r="H262" s="21"/>
      <x:c r="I262" s="20"/>
      <x:c r="J262" s="20"/>
      <x:c r="K262" s="20"/>
      <x:c r="L262" s="12"/>
      <x:c r="M262" s="8"/>
      <x:c r="N262" s="12"/>
      <x:c r="O262" s="8"/>
      <x:c r="P262" s="8"/>
      <x:c r="Q262" s="8"/>
      <x:c r="R262" s="8"/>
      <x:c r="S262" s="8"/>
      <x:c r="T262" s="8"/>
      <x:c r="U262" s="12"/>
      <x:c r="V262" s="8"/>
      <x:c r="W262" s="8"/>
      <x:c r="X262" s="12"/>
      <x:c r="Y262" s="21"/>
      <x:c r="Z262" s="24" t="str">
        <x:f>IF($A262="","",INDEX(Settings!$C$29:$C$33,MATCH(E262,Settings!$A$29:$A$33,0)))</x:f>
      </x:c>
      <x:c r="AA262" s="22" t="str">
        <x:f>IF($A262="","",G262/Z262)</x:f>
      </x:c>
      <x:c r="AB262" s="25" t="str">
        <x:f>IF($A262="","",IF(ISNUMBER(Y262),Y262,Settings!$B$10))</x:f>
      </x:c>
      <x:c r="AC262" s="23" t="str">
        <x:f>IF($A262="","",G262*(1+AB262))</x:f>
      </x:c>
      <x:c r="AD262" s="23" t="str">
        <x:f>IF($A262="","",G262*F262*12)</x:f>
      </x:c>
      <x:c r="AE262" s="23" t="str">
        <x:f>IF($A262="","",G262*F262*J262)</x:f>
      </x:c>
      <x:c r="AF262" s="24" t="str">
        <x:f>IF($A262="","",L262*F262*K262*Settings!$B$13)</x:f>
      </x:c>
      <x:c r="AG262" s="23" t="str">
        <x:f>IF($A262="","",AD262*H262*I262)</x:f>
      </x:c>
      <x:c r="AH262" s="24" t="str">
        <x:f>IF($A262="","",SUM(AD262:AE262,AG262)*SUM(Settings!$B$11:$B$12))</x:f>
      </x:c>
      <x:c r="AI262" s="24" t="str">
        <x:f>IF($A262="","",M262*Settings!$B$16)</x:f>
      </x:c>
      <x:c r="AJ262" s="24" t="str">
        <x:f>IF($A262="","",M262*Settings!$B$15)</x:f>
      </x:c>
      <x:c r="AK262" s="24" t="str">
        <x:f>IF($A262="","",O262*Settings!$B$18)</x:f>
      </x:c>
      <x:c r="AL262" s="24" t="str">
        <x:f>IF($A262="","",P262*Settings!$B$20+Q262*Settings!$B$21+R262*Settings!$B$22+S262*Settings!$B$23)</x:f>
      </x:c>
      <x:c r="AM262" s="24" t="str">
        <x:f>IF($A262="","",T262*Settings!$B$24)</x:f>
      </x:c>
      <x:c r="AN262" s="23" t="str">
        <x:f>IF($A262="","",SUM(AI262,N262,AK262:AM262,U262))</x:f>
      </x:c>
      <x:c r="AO262" s="23" t="str">
        <x:f>IF($A262="","",SUM(AD262:AI262,N262,AK262:AM262,U262))</x:f>
      </x:c>
      <x:c r="AP262" s="24" t="str">
        <x:f>IF($A262="","",G262*F262*AB262*((13-Settings!$B$9)*(1+H262*I262)+J262)*(1+SUM(Settings!$B$11:$B$12)))</x:f>
      </x:c>
      <x:c r="AQ262" s="23" t="str">
        <x:f>IF($A262="","",SUM(AO262:AP262))</x:f>
      </x:c>
      <x:c r="AR262" s="23" t="str">
        <x:f>IF($A262="","",AQ262-X262)</x:f>
      </x:c>
      <x:c r="AS262" s="22" t="str">
        <x:f>IF($A262="","",IF(W262=0,"n.a.",V262/W262))</x:f>
      </x:c>
      <x:c r="AT262" s="26" t="str">
        <x:f>IF($A262="",IF(COUNTA(B262:Y262)&gt;0,"Missing ID",""),IF(COUNTIFS($A$9:$A$508,A262)&gt;1,"Duplicate ID",IF(OR(B262="",C262="",D262="",E262="",COUNT(F262:X262)&lt;&gt;19),"Missing / text input",IF(OR(COUNTIFS(Settings!$A$59:$A$64,B262)&lt;&gt;1,COUNTIFS(Settings!$A$29:$A$33,E262)&lt;&gt;1),"Unknown department / grade",IF(OR(F262&lt;=0,F262&gt;1,G262&lt;=0,L262&lt;=0,H262&lt;0,I262&lt;0,J262&lt;0,K262&lt;0,K262&gt;1,MIN(M262:X262)&lt;0,W262=0,V262&gt;W262,M262&gt;W262-V262,P262&gt;8,Q262&gt;4,R262&gt;12,S262&gt;12,T262&gt;1,AB262&lt;0),"Review quantity / rate",IF(OR(N262&gt;Settings!$C$17,AK262&gt;Settings!$C$19),"Review benefit ceiling","OK"))))))</x:f>
      </x:c>
    </x:row>
    <x:row r="263" ht="23" customHeight="1">
      <x:c r="A263" s="8"/>
      <x:c r="B263" s="8"/>
      <x:c r="C263" s="8"/>
      <x:c r="D263" s="8"/>
      <x:c r="E263" s="8"/>
      <x:c r="F263" s="20"/>
      <x:c r="G263" s="12"/>
      <x:c r="H263" s="21"/>
      <x:c r="I263" s="20"/>
      <x:c r="J263" s="20"/>
      <x:c r="K263" s="20"/>
      <x:c r="L263" s="12"/>
      <x:c r="M263" s="8"/>
      <x:c r="N263" s="12"/>
      <x:c r="O263" s="8"/>
      <x:c r="P263" s="8"/>
      <x:c r="Q263" s="8"/>
      <x:c r="R263" s="8"/>
      <x:c r="S263" s="8"/>
      <x:c r="T263" s="8"/>
      <x:c r="U263" s="12"/>
      <x:c r="V263" s="8"/>
      <x:c r="W263" s="8"/>
      <x:c r="X263" s="12"/>
      <x:c r="Y263" s="21"/>
      <x:c r="Z263" s="24" t="str">
        <x:f>IF($A263="","",INDEX(Settings!$C$29:$C$33,MATCH(E263,Settings!$A$29:$A$33,0)))</x:f>
      </x:c>
      <x:c r="AA263" s="22" t="str">
        <x:f>IF($A263="","",G263/Z263)</x:f>
      </x:c>
      <x:c r="AB263" s="25" t="str">
        <x:f>IF($A263="","",IF(ISNUMBER(Y263),Y263,Settings!$B$10))</x:f>
      </x:c>
      <x:c r="AC263" s="23" t="str">
        <x:f>IF($A263="","",G263*(1+AB263))</x:f>
      </x:c>
      <x:c r="AD263" s="23" t="str">
        <x:f>IF($A263="","",G263*F263*12)</x:f>
      </x:c>
      <x:c r="AE263" s="23" t="str">
        <x:f>IF($A263="","",G263*F263*J263)</x:f>
      </x:c>
      <x:c r="AF263" s="24" t="str">
        <x:f>IF($A263="","",L263*F263*K263*Settings!$B$13)</x:f>
      </x:c>
      <x:c r="AG263" s="23" t="str">
        <x:f>IF($A263="","",AD263*H263*I263)</x:f>
      </x:c>
      <x:c r="AH263" s="24" t="str">
        <x:f>IF($A263="","",SUM(AD263:AE263,AG263)*SUM(Settings!$B$11:$B$12))</x:f>
      </x:c>
      <x:c r="AI263" s="24" t="str">
        <x:f>IF($A263="","",M263*Settings!$B$16)</x:f>
      </x:c>
      <x:c r="AJ263" s="24" t="str">
        <x:f>IF($A263="","",M263*Settings!$B$15)</x:f>
      </x:c>
      <x:c r="AK263" s="24" t="str">
        <x:f>IF($A263="","",O263*Settings!$B$18)</x:f>
      </x:c>
      <x:c r="AL263" s="24" t="str">
        <x:f>IF($A263="","",P263*Settings!$B$20+Q263*Settings!$B$21+R263*Settings!$B$22+S263*Settings!$B$23)</x:f>
      </x:c>
      <x:c r="AM263" s="24" t="str">
        <x:f>IF($A263="","",T263*Settings!$B$24)</x:f>
      </x:c>
      <x:c r="AN263" s="23" t="str">
        <x:f>IF($A263="","",SUM(AI263,N263,AK263:AM263,U263))</x:f>
      </x:c>
      <x:c r="AO263" s="23" t="str">
        <x:f>IF($A263="","",SUM(AD263:AI263,N263,AK263:AM263,U263))</x:f>
      </x:c>
      <x:c r="AP263" s="24" t="str">
        <x:f>IF($A263="","",G263*F263*AB263*((13-Settings!$B$9)*(1+H263*I263)+J263)*(1+SUM(Settings!$B$11:$B$12)))</x:f>
      </x:c>
      <x:c r="AQ263" s="23" t="str">
        <x:f>IF($A263="","",SUM(AO263:AP263))</x:f>
      </x:c>
      <x:c r="AR263" s="23" t="str">
        <x:f>IF($A263="","",AQ263-X263)</x:f>
      </x:c>
      <x:c r="AS263" s="22" t="str">
        <x:f>IF($A263="","",IF(W263=0,"n.a.",V263/W263))</x:f>
      </x:c>
      <x:c r="AT263" s="26" t="str">
        <x:f>IF($A263="",IF(COUNTA(B263:Y263)&gt;0,"Missing ID",""),IF(COUNTIFS($A$9:$A$508,A263)&gt;1,"Duplicate ID",IF(OR(B263="",C263="",D263="",E263="",COUNT(F263:X263)&lt;&gt;19),"Missing / text input",IF(OR(COUNTIFS(Settings!$A$59:$A$64,B263)&lt;&gt;1,COUNTIFS(Settings!$A$29:$A$33,E263)&lt;&gt;1),"Unknown department / grade",IF(OR(F263&lt;=0,F263&gt;1,G263&lt;=0,L263&lt;=0,H263&lt;0,I263&lt;0,J263&lt;0,K263&lt;0,K263&gt;1,MIN(M263:X263)&lt;0,W263=0,V263&gt;W263,M263&gt;W263-V263,P263&gt;8,Q263&gt;4,R263&gt;12,S263&gt;12,T263&gt;1,AB263&lt;0),"Review quantity / rate",IF(OR(N263&gt;Settings!$C$17,AK263&gt;Settings!$C$19),"Review benefit ceiling","OK"))))))</x:f>
      </x:c>
    </x:row>
    <x:row r="264" ht="23" customHeight="1">
      <x:c r="A264" s="8"/>
      <x:c r="B264" s="8"/>
      <x:c r="C264" s="8"/>
      <x:c r="D264" s="8"/>
      <x:c r="E264" s="8"/>
      <x:c r="F264" s="20"/>
      <x:c r="G264" s="12"/>
      <x:c r="H264" s="21"/>
      <x:c r="I264" s="20"/>
      <x:c r="J264" s="20"/>
      <x:c r="K264" s="20"/>
      <x:c r="L264" s="12"/>
      <x:c r="M264" s="8"/>
      <x:c r="N264" s="12"/>
      <x:c r="O264" s="8"/>
      <x:c r="P264" s="8"/>
      <x:c r="Q264" s="8"/>
      <x:c r="R264" s="8"/>
      <x:c r="S264" s="8"/>
      <x:c r="T264" s="8"/>
      <x:c r="U264" s="12"/>
      <x:c r="V264" s="8"/>
      <x:c r="W264" s="8"/>
      <x:c r="X264" s="12"/>
      <x:c r="Y264" s="21"/>
      <x:c r="Z264" s="24" t="str">
        <x:f>IF($A264="","",INDEX(Settings!$C$29:$C$33,MATCH(E264,Settings!$A$29:$A$33,0)))</x:f>
      </x:c>
      <x:c r="AA264" s="22" t="str">
        <x:f>IF($A264="","",G264/Z264)</x:f>
      </x:c>
      <x:c r="AB264" s="25" t="str">
        <x:f>IF($A264="","",IF(ISNUMBER(Y264),Y264,Settings!$B$10))</x:f>
      </x:c>
      <x:c r="AC264" s="23" t="str">
        <x:f>IF($A264="","",G264*(1+AB264))</x:f>
      </x:c>
      <x:c r="AD264" s="23" t="str">
        <x:f>IF($A264="","",G264*F264*12)</x:f>
      </x:c>
      <x:c r="AE264" s="23" t="str">
        <x:f>IF($A264="","",G264*F264*J264)</x:f>
      </x:c>
      <x:c r="AF264" s="24" t="str">
        <x:f>IF($A264="","",L264*F264*K264*Settings!$B$13)</x:f>
      </x:c>
      <x:c r="AG264" s="23" t="str">
        <x:f>IF($A264="","",AD264*H264*I264)</x:f>
      </x:c>
      <x:c r="AH264" s="24" t="str">
        <x:f>IF($A264="","",SUM(AD264:AE264,AG264)*SUM(Settings!$B$11:$B$12))</x:f>
      </x:c>
      <x:c r="AI264" s="24" t="str">
        <x:f>IF($A264="","",M264*Settings!$B$16)</x:f>
      </x:c>
      <x:c r="AJ264" s="24" t="str">
        <x:f>IF($A264="","",M264*Settings!$B$15)</x:f>
      </x:c>
      <x:c r="AK264" s="24" t="str">
        <x:f>IF($A264="","",O264*Settings!$B$18)</x:f>
      </x:c>
      <x:c r="AL264" s="24" t="str">
        <x:f>IF($A264="","",P264*Settings!$B$20+Q264*Settings!$B$21+R264*Settings!$B$22+S264*Settings!$B$23)</x:f>
      </x:c>
      <x:c r="AM264" s="24" t="str">
        <x:f>IF($A264="","",T264*Settings!$B$24)</x:f>
      </x:c>
      <x:c r="AN264" s="23" t="str">
        <x:f>IF($A264="","",SUM(AI264,N264,AK264:AM264,U264))</x:f>
      </x:c>
      <x:c r="AO264" s="23" t="str">
        <x:f>IF($A264="","",SUM(AD264:AI264,N264,AK264:AM264,U264))</x:f>
      </x:c>
      <x:c r="AP264" s="24" t="str">
        <x:f>IF($A264="","",G264*F264*AB264*((13-Settings!$B$9)*(1+H264*I264)+J264)*(1+SUM(Settings!$B$11:$B$12)))</x:f>
      </x:c>
      <x:c r="AQ264" s="23" t="str">
        <x:f>IF($A264="","",SUM(AO264:AP264))</x:f>
      </x:c>
      <x:c r="AR264" s="23" t="str">
        <x:f>IF($A264="","",AQ264-X264)</x:f>
      </x:c>
      <x:c r="AS264" s="22" t="str">
        <x:f>IF($A264="","",IF(W264=0,"n.a.",V264/W264))</x:f>
      </x:c>
      <x:c r="AT264" s="26" t="str">
        <x:f>IF($A264="",IF(COUNTA(B264:Y264)&gt;0,"Missing ID",""),IF(COUNTIFS($A$9:$A$508,A264)&gt;1,"Duplicate ID",IF(OR(B264="",C264="",D264="",E264="",COUNT(F264:X264)&lt;&gt;19),"Missing / text input",IF(OR(COUNTIFS(Settings!$A$59:$A$64,B264)&lt;&gt;1,COUNTIFS(Settings!$A$29:$A$33,E264)&lt;&gt;1),"Unknown department / grade",IF(OR(F264&lt;=0,F264&gt;1,G264&lt;=0,L264&lt;=0,H264&lt;0,I264&lt;0,J264&lt;0,K264&lt;0,K264&gt;1,MIN(M264:X264)&lt;0,W264=0,V264&gt;W264,M264&gt;W264-V264,P264&gt;8,Q264&gt;4,R264&gt;12,S264&gt;12,T264&gt;1,AB264&lt;0),"Review quantity / rate",IF(OR(N264&gt;Settings!$C$17,AK264&gt;Settings!$C$19),"Review benefit ceiling","OK"))))))</x:f>
      </x:c>
    </x:row>
    <x:row r="265" ht="23" customHeight="1">
      <x:c r="A265" s="8"/>
      <x:c r="B265" s="8"/>
      <x:c r="C265" s="8"/>
      <x:c r="D265" s="8"/>
      <x:c r="E265" s="8"/>
      <x:c r="F265" s="20"/>
      <x:c r="G265" s="12"/>
      <x:c r="H265" s="21"/>
      <x:c r="I265" s="20"/>
      <x:c r="J265" s="20"/>
      <x:c r="K265" s="20"/>
      <x:c r="L265" s="12"/>
      <x:c r="M265" s="8"/>
      <x:c r="N265" s="12"/>
      <x:c r="O265" s="8"/>
      <x:c r="P265" s="8"/>
      <x:c r="Q265" s="8"/>
      <x:c r="R265" s="8"/>
      <x:c r="S265" s="8"/>
      <x:c r="T265" s="8"/>
      <x:c r="U265" s="12"/>
      <x:c r="V265" s="8"/>
      <x:c r="W265" s="8"/>
      <x:c r="X265" s="12"/>
      <x:c r="Y265" s="21"/>
      <x:c r="Z265" s="24" t="str">
        <x:f>IF($A265="","",INDEX(Settings!$C$29:$C$33,MATCH(E265,Settings!$A$29:$A$33,0)))</x:f>
      </x:c>
      <x:c r="AA265" s="22" t="str">
        <x:f>IF($A265="","",G265/Z265)</x:f>
      </x:c>
      <x:c r="AB265" s="25" t="str">
        <x:f>IF($A265="","",IF(ISNUMBER(Y265),Y265,Settings!$B$10))</x:f>
      </x:c>
      <x:c r="AC265" s="23" t="str">
        <x:f>IF($A265="","",G265*(1+AB265))</x:f>
      </x:c>
      <x:c r="AD265" s="23" t="str">
        <x:f>IF($A265="","",G265*F265*12)</x:f>
      </x:c>
      <x:c r="AE265" s="23" t="str">
        <x:f>IF($A265="","",G265*F265*J265)</x:f>
      </x:c>
      <x:c r="AF265" s="24" t="str">
        <x:f>IF($A265="","",L265*F265*K265*Settings!$B$13)</x:f>
      </x:c>
      <x:c r="AG265" s="23" t="str">
        <x:f>IF($A265="","",AD265*H265*I265)</x:f>
      </x:c>
      <x:c r="AH265" s="24" t="str">
        <x:f>IF($A265="","",SUM(AD265:AE265,AG265)*SUM(Settings!$B$11:$B$12))</x:f>
      </x:c>
      <x:c r="AI265" s="24" t="str">
        <x:f>IF($A265="","",M265*Settings!$B$16)</x:f>
      </x:c>
      <x:c r="AJ265" s="24" t="str">
        <x:f>IF($A265="","",M265*Settings!$B$15)</x:f>
      </x:c>
      <x:c r="AK265" s="24" t="str">
        <x:f>IF($A265="","",O265*Settings!$B$18)</x:f>
      </x:c>
      <x:c r="AL265" s="24" t="str">
        <x:f>IF($A265="","",P265*Settings!$B$20+Q265*Settings!$B$21+R265*Settings!$B$22+S265*Settings!$B$23)</x:f>
      </x:c>
      <x:c r="AM265" s="24" t="str">
        <x:f>IF($A265="","",T265*Settings!$B$24)</x:f>
      </x:c>
      <x:c r="AN265" s="23" t="str">
        <x:f>IF($A265="","",SUM(AI265,N265,AK265:AM265,U265))</x:f>
      </x:c>
      <x:c r="AO265" s="23" t="str">
        <x:f>IF($A265="","",SUM(AD265:AI265,N265,AK265:AM265,U265))</x:f>
      </x:c>
      <x:c r="AP265" s="24" t="str">
        <x:f>IF($A265="","",G265*F265*AB265*((13-Settings!$B$9)*(1+H265*I265)+J265)*(1+SUM(Settings!$B$11:$B$12)))</x:f>
      </x:c>
      <x:c r="AQ265" s="23" t="str">
        <x:f>IF($A265="","",SUM(AO265:AP265))</x:f>
      </x:c>
      <x:c r="AR265" s="23" t="str">
        <x:f>IF($A265="","",AQ265-X265)</x:f>
      </x:c>
      <x:c r="AS265" s="22" t="str">
        <x:f>IF($A265="","",IF(W265=0,"n.a.",V265/W265))</x:f>
      </x:c>
      <x:c r="AT265" s="26" t="str">
        <x:f>IF($A265="",IF(COUNTA(B265:Y265)&gt;0,"Missing ID",""),IF(COUNTIFS($A$9:$A$508,A265)&gt;1,"Duplicate ID",IF(OR(B265="",C265="",D265="",E265="",COUNT(F265:X265)&lt;&gt;19),"Missing / text input",IF(OR(COUNTIFS(Settings!$A$59:$A$64,B265)&lt;&gt;1,COUNTIFS(Settings!$A$29:$A$33,E265)&lt;&gt;1),"Unknown department / grade",IF(OR(F265&lt;=0,F265&gt;1,G265&lt;=0,L265&lt;=0,H265&lt;0,I265&lt;0,J265&lt;0,K265&lt;0,K265&gt;1,MIN(M265:X265)&lt;0,W265=0,V265&gt;W265,M265&gt;W265-V265,P265&gt;8,Q265&gt;4,R265&gt;12,S265&gt;12,T265&gt;1,AB265&lt;0),"Review quantity / rate",IF(OR(N265&gt;Settings!$C$17,AK265&gt;Settings!$C$19),"Review benefit ceiling","OK"))))))</x:f>
      </x:c>
    </x:row>
    <x:row r="266" ht="23" customHeight="1">
      <x:c r="A266" s="8"/>
      <x:c r="B266" s="8"/>
      <x:c r="C266" s="8"/>
      <x:c r="D266" s="8"/>
      <x:c r="E266" s="8"/>
      <x:c r="F266" s="20"/>
      <x:c r="G266" s="12"/>
      <x:c r="H266" s="21"/>
      <x:c r="I266" s="20"/>
      <x:c r="J266" s="20"/>
      <x:c r="K266" s="20"/>
      <x:c r="L266" s="12"/>
      <x:c r="M266" s="8"/>
      <x:c r="N266" s="12"/>
      <x:c r="O266" s="8"/>
      <x:c r="P266" s="8"/>
      <x:c r="Q266" s="8"/>
      <x:c r="R266" s="8"/>
      <x:c r="S266" s="8"/>
      <x:c r="T266" s="8"/>
      <x:c r="U266" s="12"/>
      <x:c r="V266" s="8"/>
      <x:c r="W266" s="8"/>
      <x:c r="X266" s="12"/>
      <x:c r="Y266" s="21"/>
      <x:c r="Z266" s="24" t="str">
        <x:f>IF($A266="","",INDEX(Settings!$C$29:$C$33,MATCH(E266,Settings!$A$29:$A$33,0)))</x:f>
      </x:c>
      <x:c r="AA266" s="22" t="str">
        <x:f>IF($A266="","",G266/Z266)</x:f>
      </x:c>
      <x:c r="AB266" s="25" t="str">
        <x:f>IF($A266="","",IF(ISNUMBER(Y266),Y266,Settings!$B$10))</x:f>
      </x:c>
      <x:c r="AC266" s="23" t="str">
        <x:f>IF($A266="","",G266*(1+AB266))</x:f>
      </x:c>
      <x:c r="AD266" s="23" t="str">
        <x:f>IF($A266="","",G266*F266*12)</x:f>
      </x:c>
      <x:c r="AE266" s="23" t="str">
        <x:f>IF($A266="","",G266*F266*J266)</x:f>
      </x:c>
      <x:c r="AF266" s="24" t="str">
        <x:f>IF($A266="","",L266*F266*K266*Settings!$B$13)</x:f>
      </x:c>
      <x:c r="AG266" s="23" t="str">
        <x:f>IF($A266="","",AD266*H266*I266)</x:f>
      </x:c>
      <x:c r="AH266" s="24" t="str">
        <x:f>IF($A266="","",SUM(AD266:AE266,AG266)*SUM(Settings!$B$11:$B$12))</x:f>
      </x:c>
      <x:c r="AI266" s="24" t="str">
        <x:f>IF($A266="","",M266*Settings!$B$16)</x:f>
      </x:c>
      <x:c r="AJ266" s="24" t="str">
        <x:f>IF($A266="","",M266*Settings!$B$15)</x:f>
      </x:c>
      <x:c r="AK266" s="24" t="str">
        <x:f>IF($A266="","",O266*Settings!$B$18)</x:f>
      </x:c>
      <x:c r="AL266" s="24" t="str">
        <x:f>IF($A266="","",P266*Settings!$B$20+Q266*Settings!$B$21+R266*Settings!$B$22+S266*Settings!$B$23)</x:f>
      </x:c>
      <x:c r="AM266" s="24" t="str">
        <x:f>IF($A266="","",T266*Settings!$B$24)</x:f>
      </x:c>
      <x:c r="AN266" s="23" t="str">
        <x:f>IF($A266="","",SUM(AI266,N266,AK266:AM266,U266))</x:f>
      </x:c>
      <x:c r="AO266" s="23" t="str">
        <x:f>IF($A266="","",SUM(AD266:AI266,N266,AK266:AM266,U266))</x:f>
      </x:c>
      <x:c r="AP266" s="24" t="str">
        <x:f>IF($A266="","",G266*F266*AB266*((13-Settings!$B$9)*(1+H266*I266)+J266)*(1+SUM(Settings!$B$11:$B$12)))</x:f>
      </x:c>
      <x:c r="AQ266" s="23" t="str">
        <x:f>IF($A266="","",SUM(AO266:AP266))</x:f>
      </x:c>
      <x:c r="AR266" s="23" t="str">
        <x:f>IF($A266="","",AQ266-X266)</x:f>
      </x:c>
      <x:c r="AS266" s="22" t="str">
        <x:f>IF($A266="","",IF(W266=0,"n.a.",V266/W266))</x:f>
      </x:c>
      <x:c r="AT266" s="26" t="str">
        <x:f>IF($A266="",IF(COUNTA(B266:Y266)&gt;0,"Missing ID",""),IF(COUNTIFS($A$9:$A$508,A266)&gt;1,"Duplicate ID",IF(OR(B266="",C266="",D266="",E266="",COUNT(F266:X266)&lt;&gt;19),"Missing / text input",IF(OR(COUNTIFS(Settings!$A$59:$A$64,B266)&lt;&gt;1,COUNTIFS(Settings!$A$29:$A$33,E266)&lt;&gt;1),"Unknown department / grade",IF(OR(F266&lt;=0,F266&gt;1,G266&lt;=0,L266&lt;=0,H266&lt;0,I266&lt;0,J266&lt;0,K266&lt;0,K266&gt;1,MIN(M266:X266)&lt;0,W266=0,V266&gt;W266,M266&gt;W266-V266,P266&gt;8,Q266&gt;4,R266&gt;12,S266&gt;12,T266&gt;1,AB266&lt;0),"Review quantity / rate",IF(OR(N266&gt;Settings!$C$17,AK266&gt;Settings!$C$19),"Review benefit ceiling","OK"))))))</x:f>
      </x:c>
    </x:row>
    <x:row r="267" ht="23" customHeight="1">
      <x:c r="A267" s="8"/>
      <x:c r="B267" s="8"/>
      <x:c r="C267" s="8"/>
      <x:c r="D267" s="8"/>
      <x:c r="E267" s="8"/>
      <x:c r="F267" s="20"/>
      <x:c r="G267" s="12"/>
      <x:c r="H267" s="21"/>
      <x:c r="I267" s="20"/>
      <x:c r="J267" s="20"/>
      <x:c r="K267" s="20"/>
      <x:c r="L267" s="12"/>
      <x:c r="M267" s="8"/>
      <x:c r="N267" s="12"/>
      <x:c r="O267" s="8"/>
      <x:c r="P267" s="8"/>
      <x:c r="Q267" s="8"/>
      <x:c r="R267" s="8"/>
      <x:c r="S267" s="8"/>
      <x:c r="T267" s="8"/>
      <x:c r="U267" s="12"/>
      <x:c r="V267" s="8"/>
      <x:c r="W267" s="8"/>
      <x:c r="X267" s="12"/>
      <x:c r="Y267" s="21"/>
      <x:c r="Z267" s="24" t="str">
        <x:f>IF($A267="","",INDEX(Settings!$C$29:$C$33,MATCH(E267,Settings!$A$29:$A$33,0)))</x:f>
      </x:c>
      <x:c r="AA267" s="22" t="str">
        <x:f>IF($A267="","",G267/Z267)</x:f>
      </x:c>
      <x:c r="AB267" s="25" t="str">
        <x:f>IF($A267="","",IF(ISNUMBER(Y267),Y267,Settings!$B$10))</x:f>
      </x:c>
      <x:c r="AC267" s="23" t="str">
        <x:f>IF($A267="","",G267*(1+AB267))</x:f>
      </x:c>
      <x:c r="AD267" s="23" t="str">
        <x:f>IF($A267="","",G267*F267*12)</x:f>
      </x:c>
      <x:c r="AE267" s="23" t="str">
        <x:f>IF($A267="","",G267*F267*J267)</x:f>
      </x:c>
      <x:c r="AF267" s="24" t="str">
        <x:f>IF($A267="","",L267*F267*K267*Settings!$B$13)</x:f>
      </x:c>
      <x:c r="AG267" s="23" t="str">
        <x:f>IF($A267="","",AD267*H267*I267)</x:f>
      </x:c>
      <x:c r="AH267" s="24" t="str">
        <x:f>IF($A267="","",SUM(AD267:AE267,AG267)*SUM(Settings!$B$11:$B$12))</x:f>
      </x:c>
      <x:c r="AI267" s="24" t="str">
        <x:f>IF($A267="","",M267*Settings!$B$16)</x:f>
      </x:c>
      <x:c r="AJ267" s="24" t="str">
        <x:f>IF($A267="","",M267*Settings!$B$15)</x:f>
      </x:c>
      <x:c r="AK267" s="24" t="str">
        <x:f>IF($A267="","",O267*Settings!$B$18)</x:f>
      </x:c>
      <x:c r="AL267" s="24" t="str">
        <x:f>IF($A267="","",P267*Settings!$B$20+Q267*Settings!$B$21+R267*Settings!$B$22+S267*Settings!$B$23)</x:f>
      </x:c>
      <x:c r="AM267" s="24" t="str">
        <x:f>IF($A267="","",T267*Settings!$B$24)</x:f>
      </x:c>
      <x:c r="AN267" s="23" t="str">
        <x:f>IF($A267="","",SUM(AI267,N267,AK267:AM267,U267))</x:f>
      </x:c>
      <x:c r="AO267" s="23" t="str">
        <x:f>IF($A267="","",SUM(AD267:AI267,N267,AK267:AM267,U267))</x:f>
      </x:c>
      <x:c r="AP267" s="24" t="str">
        <x:f>IF($A267="","",G267*F267*AB267*((13-Settings!$B$9)*(1+H267*I267)+J267)*(1+SUM(Settings!$B$11:$B$12)))</x:f>
      </x:c>
      <x:c r="AQ267" s="23" t="str">
        <x:f>IF($A267="","",SUM(AO267:AP267))</x:f>
      </x:c>
      <x:c r="AR267" s="23" t="str">
        <x:f>IF($A267="","",AQ267-X267)</x:f>
      </x:c>
      <x:c r="AS267" s="22" t="str">
        <x:f>IF($A267="","",IF(W267=0,"n.a.",V267/W267))</x:f>
      </x:c>
      <x:c r="AT267" s="26" t="str">
        <x:f>IF($A267="",IF(COUNTA(B267:Y267)&gt;0,"Missing ID",""),IF(COUNTIFS($A$9:$A$508,A267)&gt;1,"Duplicate ID",IF(OR(B267="",C267="",D267="",E267="",COUNT(F267:X267)&lt;&gt;19),"Missing / text input",IF(OR(COUNTIFS(Settings!$A$59:$A$64,B267)&lt;&gt;1,COUNTIFS(Settings!$A$29:$A$33,E267)&lt;&gt;1),"Unknown department / grade",IF(OR(F267&lt;=0,F267&gt;1,G267&lt;=0,L267&lt;=0,H267&lt;0,I267&lt;0,J267&lt;0,K267&lt;0,K267&gt;1,MIN(M267:X267)&lt;0,W267=0,V267&gt;W267,M267&gt;W267-V267,P267&gt;8,Q267&gt;4,R267&gt;12,S267&gt;12,T267&gt;1,AB267&lt;0),"Review quantity / rate",IF(OR(N267&gt;Settings!$C$17,AK267&gt;Settings!$C$19),"Review benefit ceiling","OK"))))))</x:f>
      </x:c>
    </x:row>
    <x:row r="268" ht="23" customHeight="1">
      <x:c r="A268" s="8"/>
      <x:c r="B268" s="8"/>
      <x:c r="C268" s="8"/>
      <x:c r="D268" s="8"/>
      <x:c r="E268" s="8"/>
      <x:c r="F268" s="20"/>
      <x:c r="G268" s="12"/>
      <x:c r="H268" s="21"/>
      <x:c r="I268" s="20"/>
      <x:c r="J268" s="20"/>
      <x:c r="K268" s="20"/>
      <x:c r="L268" s="12"/>
      <x:c r="M268" s="8"/>
      <x:c r="N268" s="12"/>
      <x:c r="O268" s="8"/>
      <x:c r="P268" s="8"/>
      <x:c r="Q268" s="8"/>
      <x:c r="R268" s="8"/>
      <x:c r="S268" s="8"/>
      <x:c r="T268" s="8"/>
      <x:c r="U268" s="12"/>
      <x:c r="V268" s="8"/>
      <x:c r="W268" s="8"/>
      <x:c r="X268" s="12"/>
      <x:c r="Y268" s="21"/>
      <x:c r="Z268" s="24" t="str">
        <x:f>IF($A268="","",INDEX(Settings!$C$29:$C$33,MATCH(E268,Settings!$A$29:$A$33,0)))</x:f>
      </x:c>
      <x:c r="AA268" s="22" t="str">
        <x:f>IF($A268="","",G268/Z268)</x:f>
      </x:c>
      <x:c r="AB268" s="25" t="str">
        <x:f>IF($A268="","",IF(ISNUMBER(Y268),Y268,Settings!$B$10))</x:f>
      </x:c>
      <x:c r="AC268" s="23" t="str">
        <x:f>IF($A268="","",G268*(1+AB268))</x:f>
      </x:c>
      <x:c r="AD268" s="23" t="str">
        <x:f>IF($A268="","",G268*F268*12)</x:f>
      </x:c>
      <x:c r="AE268" s="23" t="str">
        <x:f>IF($A268="","",G268*F268*J268)</x:f>
      </x:c>
      <x:c r="AF268" s="24" t="str">
        <x:f>IF($A268="","",L268*F268*K268*Settings!$B$13)</x:f>
      </x:c>
      <x:c r="AG268" s="23" t="str">
        <x:f>IF($A268="","",AD268*H268*I268)</x:f>
      </x:c>
      <x:c r="AH268" s="24" t="str">
        <x:f>IF($A268="","",SUM(AD268:AE268,AG268)*SUM(Settings!$B$11:$B$12))</x:f>
      </x:c>
      <x:c r="AI268" s="24" t="str">
        <x:f>IF($A268="","",M268*Settings!$B$16)</x:f>
      </x:c>
      <x:c r="AJ268" s="24" t="str">
        <x:f>IF($A268="","",M268*Settings!$B$15)</x:f>
      </x:c>
      <x:c r="AK268" s="24" t="str">
        <x:f>IF($A268="","",O268*Settings!$B$18)</x:f>
      </x:c>
      <x:c r="AL268" s="24" t="str">
        <x:f>IF($A268="","",P268*Settings!$B$20+Q268*Settings!$B$21+R268*Settings!$B$22+S268*Settings!$B$23)</x:f>
      </x:c>
      <x:c r="AM268" s="24" t="str">
        <x:f>IF($A268="","",T268*Settings!$B$24)</x:f>
      </x:c>
      <x:c r="AN268" s="23" t="str">
        <x:f>IF($A268="","",SUM(AI268,N268,AK268:AM268,U268))</x:f>
      </x:c>
      <x:c r="AO268" s="23" t="str">
        <x:f>IF($A268="","",SUM(AD268:AI268,N268,AK268:AM268,U268))</x:f>
      </x:c>
      <x:c r="AP268" s="24" t="str">
        <x:f>IF($A268="","",G268*F268*AB268*((13-Settings!$B$9)*(1+H268*I268)+J268)*(1+SUM(Settings!$B$11:$B$12)))</x:f>
      </x:c>
      <x:c r="AQ268" s="23" t="str">
        <x:f>IF($A268="","",SUM(AO268:AP268))</x:f>
      </x:c>
      <x:c r="AR268" s="23" t="str">
        <x:f>IF($A268="","",AQ268-X268)</x:f>
      </x:c>
      <x:c r="AS268" s="22" t="str">
        <x:f>IF($A268="","",IF(W268=0,"n.a.",V268/W268))</x:f>
      </x:c>
      <x:c r="AT268" s="26" t="str">
        <x:f>IF($A268="",IF(COUNTA(B268:Y268)&gt;0,"Missing ID",""),IF(COUNTIFS($A$9:$A$508,A268)&gt;1,"Duplicate ID",IF(OR(B268="",C268="",D268="",E268="",COUNT(F268:X268)&lt;&gt;19),"Missing / text input",IF(OR(COUNTIFS(Settings!$A$59:$A$64,B268)&lt;&gt;1,COUNTIFS(Settings!$A$29:$A$33,E268)&lt;&gt;1),"Unknown department / grade",IF(OR(F268&lt;=0,F268&gt;1,G268&lt;=0,L268&lt;=0,H268&lt;0,I268&lt;0,J268&lt;0,K268&lt;0,K268&gt;1,MIN(M268:X268)&lt;0,W268=0,V268&gt;W268,M268&gt;W268-V268,P268&gt;8,Q268&gt;4,R268&gt;12,S268&gt;12,T268&gt;1,AB268&lt;0),"Review quantity / rate",IF(OR(N268&gt;Settings!$C$17,AK268&gt;Settings!$C$19),"Review benefit ceiling","OK"))))))</x:f>
      </x:c>
    </x:row>
    <x:row r="269" ht="23" customHeight="1">
      <x:c r="A269" s="8"/>
      <x:c r="B269" s="8"/>
      <x:c r="C269" s="8"/>
      <x:c r="D269" s="8"/>
      <x:c r="E269" s="8"/>
      <x:c r="F269" s="20"/>
      <x:c r="G269" s="12"/>
      <x:c r="H269" s="21"/>
      <x:c r="I269" s="20"/>
      <x:c r="J269" s="20"/>
      <x:c r="K269" s="20"/>
      <x:c r="L269" s="12"/>
      <x:c r="M269" s="8"/>
      <x:c r="N269" s="12"/>
      <x:c r="O269" s="8"/>
      <x:c r="P269" s="8"/>
      <x:c r="Q269" s="8"/>
      <x:c r="R269" s="8"/>
      <x:c r="S269" s="8"/>
      <x:c r="T269" s="8"/>
      <x:c r="U269" s="12"/>
      <x:c r="V269" s="8"/>
      <x:c r="W269" s="8"/>
      <x:c r="X269" s="12"/>
      <x:c r="Y269" s="21"/>
      <x:c r="Z269" s="24" t="str">
        <x:f>IF($A269="","",INDEX(Settings!$C$29:$C$33,MATCH(E269,Settings!$A$29:$A$33,0)))</x:f>
      </x:c>
      <x:c r="AA269" s="22" t="str">
        <x:f>IF($A269="","",G269/Z269)</x:f>
      </x:c>
      <x:c r="AB269" s="25" t="str">
        <x:f>IF($A269="","",IF(ISNUMBER(Y269),Y269,Settings!$B$10))</x:f>
      </x:c>
      <x:c r="AC269" s="23" t="str">
        <x:f>IF($A269="","",G269*(1+AB269))</x:f>
      </x:c>
      <x:c r="AD269" s="23" t="str">
        <x:f>IF($A269="","",G269*F269*12)</x:f>
      </x:c>
      <x:c r="AE269" s="23" t="str">
        <x:f>IF($A269="","",G269*F269*J269)</x:f>
      </x:c>
      <x:c r="AF269" s="24" t="str">
        <x:f>IF($A269="","",L269*F269*K269*Settings!$B$13)</x:f>
      </x:c>
      <x:c r="AG269" s="23" t="str">
        <x:f>IF($A269="","",AD269*H269*I269)</x:f>
      </x:c>
      <x:c r="AH269" s="24" t="str">
        <x:f>IF($A269="","",SUM(AD269:AE269,AG269)*SUM(Settings!$B$11:$B$12))</x:f>
      </x:c>
      <x:c r="AI269" s="24" t="str">
        <x:f>IF($A269="","",M269*Settings!$B$16)</x:f>
      </x:c>
      <x:c r="AJ269" s="24" t="str">
        <x:f>IF($A269="","",M269*Settings!$B$15)</x:f>
      </x:c>
      <x:c r="AK269" s="24" t="str">
        <x:f>IF($A269="","",O269*Settings!$B$18)</x:f>
      </x:c>
      <x:c r="AL269" s="24" t="str">
        <x:f>IF($A269="","",P269*Settings!$B$20+Q269*Settings!$B$21+R269*Settings!$B$22+S269*Settings!$B$23)</x:f>
      </x:c>
      <x:c r="AM269" s="24" t="str">
        <x:f>IF($A269="","",T269*Settings!$B$24)</x:f>
      </x:c>
      <x:c r="AN269" s="23" t="str">
        <x:f>IF($A269="","",SUM(AI269,N269,AK269:AM269,U269))</x:f>
      </x:c>
      <x:c r="AO269" s="23" t="str">
        <x:f>IF($A269="","",SUM(AD269:AI269,N269,AK269:AM269,U269))</x:f>
      </x:c>
      <x:c r="AP269" s="24" t="str">
        <x:f>IF($A269="","",G269*F269*AB269*((13-Settings!$B$9)*(1+H269*I269)+J269)*(1+SUM(Settings!$B$11:$B$12)))</x:f>
      </x:c>
      <x:c r="AQ269" s="23" t="str">
        <x:f>IF($A269="","",SUM(AO269:AP269))</x:f>
      </x:c>
      <x:c r="AR269" s="23" t="str">
        <x:f>IF($A269="","",AQ269-X269)</x:f>
      </x:c>
      <x:c r="AS269" s="22" t="str">
        <x:f>IF($A269="","",IF(W269=0,"n.a.",V269/W269))</x:f>
      </x:c>
      <x:c r="AT269" s="26" t="str">
        <x:f>IF($A269="",IF(COUNTA(B269:Y269)&gt;0,"Missing ID",""),IF(COUNTIFS($A$9:$A$508,A269)&gt;1,"Duplicate ID",IF(OR(B269="",C269="",D269="",E269="",COUNT(F269:X269)&lt;&gt;19),"Missing / text input",IF(OR(COUNTIFS(Settings!$A$59:$A$64,B269)&lt;&gt;1,COUNTIFS(Settings!$A$29:$A$33,E269)&lt;&gt;1),"Unknown department / grade",IF(OR(F269&lt;=0,F269&gt;1,G269&lt;=0,L269&lt;=0,H269&lt;0,I269&lt;0,J269&lt;0,K269&lt;0,K269&gt;1,MIN(M269:X269)&lt;0,W269=0,V269&gt;W269,M269&gt;W269-V269,P269&gt;8,Q269&gt;4,R269&gt;12,S269&gt;12,T269&gt;1,AB269&lt;0),"Review quantity / rate",IF(OR(N269&gt;Settings!$C$17,AK269&gt;Settings!$C$19),"Review benefit ceiling","OK"))))))</x:f>
      </x:c>
    </x:row>
    <x:row r="270" ht="23" customHeight="1">
      <x:c r="A270" s="8"/>
      <x:c r="B270" s="8"/>
      <x:c r="C270" s="8"/>
      <x:c r="D270" s="8"/>
      <x:c r="E270" s="8"/>
      <x:c r="F270" s="20"/>
      <x:c r="G270" s="12"/>
      <x:c r="H270" s="21"/>
      <x:c r="I270" s="20"/>
      <x:c r="J270" s="20"/>
      <x:c r="K270" s="20"/>
      <x:c r="L270" s="12"/>
      <x:c r="M270" s="8"/>
      <x:c r="N270" s="12"/>
      <x:c r="O270" s="8"/>
      <x:c r="P270" s="8"/>
      <x:c r="Q270" s="8"/>
      <x:c r="R270" s="8"/>
      <x:c r="S270" s="8"/>
      <x:c r="T270" s="8"/>
      <x:c r="U270" s="12"/>
      <x:c r="V270" s="8"/>
      <x:c r="W270" s="8"/>
      <x:c r="X270" s="12"/>
      <x:c r="Y270" s="21"/>
      <x:c r="Z270" s="24" t="str">
        <x:f>IF($A270="","",INDEX(Settings!$C$29:$C$33,MATCH(E270,Settings!$A$29:$A$33,0)))</x:f>
      </x:c>
      <x:c r="AA270" s="22" t="str">
        <x:f>IF($A270="","",G270/Z270)</x:f>
      </x:c>
      <x:c r="AB270" s="25" t="str">
        <x:f>IF($A270="","",IF(ISNUMBER(Y270),Y270,Settings!$B$10))</x:f>
      </x:c>
      <x:c r="AC270" s="23" t="str">
        <x:f>IF($A270="","",G270*(1+AB270))</x:f>
      </x:c>
      <x:c r="AD270" s="23" t="str">
        <x:f>IF($A270="","",G270*F270*12)</x:f>
      </x:c>
      <x:c r="AE270" s="23" t="str">
        <x:f>IF($A270="","",G270*F270*J270)</x:f>
      </x:c>
      <x:c r="AF270" s="24" t="str">
        <x:f>IF($A270="","",L270*F270*K270*Settings!$B$13)</x:f>
      </x:c>
      <x:c r="AG270" s="23" t="str">
        <x:f>IF($A270="","",AD270*H270*I270)</x:f>
      </x:c>
      <x:c r="AH270" s="24" t="str">
        <x:f>IF($A270="","",SUM(AD270:AE270,AG270)*SUM(Settings!$B$11:$B$12))</x:f>
      </x:c>
      <x:c r="AI270" s="24" t="str">
        <x:f>IF($A270="","",M270*Settings!$B$16)</x:f>
      </x:c>
      <x:c r="AJ270" s="24" t="str">
        <x:f>IF($A270="","",M270*Settings!$B$15)</x:f>
      </x:c>
      <x:c r="AK270" s="24" t="str">
        <x:f>IF($A270="","",O270*Settings!$B$18)</x:f>
      </x:c>
      <x:c r="AL270" s="24" t="str">
        <x:f>IF($A270="","",P270*Settings!$B$20+Q270*Settings!$B$21+R270*Settings!$B$22+S270*Settings!$B$23)</x:f>
      </x:c>
      <x:c r="AM270" s="24" t="str">
        <x:f>IF($A270="","",T270*Settings!$B$24)</x:f>
      </x:c>
      <x:c r="AN270" s="23" t="str">
        <x:f>IF($A270="","",SUM(AI270,N270,AK270:AM270,U270))</x:f>
      </x:c>
      <x:c r="AO270" s="23" t="str">
        <x:f>IF($A270="","",SUM(AD270:AI270,N270,AK270:AM270,U270))</x:f>
      </x:c>
      <x:c r="AP270" s="24" t="str">
        <x:f>IF($A270="","",G270*F270*AB270*((13-Settings!$B$9)*(1+H270*I270)+J270)*(1+SUM(Settings!$B$11:$B$12)))</x:f>
      </x:c>
      <x:c r="AQ270" s="23" t="str">
        <x:f>IF($A270="","",SUM(AO270:AP270))</x:f>
      </x:c>
      <x:c r="AR270" s="23" t="str">
        <x:f>IF($A270="","",AQ270-X270)</x:f>
      </x:c>
      <x:c r="AS270" s="22" t="str">
        <x:f>IF($A270="","",IF(W270=0,"n.a.",V270/W270))</x:f>
      </x:c>
      <x:c r="AT270" s="26" t="str">
        <x:f>IF($A270="",IF(COUNTA(B270:Y270)&gt;0,"Missing ID",""),IF(COUNTIFS($A$9:$A$508,A270)&gt;1,"Duplicate ID",IF(OR(B270="",C270="",D270="",E270="",COUNT(F270:X270)&lt;&gt;19),"Missing / text input",IF(OR(COUNTIFS(Settings!$A$59:$A$64,B270)&lt;&gt;1,COUNTIFS(Settings!$A$29:$A$33,E270)&lt;&gt;1),"Unknown department / grade",IF(OR(F270&lt;=0,F270&gt;1,G270&lt;=0,L270&lt;=0,H270&lt;0,I270&lt;0,J270&lt;0,K270&lt;0,K270&gt;1,MIN(M270:X270)&lt;0,W270=0,V270&gt;W270,M270&gt;W270-V270,P270&gt;8,Q270&gt;4,R270&gt;12,S270&gt;12,T270&gt;1,AB270&lt;0),"Review quantity / rate",IF(OR(N270&gt;Settings!$C$17,AK270&gt;Settings!$C$19),"Review benefit ceiling","OK"))))))</x:f>
      </x:c>
    </x:row>
    <x:row r="271" ht="23" customHeight="1">
      <x:c r="A271" s="8"/>
      <x:c r="B271" s="8"/>
      <x:c r="C271" s="8"/>
      <x:c r="D271" s="8"/>
      <x:c r="E271" s="8"/>
      <x:c r="F271" s="20"/>
      <x:c r="G271" s="12"/>
      <x:c r="H271" s="21"/>
      <x:c r="I271" s="20"/>
      <x:c r="J271" s="20"/>
      <x:c r="K271" s="20"/>
      <x:c r="L271" s="12"/>
      <x:c r="M271" s="8"/>
      <x:c r="N271" s="12"/>
      <x:c r="O271" s="8"/>
      <x:c r="P271" s="8"/>
      <x:c r="Q271" s="8"/>
      <x:c r="R271" s="8"/>
      <x:c r="S271" s="8"/>
      <x:c r="T271" s="8"/>
      <x:c r="U271" s="12"/>
      <x:c r="V271" s="8"/>
      <x:c r="W271" s="8"/>
      <x:c r="X271" s="12"/>
      <x:c r="Y271" s="21"/>
      <x:c r="Z271" s="24" t="str">
        <x:f>IF($A271="","",INDEX(Settings!$C$29:$C$33,MATCH(E271,Settings!$A$29:$A$33,0)))</x:f>
      </x:c>
      <x:c r="AA271" s="22" t="str">
        <x:f>IF($A271="","",G271/Z271)</x:f>
      </x:c>
      <x:c r="AB271" s="25" t="str">
        <x:f>IF($A271="","",IF(ISNUMBER(Y271),Y271,Settings!$B$10))</x:f>
      </x:c>
      <x:c r="AC271" s="23" t="str">
        <x:f>IF($A271="","",G271*(1+AB271))</x:f>
      </x:c>
      <x:c r="AD271" s="23" t="str">
        <x:f>IF($A271="","",G271*F271*12)</x:f>
      </x:c>
      <x:c r="AE271" s="23" t="str">
        <x:f>IF($A271="","",G271*F271*J271)</x:f>
      </x:c>
      <x:c r="AF271" s="24" t="str">
        <x:f>IF($A271="","",L271*F271*K271*Settings!$B$13)</x:f>
      </x:c>
      <x:c r="AG271" s="23" t="str">
        <x:f>IF($A271="","",AD271*H271*I271)</x:f>
      </x:c>
      <x:c r="AH271" s="24" t="str">
        <x:f>IF($A271="","",SUM(AD271:AE271,AG271)*SUM(Settings!$B$11:$B$12))</x:f>
      </x:c>
      <x:c r="AI271" s="24" t="str">
        <x:f>IF($A271="","",M271*Settings!$B$16)</x:f>
      </x:c>
      <x:c r="AJ271" s="24" t="str">
        <x:f>IF($A271="","",M271*Settings!$B$15)</x:f>
      </x:c>
      <x:c r="AK271" s="24" t="str">
        <x:f>IF($A271="","",O271*Settings!$B$18)</x:f>
      </x:c>
      <x:c r="AL271" s="24" t="str">
        <x:f>IF($A271="","",P271*Settings!$B$20+Q271*Settings!$B$21+R271*Settings!$B$22+S271*Settings!$B$23)</x:f>
      </x:c>
      <x:c r="AM271" s="24" t="str">
        <x:f>IF($A271="","",T271*Settings!$B$24)</x:f>
      </x:c>
      <x:c r="AN271" s="23" t="str">
        <x:f>IF($A271="","",SUM(AI271,N271,AK271:AM271,U271))</x:f>
      </x:c>
      <x:c r="AO271" s="23" t="str">
        <x:f>IF($A271="","",SUM(AD271:AI271,N271,AK271:AM271,U271))</x:f>
      </x:c>
      <x:c r="AP271" s="24" t="str">
        <x:f>IF($A271="","",G271*F271*AB271*((13-Settings!$B$9)*(1+H271*I271)+J271)*(1+SUM(Settings!$B$11:$B$12)))</x:f>
      </x:c>
      <x:c r="AQ271" s="23" t="str">
        <x:f>IF($A271="","",SUM(AO271:AP271))</x:f>
      </x:c>
      <x:c r="AR271" s="23" t="str">
        <x:f>IF($A271="","",AQ271-X271)</x:f>
      </x:c>
      <x:c r="AS271" s="22" t="str">
        <x:f>IF($A271="","",IF(W271=0,"n.a.",V271/W271))</x:f>
      </x:c>
      <x:c r="AT271" s="26" t="str">
        <x:f>IF($A271="",IF(COUNTA(B271:Y271)&gt;0,"Missing ID",""),IF(COUNTIFS($A$9:$A$508,A271)&gt;1,"Duplicate ID",IF(OR(B271="",C271="",D271="",E271="",COUNT(F271:X271)&lt;&gt;19),"Missing / text input",IF(OR(COUNTIFS(Settings!$A$59:$A$64,B271)&lt;&gt;1,COUNTIFS(Settings!$A$29:$A$33,E271)&lt;&gt;1),"Unknown department / grade",IF(OR(F271&lt;=0,F271&gt;1,G271&lt;=0,L271&lt;=0,H271&lt;0,I271&lt;0,J271&lt;0,K271&lt;0,K271&gt;1,MIN(M271:X271)&lt;0,W271=0,V271&gt;W271,M271&gt;W271-V271,P271&gt;8,Q271&gt;4,R271&gt;12,S271&gt;12,T271&gt;1,AB271&lt;0),"Review quantity / rate",IF(OR(N271&gt;Settings!$C$17,AK271&gt;Settings!$C$19),"Review benefit ceiling","OK"))))))</x:f>
      </x:c>
    </x:row>
    <x:row r="272" ht="23" customHeight="1">
      <x:c r="A272" s="8"/>
      <x:c r="B272" s="8"/>
      <x:c r="C272" s="8"/>
      <x:c r="D272" s="8"/>
      <x:c r="E272" s="8"/>
      <x:c r="F272" s="20"/>
      <x:c r="G272" s="12"/>
      <x:c r="H272" s="21"/>
      <x:c r="I272" s="20"/>
      <x:c r="J272" s="20"/>
      <x:c r="K272" s="20"/>
      <x:c r="L272" s="12"/>
      <x:c r="M272" s="8"/>
      <x:c r="N272" s="12"/>
      <x:c r="O272" s="8"/>
      <x:c r="P272" s="8"/>
      <x:c r="Q272" s="8"/>
      <x:c r="R272" s="8"/>
      <x:c r="S272" s="8"/>
      <x:c r="T272" s="8"/>
      <x:c r="U272" s="12"/>
      <x:c r="V272" s="8"/>
      <x:c r="W272" s="8"/>
      <x:c r="X272" s="12"/>
      <x:c r="Y272" s="21"/>
      <x:c r="Z272" s="24" t="str">
        <x:f>IF($A272="","",INDEX(Settings!$C$29:$C$33,MATCH(E272,Settings!$A$29:$A$33,0)))</x:f>
      </x:c>
      <x:c r="AA272" s="22" t="str">
        <x:f>IF($A272="","",G272/Z272)</x:f>
      </x:c>
      <x:c r="AB272" s="25" t="str">
        <x:f>IF($A272="","",IF(ISNUMBER(Y272),Y272,Settings!$B$10))</x:f>
      </x:c>
      <x:c r="AC272" s="23" t="str">
        <x:f>IF($A272="","",G272*(1+AB272))</x:f>
      </x:c>
      <x:c r="AD272" s="23" t="str">
        <x:f>IF($A272="","",G272*F272*12)</x:f>
      </x:c>
      <x:c r="AE272" s="23" t="str">
        <x:f>IF($A272="","",G272*F272*J272)</x:f>
      </x:c>
      <x:c r="AF272" s="24" t="str">
        <x:f>IF($A272="","",L272*F272*K272*Settings!$B$13)</x:f>
      </x:c>
      <x:c r="AG272" s="23" t="str">
        <x:f>IF($A272="","",AD272*H272*I272)</x:f>
      </x:c>
      <x:c r="AH272" s="24" t="str">
        <x:f>IF($A272="","",SUM(AD272:AE272,AG272)*SUM(Settings!$B$11:$B$12))</x:f>
      </x:c>
      <x:c r="AI272" s="24" t="str">
        <x:f>IF($A272="","",M272*Settings!$B$16)</x:f>
      </x:c>
      <x:c r="AJ272" s="24" t="str">
        <x:f>IF($A272="","",M272*Settings!$B$15)</x:f>
      </x:c>
      <x:c r="AK272" s="24" t="str">
        <x:f>IF($A272="","",O272*Settings!$B$18)</x:f>
      </x:c>
      <x:c r="AL272" s="24" t="str">
        <x:f>IF($A272="","",P272*Settings!$B$20+Q272*Settings!$B$21+R272*Settings!$B$22+S272*Settings!$B$23)</x:f>
      </x:c>
      <x:c r="AM272" s="24" t="str">
        <x:f>IF($A272="","",T272*Settings!$B$24)</x:f>
      </x:c>
      <x:c r="AN272" s="23" t="str">
        <x:f>IF($A272="","",SUM(AI272,N272,AK272:AM272,U272))</x:f>
      </x:c>
      <x:c r="AO272" s="23" t="str">
        <x:f>IF($A272="","",SUM(AD272:AI272,N272,AK272:AM272,U272))</x:f>
      </x:c>
      <x:c r="AP272" s="24" t="str">
        <x:f>IF($A272="","",G272*F272*AB272*((13-Settings!$B$9)*(1+H272*I272)+J272)*(1+SUM(Settings!$B$11:$B$12)))</x:f>
      </x:c>
      <x:c r="AQ272" s="23" t="str">
        <x:f>IF($A272="","",SUM(AO272:AP272))</x:f>
      </x:c>
      <x:c r="AR272" s="23" t="str">
        <x:f>IF($A272="","",AQ272-X272)</x:f>
      </x:c>
      <x:c r="AS272" s="22" t="str">
        <x:f>IF($A272="","",IF(W272=0,"n.a.",V272/W272))</x:f>
      </x:c>
      <x:c r="AT272" s="26" t="str">
        <x:f>IF($A272="",IF(COUNTA(B272:Y272)&gt;0,"Missing ID",""),IF(COUNTIFS($A$9:$A$508,A272)&gt;1,"Duplicate ID",IF(OR(B272="",C272="",D272="",E272="",COUNT(F272:X272)&lt;&gt;19),"Missing / text input",IF(OR(COUNTIFS(Settings!$A$59:$A$64,B272)&lt;&gt;1,COUNTIFS(Settings!$A$29:$A$33,E272)&lt;&gt;1),"Unknown department / grade",IF(OR(F272&lt;=0,F272&gt;1,G272&lt;=0,L272&lt;=0,H272&lt;0,I272&lt;0,J272&lt;0,K272&lt;0,K272&gt;1,MIN(M272:X272)&lt;0,W272=0,V272&gt;W272,M272&gt;W272-V272,P272&gt;8,Q272&gt;4,R272&gt;12,S272&gt;12,T272&gt;1,AB272&lt;0),"Review quantity / rate",IF(OR(N272&gt;Settings!$C$17,AK272&gt;Settings!$C$19),"Review benefit ceiling","OK"))))))</x:f>
      </x:c>
    </x:row>
    <x:row r="273" ht="23" customHeight="1">
      <x:c r="A273" s="8"/>
      <x:c r="B273" s="8"/>
      <x:c r="C273" s="8"/>
      <x:c r="D273" s="8"/>
      <x:c r="E273" s="8"/>
      <x:c r="F273" s="20"/>
      <x:c r="G273" s="12"/>
      <x:c r="H273" s="21"/>
      <x:c r="I273" s="20"/>
      <x:c r="J273" s="20"/>
      <x:c r="K273" s="20"/>
      <x:c r="L273" s="12"/>
      <x:c r="M273" s="8"/>
      <x:c r="N273" s="12"/>
      <x:c r="O273" s="8"/>
      <x:c r="P273" s="8"/>
      <x:c r="Q273" s="8"/>
      <x:c r="R273" s="8"/>
      <x:c r="S273" s="8"/>
      <x:c r="T273" s="8"/>
      <x:c r="U273" s="12"/>
      <x:c r="V273" s="8"/>
      <x:c r="W273" s="8"/>
      <x:c r="X273" s="12"/>
      <x:c r="Y273" s="21"/>
      <x:c r="Z273" s="24" t="str">
        <x:f>IF($A273="","",INDEX(Settings!$C$29:$C$33,MATCH(E273,Settings!$A$29:$A$33,0)))</x:f>
      </x:c>
      <x:c r="AA273" s="22" t="str">
        <x:f>IF($A273="","",G273/Z273)</x:f>
      </x:c>
      <x:c r="AB273" s="25" t="str">
        <x:f>IF($A273="","",IF(ISNUMBER(Y273),Y273,Settings!$B$10))</x:f>
      </x:c>
      <x:c r="AC273" s="23" t="str">
        <x:f>IF($A273="","",G273*(1+AB273))</x:f>
      </x:c>
      <x:c r="AD273" s="23" t="str">
        <x:f>IF($A273="","",G273*F273*12)</x:f>
      </x:c>
      <x:c r="AE273" s="23" t="str">
        <x:f>IF($A273="","",G273*F273*J273)</x:f>
      </x:c>
      <x:c r="AF273" s="24" t="str">
        <x:f>IF($A273="","",L273*F273*K273*Settings!$B$13)</x:f>
      </x:c>
      <x:c r="AG273" s="23" t="str">
        <x:f>IF($A273="","",AD273*H273*I273)</x:f>
      </x:c>
      <x:c r="AH273" s="24" t="str">
        <x:f>IF($A273="","",SUM(AD273:AE273,AG273)*SUM(Settings!$B$11:$B$12))</x:f>
      </x:c>
      <x:c r="AI273" s="24" t="str">
        <x:f>IF($A273="","",M273*Settings!$B$16)</x:f>
      </x:c>
      <x:c r="AJ273" s="24" t="str">
        <x:f>IF($A273="","",M273*Settings!$B$15)</x:f>
      </x:c>
      <x:c r="AK273" s="24" t="str">
        <x:f>IF($A273="","",O273*Settings!$B$18)</x:f>
      </x:c>
      <x:c r="AL273" s="24" t="str">
        <x:f>IF($A273="","",P273*Settings!$B$20+Q273*Settings!$B$21+R273*Settings!$B$22+S273*Settings!$B$23)</x:f>
      </x:c>
      <x:c r="AM273" s="24" t="str">
        <x:f>IF($A273="","",T273*Settings!$B$24)</x:f>
      </x:c>
      <x:c r="AN273" s="23" t="str">
        <x:f>IF($A273="","",SUM(AI273,N273,AK273:AM273,U273))</x:f>
      </x:c>
      <x:c r="AO273" s="23" t="str">
        <x:f>IF($A273="","",SUM(AD273:AI273,N273,AK273:AM273,U273))</x:f>
      </x:c>
      <x:c r="AP273" s="24" t="str">
        <x:f>IF($A273="","",G273*F273*AB273*((13-Settings!$B$9)*(1+H273*I273)+J273)*(1+SUM(Settings!$B$11:$B$12)))</x:f>
      </x:c>
      <x:c r="AQ273" s="23" t="str">
        <x:f>IF($A273="","",SUM(AO273:AP273))</x:f>
      </x:c>
      <x:c r="AR273" s="23" t="str">
        <x:f>IF($A273="","",AQ273-X273)</x:f>
      </x:c>
      <x:c r="AS273" s="22" t="str">
        <x:f>IF($A273="","",IF(W273=0,"n.a.",V273/W273))</x:f>
      </x:c>
      <x:c r="AT273" s="26" t="str">
        <x:f>IF($A273="",IF(COUNTA(B273:Y273)&gt;0,"Missing ID",""),IF(COUNTIFS($A$9:$A$508,A273)&gt;1,"Duplicate ID",IF(OR(B273="",C273="",D273="",E273="",COUNT(F273:X273)&lt;&gt;19),"Missing / text input",IF(OR(COUNTIFS(Settings!$A$59:$A$64,B273)&lt;&gt;1,COUNTIFS(Settings!$A$29:$A$33,E273)&lt;&gt;1),"Unknown department / grade",IF(OR(F273&lt;=0,F273&gt;1,G273&lt;=0,L273&lt;=0,H273&lt;0,I273&lt;0,J273&lt;0,K273&lt;0,K273&gt;1,MIN(M273:X273)&lt;0,W273=0,V273&gt;W273,M273&gt;W273-V273,P273&gt;8,Q273&gt;4,R273&gt;12,S273&gt;12,T273&gt;1,AB273&lt;0),"Review quantity / rate",IF(OR(N273&gt;Settings!$C$17,AK273&gt;Settings!$C$19),"Review benefit ceiling","OK"))))))</x:f>
      </x:c>
    </x:row>
    <x:row r="274" ht="23" customHeight="1">
      <x:c r="A274" s="8"/>
      <x:c r="B274" s="8"/>
      <x:c r="C274" s="8"/>
      <x:c r="D274" s="8"/>
      <x:c r="E274" s="8"/>
      <x:c r="F274" s="20"/>
      <x:c r="G274" s="12"/>
      <x:c r="H274" s="21"/>
      <x:c r="I274" s="20"/>
      <x:c r="J274" s="20"/>
      <x:c r="K274" s="20"/>
      <x:c r="L274" s="12"/>
      <x:c r="M274" s="8"/>
      <x:c r="N274" s="12"/>
      <x:c r="O274" s="8"/>
      <x:c r="P274" s="8"/>
      <x:c r="Q274" s="8"/>
      <x:c r="R274" s="8"/>
      <x:c r="S274" s="8"/>
      <x:c r="T274" s="8"/>
      <x:c r="U274" s="12"/>
      <x:c r="V274" s="8"/>
      <x:c r="W274" s="8"/>
      <x:c r="X274" s="12"/>
      <x:c r="Y274" s="21"/>
      <x:c r="Z274" s="24" t="str">
        <x:f>IF($A274="","",INDEX(Settings!$C$29:$C$33,MATCH(E274,Settings!$A$29:$A$33,0)))</x:f>
      </x:c>
      <x:c r="AA274" s="22" t="str">
        <x:f>IF($A274="","",G274/Z274)</x:f>
      </x:c>
      <x:c r="AB274" s="25" t="str">
        <x:f>IF($A274="","",IF(ISNUMBER(Y274),Y274,Settings!$B$10))</x:f>
      </x:c>
      <x:c r="AC274" s="23" t="str">
        <x:f>IF($A274="","",G274*(1+AB274))</x:f>
      </x:c>
      <x:c r="AD274" s="23" t="str">
        <x:f>IF($A274="","",G274*F274*12)</x:f>
      </x:c>
      <x:c r="AE274" s="23" t="str">
        <x:f>IF($A274="","",G274*F274*J274)</x:f>
      </x:c>
      <x:c r="AF274" s="24" t="str">
        <x:f>IF($A274="","",L274*F274*K274*Settings!$B$13)</x:f>
      </x:c>
      <x:c r="AG274" s="23" t="str">
        <x:f>IF($A274="","",AD274*H274*I274)</x:f>
      </x:c>
      <x:c r="AH274" s="24" t="str">
        <x:f>IF($A274="","",SUM(AD274:AE274,AG274)*SUM(Settings!$B$11:$B$12))</x:f>
      </x:c>
      <x:c r="AI274" s="24" t="str">
        <x:f>IF($A274="","",M274*Settings!$B$16)</x:f>
      </x:c>
      <x:c r="AJ274" s="24" t="str">
        <x:f>IF($A274="","",M274*Settings!$B$15)</x:f>
      </x:c>
      <x:c r="AK274" s="24" t="str">
        <x:f>IF($A274="","",O274*Settings!$B$18)</x:f>
      </x:c>
      <x:c r="AL274" s="24" t="str">
        <x:f>IF($A274="","",P274*Settings!$B$20+Q274*Settings!$B$21+R274*Settings!$B$22+S274*Settings!$B$23)</x:f>
      </x:c>
      <x:c r="AM274" s="24" t="str">
        <x:f>IF($A274="","",T274*Settings!$B$24)</x:f>
      </x:c>
      <x:c r="AN274" s="23" t="str">
        <x:f>IF($A274="","",SUM(AI274,N274,AK274:AM274,U274))</x:f>
      </x:c>
      <x:c r="AO274" s="23" t="str">
        <x:f>IF($A274="","",SUM(AD274:AI274,N274,AK274:AM274,U274))</x:f>
      </x:c>
      <x:c r="AP274" s="24" t="str">
        <x:f>IF($A274="","",G274*F274*AB274*((13-Settings!$B$9)*(1+H274*I274)+J274)*(1+SUM(Settings!$B$11:$B$12)))</x:f>
      </x:c>
      <x:c r="AQ274" s="23" t="str">
        <x:f>IF($A274="","",SUM(AO274:AP274))</x:f>
      </x:c>
      <x:c r="AR274" s="23" t="str">
        <x:f>IF($A274="","",AQ274-X274)</x:f>
      </x:c>
      <x:c r="AS274" s="22" t="str">
        <x:f>IF($A274="","",IF(W274=0,"n.a.",V274/W274))</x:f>
      </x:c>
      <x:c r="AT274" s="26" t="str">
        <x:f>IF($A274="",IF(COUNTA(B274:Y274)&gt;0,"Missing ID",""),IF(COUNTIFS($A$9:$A$508,A274)&gt;1,"Duplicate ID",IF(OR(B274="",C274="",D274="",E274="",COUNT(F274:X274)&lt;&gt;19),"Missing / text input",IF(OR(COUNTIFS(Settings!$A$59:$A$64,B274)&lt;&gt;1,COUNTIFS(Settings!$A$29:$A$33,E274)&lt;&gt;1),"Unknown department / grade",IF(OR(F274&lt;=0,F274&gt;1,G274&lt;=0,L274&lt;=0,H274&lt;0,I274&lt;0,J274&lt;0,K274&lt;0,K274&gt;1,MIN(M274:X274)&lt;0,W274=0,V274&gt;W274,M274&gt;W274-V274,P274&gt;8,Q274&gt;4,R274&gt;12,S274&gt;12,T274&gt;1,AB274&lt;0),"Review quantity / rate",IF(OR(N274&gt;Settings!$C$17,AK274&gt;Settings!$C$19),"Review benefit ceiling","OK"))))))</x:f>
      </x:c>
    </x:row>
    <x:row r="275" ht="23" customHeight="1">
      <x:c r="A275" s="8"/>
      <x:c r="B275" s="8"/>
      <x:c r="C275" s="8"/>
      <x:c r="D275" s="8"/>
      <x:c r="E275" s="8"/>
      <x:c r="F275" s="20"/>
      <x:c r="G275" s="12"/>
      <x:c r="H275" s="21"/>
      <x:c r="I275" s="20"/>
      <x:c r="J275" s="20"/>
      <x:c r="K275" s="20"/>
      <x:c r="L275" s="12"/>
      <x:c r="M275" s="8"/>
      <x:c r="N275" s="12"/>
      <x:c r="O275" s="8"/>
      <x:c r="P275" s="8"/>
      <x:c r="Q275" s="8"/>
      <x:c r="R275" s="8"/>
      <x:c r="S275" s="8"/>
      <x:c r="T275" s="8"/>
      <x:c r="U275" s="12"/>
      <x:c r="V275" s="8"/>
      <x:c r="W275" s="8"/>
      <x:c r="X275" s="12"/>
      <x:c r="Y275" s="21"/>
      <x:c r="Z275" s="24" t="str">
        <x:f>IF($A275="","",INDEX(Settings!$C$29:$C$33,MATCH(E275,Settings!$A$29:$A$33,0)))</x:f>
      </x:c>
      <x:c r="AA275" s="22" t="str">
        <x:f>IF($A275="","",G275/Z275)</x:f>
      </x:c>
      <x:c r="AB275" s="25" t="str">
        <x:f>IF($A275="","",IF(ISNUMBER(Y275),Y275,Settings!$B$10))</x:f>
      </x:c>
      <x:c r="AC275" s="23" t="str">
        <x:f>IF($A275="","",G275*(1+AB275))</x:f>
      </x:c>
      <x:c r="AD275" s="23" t="str">
        <x:f>IF($A275="","",G275*F275*12)</x:f>
      </x:c>
      <x:c r="AE275" s="23" t="str">
        <x:f>IF($A275="","",G275*F275*J275)</x:f>
      </x:c>
      <x:c r="AF275" s="24" t="str">
        <x:f>IF($A275="","",L275*F275*K275*Settings!$B$13)</x:f>
      </x:c>
      <x:c r="AG275" s="23" t="str">
        <x:f>IF($A275="","",AD275*H275*I275)</x:f>
      </x:c>
      <x:c r="AH275" s="24" t="str">
        <x:f>IF($A275="","",SUM(AD275:AE275,AG275)*SUM(Settings!$B$11:$B$12))</x:f>
      </x:c>
      <x:c r="AI275" s="24" t="str">
        <x:f>IF($A275="","",M275*Settings!$B$16)</x:f>
      </x:c>
      <x:c r="AJ275" s="24" t="str">
        <x:f>IF($A275="","",M275*Settings!$B$15)</x:f>
      </x:c>
      <x:c r="AK275" s="24" t="str">
        <x:f>IF($A275="","",O275*Settings!$B$18)</x:f>
      </x:c>
      <x:c r="AL275" s="24" t="str">
        <x:f>IF($A275="","",P275*Settings!$B$20+Q275*Settings!$B$21+R275*Settings!$B$22+S275*Settings!$B$23)</x:f>
      </x:c>
      <x:c r="AM275" s="24" t="str">
        <x:f>IF($A275="","",T275*Settings!$B$24)</x:f>
      </x:c>
      <x:c r="AN275" s="23" t="str">
        <x:f>IF($A275="","",SUM(AI275,N275,AK275:AM275,U275))</x:f>
      </x:c>
      <x:c r="AO275" s="23" t="str">
        <x:f>IF($A275="","",SUM(AD275:AI275,N275,AK275:AM275,U275))</x:f>
      </x:c>
      <x:c r="AP275" s="24" t="str">
        <x:f>IF($A275="","",G275*F275*AB275*((13-Settings!$B$9)*(1+H275*I275)+J275)*(1+SUM(Settings!$B$11:$B$12)))</x:f>
      </x:c>
      <x:c r="AQ275" s="23" t="str">
        <x:f>IF($A275="","",SUM(AO275:AP275))</x:f>
      </x:c>
      <x:c r="AR275" s="23" t="str">
        <x:f>IF($A275="","",AQ275-X275)</x:f>
      </x:c>
      <x:c r="AS275" s="22" t="str">
        <x:f>IF($A275="","",IF(W275=0,"n.a.",V275/W275))</x:f>
      </x:c>
      <x:c r="AT275" s="26" t="str">
        <x:f>IF($A275="",IF(COUNTA(B275:Y275)&gt;0,"Missing ID",""),IF(COUNTIFS($A$9:$A$508,A275)&gt;1,"Duplicate ID",IF(OR(B275="",C275="",D275="",E275="",COUNT(F275:X275)&lt;&gt;19),"Missing / text input",IF(OR(COUNTIFS(Settings!$A$59:$A$64,B275)&lt;&gt;1,COUNTIFS(Settings!$A$29:$A$33,E275)&lt;&gt;1),"Unknown department / grade",IF(OR(F275&lt;=0,F275&gt;1,G275&lt;=0,L275&lt;=0,H275&lt;0,I275&lt;0,J275&lt;0,K275&lt;0,K275&gt;1,MIN(M275:X275)&lt;0,W275=0,V275&gt;W275,M275&gt;W275-V275,P275&gt;8,Q275&gt;4,R275&gt;12,S275&gt;12,T275&gt;1,AB275&lt;0),"Review quantity / rate",IF(OR(N275&gt;Settings!$C$17,AK275&gt;Settings!$C$19),"Review benefit ceiling","OK"))))))</x:f>
      </x:c>
    </x:row>
    <x:row r="276" ht="23" customHeight="1">
      <x:c r="A276" s="8"/>
      <x:c r="B276" s="8"/>
      <x:c r="C276" s="8"/>
      <x:c r="D276" s="8"/>
      <x:c r="E276" s="8"/>
      <x:c r="F276" s="20"/>
      <x:c r="G276" s="12"/>
      <x:c r="H276" s="21"/>
      <x:c r="I276" s="20"/>
      <x:c r="J276" s="20"/>
      <x:c r="K276" s="20"/>
      <x:c r="L276" s="12"/>
      <x:c r="M276" s="8"/>
      <x:c r="N276" s="12"/>
      <x:c r="O276" s="8"/>
      <x:c r="P276" s="8"/>
      <x:c r="Q276" s="8"/>
      <x:c r="R276" s="8"/>
      <x:c r="S276" s="8"/>
      <x:c r="T276" s="8"/>
      <x:c r="U276" s="12"/>
      <x:c r="V276" s="8"/>
      <x:c r="W276" s="8"/>
      <x:c r="X276" s="12"/>
      <x:c r="Y276" s="21"/>
      <x:c r="Z276" s="24" t="str">
        <x:f>IF($A276="","",INDEX(Settings!$C$29:$C$33,MATCH(E276,Settings!$A$29:$A$33,0)))</x:f>
      </x:c>
      <x:c r="AA276" s="22" t="str">
        <x:f>IF($A276="","",G276/Z276)</x:f>
      </x:c>
      <x:c r="AB276" s="25" t="str">
        <x:f>IF($A276="","",IF(ISNUMBER(Y276),Y276,Settings!$B$10))</x:f>
      </x:c>
      <x:c r="AC276" s="23" t="str">
        <x:f>IF($A276="","",G276*(1+AB276))</x:f>
      </x:c>
      <x:c r="AD276" s="23" t="str">
        <x:f>IF($A276="","",G276*F276*12)</x:f>
      </x:c>
      <x:c r="AE276" s="23" t="str">
        <x:f>IF($A276="","",G276*F276*J276)</x:f>
      </x:c>
      <x:c r="AF276" s="24" t="str">
        <x:f>IF($A276="","",L276*F276*K276*Settings!$B$13)</x:f>
      </x:c>
      <x:c r="AG276" s="23" t="str">
        <x:f>IF($A276="","",AD276*H276*I276)</x:f>
      </x:c>
      <x:c r="AH276" s="24" t="str">
        <x:f>IF($A276="","",SUM(AD276:AE276,AG276)*SUM(Settings!$B$11:$B$12))</x:f>
      </x:c>
      <x:c r="AI276" s="24" t="str">
        <x:f>IF($A276="","",M276*Settings!$B$16)</x:f>
      </x:c>
      <x:c r="AJ276" s="24" t="str">
        <x:f>IF($A276="","",M276*Settings!$B$15)</x:f>
      </x:c>
      <x:c r="AK276" s="24" t="str">
        <x:f>IF($A276="","",O276*Settings!$B$18)</x:f>
      </x:c>
      <x:c r="AL276" s="24" t="str">
        <x:f>IF($A276="","",P276*Settings!$B$20+Q276*Settings!$B$21+R276*Settings!$B$22+S276*Settings!$B$23)</x:f>
      </x:c>
      <x:c r="AM276" s="24" t="str">
        <x:f>IF($A276="","",T276*Settings!$B$24)</x:f>
      </x:c>
      <x:c r="AN276" s="23" t="str">
        <x:f>IF($A276="","",SUM(AI276,N276,AK276:AM276,U276))</x:f>
      </x:c>
      <x:c r="AO276" s="23" t="str">
        <x:f>IF($A276="","",SUM(AD276:AI276,N276,AK276:AM276,U276))</x:f>
      </x:c>
      <x:c r="AP276" s="24" t="str">
        <x:f>IF($A276="","",G276*F276*AB276*((13-Settings!$B$9)*(1+H276*I276)+J276)*(1+SUM(Settings!$B$11:$B$12)))</x:f>
      </x:c>
      <x:c r="AQ276" s="23" t="str">
        <x:f>IF($A276="","",SUM(AO276:AP276))</x:f>
      </x:c>
      <x:c r="AR276" s="23" t="str">
        <x:f>IF($A276="","",AQ276-X276)</x:f>
      </x:c>
      <x:c r="AS276" s="22" t="str">
        <x:f>IF($A276="","",IF(W276=0,"n.a.",V276/W276))</x:f>
      </x:c>
      <x:c r="AT276" s="26" t="str">
        <x:f>IF($A276="",IF(COUNTA(B276:Y276)&gt;0,"Missing ID",""),IF(COUNTIFS($A$9:$A$508,A276)&gt;1,"Duplicate ID",IF(OR(B276="",C276="",D276="",E276="",COUNT(F276:X276)&lt;&gt;19),"Missing / text input",IF(OR(COUNTIFS(Settings!$A$59:$A$64,B276)&lt;&gt;1,COUNTIFS(Settings!$A$29:$A$33,E276)&lt;&gt;1),"Unknown department / grade",IF(OR(F276&lt;=0,F276&gt;1,G276&lt;=0,L276&lt;=0,H276&lt;0,I276&lt;0,J276&lt;0,K276&lt;0,K276&gt;1,MIN(M276:X276)&lt;0,W276=0,V276&gt;W276,M276&gt;W276-V276,P276&gt;8,Q276&gt;4,R276&gt;12,S276&gt;12,T276&gt;1,AB276&lt;0),"Review quantity / rate",IF(OR(N276&gt;Settings!$C$17,AK276&gt;Settings!$C$19),"Review benefit ceiling","OK"))))))</x:f>
      </x:c>
    </x:row>
    <x:row r="277" ht="23" customHeight="1">
      <x:c r="A277" s="8"/>
      <x:c r="B277" s="8"/>
      <x:c r="C277" s="8"/>
      <x:c r="D277" s="8"/>
      <x:c r="E277" s="8"/>
      <x:c r="F277" s="20"/>
      <x:c r="G277" s="12"/>
      <x:c r="H277" s="21"/>
      <x:c r="I277" s="20"/>
      <x:c r="J277" s="20"/>
      <x:c r="K277" s="20"/>
      <x:c r="L277" s="12"/>
      <x:c r="M277" s="8"/>
      <x:c r="N277" s="12"/>
      <x:c r="O277" s="8"/>
      <x:c r="P277" s="8"/>
      <x:c r="Q277" s="8"/>
      <x:c r="R277" s="8"/>
      <x:c r="S277" s="8"/>
      <x:c r="T277" s="8"/>
      <x:c r="U277" s="12"/>
      <x:c r="V277" s="8"/>
      <x:c r="W277" s="8"/>
      <x:c r="X277" s="12"/>
      <x:c r="Y277" s="21"/>
      <x:c r="Z277" s="24" t="str">
        <x:f>IF($A277="","",INDEX(Settings!$C$29:$C$33,MATCH(E277,Settings!$A$29:$A$33,0)))</x:f>
      </x:c>
      <x:c r="AA277" s="22" t="str">
        <x:f>IF($A277="","",G277/Z277)</x:f>
      </x:c>
      <x:c r="AB277" s="25" t="str">
        <x:f>IF($A277="","",IF(ISNUMBER(Y277),Y277,Settings!$B$10))</x:f>
      </x:c>
      <x:c r="AC277" s="23" t="str">
        <x:f>IF($A277="","",G277*(1+AB277))</x:f>
      </x:c>
      <x:c r="AD277" s="23" t="str">
        <x:f>IF($A277="","",G277*F277*12)</x:f>
      </x:c>
      <x:c r="AE277" s="23" t="str">
        <x:f>IF($A277="","",G277*F277*J277)</x:f>
      </x:c>
      <x:c r="AF277" s="24" t="str">
        <x:f>IF($A277="","",L277*F277*K277*Settings!$B$13)</x:f>
      </x:c>
      <x:c r="AG277" s="23" t="str">
        <x:f>IF($A277="","",AD277*H277*I277)</x:f>
      </x:c>
      <x:c r="AH277" s="24" t="str">
        <x:f>IF($A277="","",SUM(AD277:AE277,AG277)*SUM(Settings!$B$11:$B$12))</x:f>
      </x:c>
      <x:c r="AI277" s="24" t="str">
        <x:f>IF($A277="","",M277*Settings!$B$16)</x:f>
      </x:c>
      <x:c r="AJ277" s="24" t="str">
        <x:f>IF($A277="","",M277*Settings!$B$15)</x:f>
      </x:c>
      <x:c r="AK277" s="24" t="str">
        <x:f>IF($A277="","",O277*Settings!$B$18)</x:f>
      </x:c>
      <x:c r="AL277" s="24" t="str">
        <x:f>IF($A277="","",P277*Settings!$B$20+Q277*Settings!$B$21+R277*Settings!$B$22+S277*Settings!$B$23)</x:f>
      </x:c>
      <x:c r="AM277" s="24" t="str">
        <x:f>IF($A277="","",T277*Settings!$B$24)</x:f>
      </x:c>
      <x:c r="AN277" s="23" t="str">
        <x:f>IF($A277="","",SUM(AI277,N277,AK277:AM277,U277))</x:f>
      </x:c>
      <x:c r="AO277" s="23" t="str">
        <x:f>IF($A277="","",SUM(AD277:AI277,N277,AK277:AM277,U277))</x:f>
      </x:c>
      <x:c r="AP277" s="24" t="str">
        <x:f>IF($A277="","",G277*F277*AB277*((13-Settings!$B$9)*(1+H277*I277)+J277)*(1+SUM(Settings!$B$11:$B$12)))</x:f>
      </x:c>
      <x:c r="AQ277" s="23" t="str">
        <x:f>IF($A277="","",SUM(AO277:AP277))</x:f>
      </x:c>
      <x:c r="AR277" s="23" t="str">
        <x:f>IF($A277="","",AQ277-X277)</x:f>
      </x:c>
      <x:c r="AS277" s="22" t="str">
        <x:f>IF($A277="","",IF(W277=0,"n.a.",V277/W277))</x:f>
      </x:c>
      <x:c r="AT277" s="26" t="str">
        <x:f>IF($A277="",IF(COUNTA(B277:Y277)&gt;0,"Missing ID",""),IF(COUNTIFS($A$9:$A$508,A277)&gt;1,"Duplicate ID",IF(OR(B277="",C277="",D277="",E277="",COUNT(F277:X277)&lt;&gt;19),"Missing / text input",IF(OR(COUNTIFS(Settings!$A$59:$A$64,B277)&lt;&gt;1,COUNTIFS(Settings!$A$29:$A$33,E277)&lt;&gt;1),"Unknown department / grade",IF(OR(F277&lt;=0,F277&gt;1,G277&lt;=0,L277&lt;=0,H277&lt;0,I277&lt;0,J277&lt;0,K277&lt;0,K277&gt;1,MIN(M277:X277)&lt;0,W277=0,V277&gt;W277,M277&gt;W277-V277,P277&gt;8,Q277&gt;4,R277&gt;12,S277&gt;12,T277&gt;1,AB277&lt;0),"Review quantity / rate",IF(OR(N277&gt;Settings!$C$17,AK277&gt;Settings!$C$19),"Review benefit ceiling","OK"))))))</x:f>
      </x:c>
    </x:row>
    <x:row r="278" ht="23" customHeight="1">
      <x:c r="A278" s="8"/>
      <x:c r="B278" s="8"/>
      <x:c r="C278" s="8"/>
      <x:c r="D278" s="8"/>
      <x:c r="E278" s="8"/>
      <x:c r="F278" s="20"/>
      <x:c r="G278" s="12"/>
      <x:c r="H278" s="21"/>
      <x:c r="I278" s="20"/>
      <x:c r="J278" s="20"/>
      <x:c r="K278" s="20"/>
      <x:c r="L278" s="12"/>
      <x:c r="M278" s="8"/>
      <x:c r="N278" s="12"/>
      <x:c r="O278" s="8"/>
      <x:c r="P278" s="8"/>
      <x:c r="Q278" s="8"/>
      <x:c r="R278" s="8"/>
      <x:c r="S278" s="8"/>
      <x:c r="T278" s="8"/>
      <x:c r="U278" s="12"/>
      <x:c r="V278" s="8"/>
      <x:c r="W278" s="8"/>
      <x:c r="X278" s="12"/>
      <x:c r="Y278" s="21"/>
      <x:c r="Z278" s="24" t="str">
        <x:f>IF($A278="","",INDEX(Settings!$C$29:$C$33,MATCH(E278,Settings!$A$29:$A$33,0)))</x:f>
      </x:c>
      <x:c r="AA278" s="22" t="str">
        <x:f>IF($A278="","",G278/Z278)</x:f>
      </x:c>
      <x:c r="AB278" s="25" t="str">
        <x:f>IF($A278="","",IF(ISNUMBER(Y278),Y278,Settings!$B$10))</x:f>
      </x:c>
      <x:c r="AC278" s="23" t="str">
        <x:f>IF($A278="","",G278*(1+AB278))</x:f>
      </x:c>
      <x:c r="AD278" s="23" t="str">
        <x:f>IF($A278="","",G278*F278*12)</x:f>
      </x:c>
      <x:c r="AE278" s="23" t="str">
        <x:f>IF($A278="","",G278*F278*J278)</x:f>
      </x:c>
      <x:c r="AF278" s="24" t="str">
        <x:f>IF($A278="","",L278*F278*K278*Settings!$B$13)</x:f>
      </x:c>
      <x:c r="AG278" s="23" t="str">
        <x:f>IF($A278="","",AD278*H278*I278)</x:f>
      </x:c>
      <x:c r="AH278" s="24" t="str">
        <x:f>IF($A278="","",SUM(AD278:AE278,AG278)*SUM(Settings!$B$11:$B$12))</x:f>
      </x:c>
      <x:c r="AI278" s="24" t="str">
        <x:f>IF($A278="","",M278*Settings!$B$16)</x:f>
      </x:c>
      <x:c r="AJ278" s="24" t="str">
        <x:f>IF($A278="","",M278*Settings!$B$15)</x:f>
      </x:c>
      <x:c r="AK278" s="24" t="str">
        <x:f>IF($A278="","",O278*Settings!$B$18)</x:f>
      </x:c>
      <x:c r="AL278" s="24" t="str">
        <x:f>IF($A278="","",P278*Settings!$B$20+Q278*Settings!$B$21+R278*Settings!$B$22+S278*Settings!$B$23)</x:f>
      </x:c>
      <x:c r="AM278" s="24" t="str">
        <x:f>IF($A278="","",T278*Settings!$B$24)</x:f>
      </x:c>
      <x:c r="AN278" s="23" t="str">
        <x:f>IF($A278="","",SUM(AI278,N278,AK278:AM278,U278))</x:f>
      </x:c>
      <x:c r="AO278" s="23" t="str">
        <x:f>IF($A278="","",SUM(AD278:AI278,N278,AK278:AM278,U278))</x:f>
      </x:c>
      <x:c r="AP278" s="24" t="str">
        <x:f>IF($A278="","",G278*F278*AB278*((13-Settings!$B$9)*(1+H278*I278)+J278)*(1+SUM(Settings!$B$11:$B$12)))</x:f>
      </x:c>
      <x:c r="AQ278" s="23" t="str">
        <x:f>IF($A278="","",SUM(AO278:AP278))</x:f>
      </x:c>
      <x:c r="AR278" s="23" t="str">
        <x:f>IF($A278="","",AQ278-X278)</x:f>
      </x:c>
      <x:c r="AS278" s="22" t="str">
        <x:f>IF($A278="","",IF(W278=0,"n.a.",V278/W278))</x:f>
      </x:c>
      <x:c r="AT278" s="26" t="str">
        <x:f>IF($A278="",IF(COUNTA(B278:Y278)&gt;0,"Missing ID",""),IF(COUNTIFS($A$9:$A$508,A278)&gt;1,"Duplicate ID",IF(OR(B278="",C278="",D278="",E278="",COUNT(F278:X278)&lt;&gt;19),"Missing / text input",IF(OR(COUNTIFS(Settings!$A$59:$A$64,B278)&lt;&gt;1,COUNTIFS(Settings!$A$29:$A$33,E278)&lt;&gt;1),"Unknown department / grade",IF(OR(F278&lt;=0,F278&gt;1,G278&lt;=0,L278&lt;=0,H278&lt;0,I278&lt;0,J278&lt;0,K278&lt;0,K278&gt;1,MIN(M278:X278)&lt;0,W278=0,V278&gt;W278,M278&gt;W278-V278,P278&gt;8,Q278&gt;4,R278&gt;12,S278&gt;12,T278&gt;1,AB278&lt;0),"Review quantity / rate",IF(OR(N278&gt;Settings!$C$17,AK278&gt;Settings!$C$19),"Review benefit ceiling","OK"))))))</x:f>
      </x:c>
    </x:row>
    <x:row r="279" ht="23" customHeight="1">
      <x:c r="A279" s="8"/>
      <x:c r="B279" s="8"/>
      <x:c r="C279" s="8"/>
      <x:c r="D279" s="8"/>
      <x:c r="E279" s="8"/>
      <x:c r="F279" s="20"/>
      <x:c r="G279" s="12"/>
      <x:c r="H279" s="21"/>
      <x:c r="I279" s="20"/>
      <x:c r="J279" s="20"/>
      <x:c r="K279" s="20"/>
      <x:c r="L279" s="12"/>
      <x:c r="M279" s="8"/>
      <x:c r="N279" s="12"/>
      <x:c r="O279" s="8"/>
      <x:c r="P279" s="8"/>
      <x:c r="Q279" s="8"/>
      <x:c r="R279" s="8"/>
      <x:c r="S279" s="8"/>
      <x:c r="T279" s="8"/>
      <x:c r="U279" s="12"/>
      <x:c r="V279" s="8"/>
      <x:c r="W279" s="8"/>
      <x:c r="X279" s="12"/>
      <x:c r="Y279" s="21"/>
      <x:c r="Z279" s="24" t="str">
        <x:f>IF($A279="","",INDEX(Settings!$C$29:$C$33,MATCH(E279,Settings!$A$29:$A$33,0)))</x:f>
      </x:c>
      <x:c r="AA279" s="22" t="str">
        <x:f>IF($A279="","",G279/Z279)</x:f>
      </x:c>
      <x:c r="AB279" s="25" t="str">
        <x:f>IF($A279="","",IF(ISNUMBER(Y279),Y279,Settings!$B$10))</x:f>
      </x:c>
      <x:c r="AC279" s="23" t="str">
        <x:f>IF($A279="","",G279*(1+AB279))</x:f>
      </x:c>
      <x:c r="AD279" s="23" t="str">
        <x:f>IF($A279="","",G279*F279*12)</x:f>
      </x:c>
      <x:c r="AE279" s="23" t="str">
        <x:f>IF($A279="","",G279*F279*J279)</x:f>
      </x:c>
      <x:c r="AF279" s="24" t="str">
        <x:f>IF($A279="","",L279*F279*K279*Settings!$B$13)</x:f>
      </x:c>
      <x:c r="AG279" s="23" t="str">
        <x:f>IF($A279="","",AD279*H279*I279)</x:f>
      </x:c>
      <x:c r="AH279" s="24" t="str">
        <x:f>IF($A279="","",SUM(AD279:AE279,AG279)*SUM(Settings!$B$11:$B$12))</x:f>
      </x:c>
      <x:c r="AI279" s="24" t="str">
        <x:f>IF($A279="","",M279*Settings!$B$16)</x:f>
      </x:c>
      <x:c r="AJ279" s="24" t="str">
        <x:f>IF($A279="","",M279*Settings!$B$15)</x:f>
      </x:c>
      <x:c r="AK279" s="24" t="str">
        <x:f>IF($A279="","",O279*Settings!$B$18)</x:f>
      </x:c>
      <x:c r="AL279" s="24" t="str">
        <x:f>IF($A279="","",P279*Settings!$B$20+Q279*Settings!$B$21+R279*Settings!$B$22+S279*Settings!$B$23)</x:f>
      </x:c>
      <x:c r="AM279" s="24" t="str">
        <x:f>IF($A279="","",T279*Settings!$B$24)</x:f>
      </x:c>
      <x:c r="AN279" s="23" t="str">
        <x:f>IF($A279="","",SUM(AI279,N279,AK279:AM279,U279))</x:f>
      </x:c>
      <x:c r="AO279" s="23" t="str">
        <x:f>IF($A279="","",SUM(AD279:AI279,N279,AK279:AM279,U279))</x:f>
      </x:c>
      <x:c r="AP279" s="24" t="str">
        <x:f>IF($A279="","",G279*F279*AB279*((13-Settings!$B$9)*(1+H279*I279)+J279)*(1+SUM(Settings!$B$11:$B$12)))</x:f>
      </x:c>
      <x:c r="AQ279" s="23" t="str">
        <x:f>IF($A279="","",SUM(AO279:AP279))</x:f>
      </x:c>
      <x:c r="AR279" s="23" t="str">
        <x:f>IF($A279="","",AQ279-X279)</x:f>
      </x:c>
      <x:c r="AS279" s="22" t="str">
        <x:f>IF($A279="","",IF(W279=0,"n.a.",V279/W279))</x:f>
      </x:c>
      <x:c r="AT279" s="26" t="str">
        <x:f>IF($A279="",IF(COUNTA(B279:Y279)&gt;0,"Missing ID",""),IF(COUNTIFS($A$9:$A$508,A279)&gt;1,"Duplicate ID",IF(OR(B279="",C279="",D279="",E279="",COUNT(F279:X279)&lt;&gt;19),"Missing / text input",IF(OR(COUNTIFS(Settings!$A$59:$A$64,B279)&lt;&gt;1,COUNTIFS(Settings!$A$29:$A$33,E279)&lt;&gt;1),"Unknown department / grade",IF(OR(F279&lt;=0,F279&gt;1,G279&lt;=0,L279&lt;=0,H279&lt;0,I279&lt;0,J279&lt;0,K279&lt;0,K279&gt;1,MIN(M279:X279)&lt;0,W279=0,V279&gt;W279,M279&gt;W279-V279,P279&gt;8,Q279&gt;4,R279&gt;12,S279&gt;12,T279&gt;1,AB279&lt;0),"Review quantity / rate",IF(OR(N279&gt;Settings!$C$17,AK279&gt;Settings!$C$19),"Review benefit ceiling","OK"))))))</x:f>
      </x:c>
    </x:row>
    <x:row r="280" ht="23" customHeight="1">
      <x:c r="A280" s="8"/>
      <x:c r="B280" s="8"/>
      <x:c r="C280" s="8"/>
      <x:c r="D280" s="8"/>
      <x:c r="E280" s="8"/>
      <x:c r="F280" s="20"/>
      <x:c r="G280" s="12"/>
      <x:c r="H280" s="21"/>
      <x:c r="I280" s="20"/>
      <x:c r="J280" s="20"/>
      <x:c r="K280" s="20"/>
      <x:c r="L280" s="12"/>
      <x:c r="M280" s="8"/>
      <x:c r="N280" s="12"/>
      <x:c r="O280" s="8"/>
      <x:c r="P280" s="8"/>
      <x:c r="Q280" s="8"/>
      <x:c r="R280" s="8"/>
      <x:c r="S280" s="8"/>
      <x:c r="T280" s="8"/>
      <x:c r="U280" s="12"/>
      <x:c r="V280" s="8"/>
      <x:c r="W280" s="8"/>
      <x:c r="X280" s="12"/>
      <x:c r="Y280" s="21"/>
      <x:c r="Z280" s="24" t="str">
        <x:f>IF($A280="","",INDEX(Settings!$C$29:$C$33,MATCH(E280,Settings!$A$29:$A$33,0)))</x:f>
      </x:c>
      <x:c r="AA280" s="22" t="str">
        <x:f>IF($A280="","",G280/Z280)</x:f>
      </x:c>
      <x:c r="AB280" s="25" t="str">
        <x:f>IF($A280="","",IF(ISNUMBER(Y280),Y280,Settings!$B$10))</x:f>
      </x:c>
      <x:c r="AC280" s="23" t="str">
        <x:f>IF($A280="","",G280*(1+AB280))</x:f>
      </x:c>
      <x:c r="AD280" s="23" t="str">
        <x:f>IF($A280="","",G280*F280*12)</x:f>
      </x:c>
      <x:c r="AE280" s="23" t="str">
        <x:f>IF($A280="","",G280*F280*J280)</x:f>
      </x:c>
      <x:c r="AF280" s="24" t="str">
        <x:f>IF($A280="","",L280*F280*K280*Settings!$B$13)</x:f>
      </x:c>
      <x:c r="AG280" s="23" t="str">
        <x:f>IF($A280="","",AD280*H280*I280)</x:f>
      </x:c>
      <x:c r="AH280" s="24" t="str">
        <x:f>IF($A280="","",SUM(AD280:AE280,AG280)*SUM(Settings!$B$11:$B$12))</x:f>
      </x:c>
      <x:c r="AI280" s="24" t="str">
        <x:f>IF($A280="","",M280*Settings!$B$16)</x:f>
      </x:c>
      <x:c r="AJ280" s="24" t="str">
        <x:f>IF($A280="","",M280*Settings!$B$15)</x:f>
      </x:c>
      <x:c r="AK280" s="24" t="str">
        <x:f>IF($A280="","",O280*Settings!$B$18)</x:f>
      </x:c>
      <x:c r="AL280" s="24" t="str">
        <x:f>IF($A280="","",P280*Settings!$B$20+Q280*Settings!$B$21+R280*Settings!$B$22+S280*Settings!$B$23)</x:f>
      </x:c>
      <x:c r="AM280" s="24" t="str">
        <x:f>IF($A280="","",T280*Settings!$B$24)</x:f>
      </x:c>
      <x:c r="AN280" s="23" t="str">
        <x:f>IF($A280="","",SUM(AI280,N280,AK280:AM280,U280))</x:f>
      </x:c>
      <x:c r="AO280" s="23" t="str">
        <x:f>IF($A280="","",SUM(AD280:AI280,N280,AK280:AM280,U280))</x:f>
      </x:c>
      <x:c r="AP280" s="24" t="str">
        <x:f>IF($A280="","",G280*F280*AB280*((13-Settings!$B$9)*(1+H280*I280)+J280)*(1+SUM(Settings!$B$11:$B$12)))</x:f>
      </x:c>
      <x:c r="AQ280" s="23" t="str">
        <x:f>IF($A280="","",SUM(AO280:AP280))</x:f>
      </x:c>
      <x:c r="AR280" s="23" t="str">
        <x:f>IF($A280="","",AQ280-X280)</x:f>
      </x:c>
      <x:c r="AS280" s="22" t="str">
        <x:f>IF($A280="","",IF(W280=0,"n.a.",V280/W280))</x:f>
      </x:c>
      <x:c r="AT280" s="26" t="str">
        <x:f>IF($A280="",IF(COUNTA(B280:Y280)&gt;0,"Missing ID",""),IF(COUNTIFS($A$9:$A$508,A280)&gt;1,"Duplicate ID",IF(OR(B280="",C280="",D280="",E280="",COUNT(F280:X280)&lt;&gt;19),"Missing / text input",IF(OR(COUNTIFS(Settings!$A$59:$A$64,B280)&lt;&gt;1,COUNTIFS(Settings!$A$29:$A$33,E280)&lt;&gt;1),"Unknown department / grade",IF(OR(F280&lt;=0,F280&gt;1,G280&lt;=0,L280&lt;=0,H280&lt;0,I280&lt;0,J280&lt;0,K280&lt;0,K280&gt;1,MIN(M280:X280)&lt;0,W280=0,V280&gt;W280,M280&gt;W280-V280,P280&gt;8,Q280&gt;4,R280&gt;12,S280&gt;12,T280&gt;1,AB280&lt;0),"Review quantity / rate",IF(OR(N280&gt;Settings!$C$17,AK280&gt;Settings!$C$19),"Review benefit ceiling","OK"))))))</x:f>
      </x:c>
    </x:row>
    <x:row r="281" ht="23" customHeight="1">
      <x:c r="A281" s="8"/>
      <x:c r="B281" s="8"/>
      <x:c r="C281" s="8"/>
      <x:c r="D281" s="8"/>
      <x:c r="E281" s="8"/>
      <x:c r="F281" s="20"/>
      <x:c r="G281" s="12"/>
      <x:c r="H281" s="21"/>
      <x:c r="I281" s="20"/>
      <x:c r="J281" s="20"/>
      <x:c r="K281" s="20"/>
      <x:c r="L281" s="12"/>
      <x:c r="M281" s="8"/>
      <x:c r="N281" s="12"/>
      <x:c r="O281" s="8"/>
      <x:c r="P281" s="8"/>
      <x:c r="Q281" s="8"/>
      <x:c r="R281" s="8"/>
      <x:c r="S281" s="8"/>
      <x:c r="T281" s="8"/>
      <x:c r="U281" s="12"/>
      <x:c r="V281" s="8"/>
      <x:c r="W281" s="8"/>
      <x:c r="X281" s="12"/>
      <x:c r="Y281" s="21"/>
      <x:c r="Z281" s="24" t="str">
        <x:f>IF($A281="","",INDEX(Settings!$C$29:$C$33,MATCH(E281,Settings!$A$29:$A$33,0)))</x:f>
      </x:c>
      <x:c r="AA281" s="22" t="str">
        <x:f>IF($A281="","",G281/Z281)</x:f>
      </x:c>
      <x:c r="AB281" s="25" t="str">
        <x:f>IF($A281="","",IF(ISNUMBER(Y281),Y281,Settings!$B$10))</x:f>
      </x:c>
      <x:c r="AC281" s="23" t="str">
        <x:f>IF($A281="","",G281*(1+AB281))</x:f>
      </x:c>
      <x:c r="AD281" s="23" t="str">
        <x:f>IF($A281="","",G281*F281*12)</x:f>
      </x:c>
      <x:c r="AE281" s="23" t="str">
        <x:f>IF($A281="","",G281*F281*J281)</x:f>
      </x:c>
      <x:c r="AF281" s="24" t="str">
        <x:f>IF($A281="","",L281*F281*K281*Settings!$B$13)</x:f>
      </x:c>
      <x:c r="AG281" s="23" t="str">
        <x:f>IF($A281="","",AD281*H281*I281)</x:f>
      </x:c>
      <x:c r="AH281" s="24" t="str">
        <x:f>IF($A281="","",SUM(AD281:AE281,AG281)*SUM(Settings!$B$11:$B$12))</x:f>
      </x:c>
      <x:c r="AI281" s="24" t="str">
        <x:f>IF($A281="","",M281*Settings!$B$16)</x:f>
      </x:c>
      <x:c r="AJ281" s="24" t="str">
        <x:f>IF($A281="","",M281*Settings!$B$15)</x:f>
      </x:c>
      <x:c r="AK281" s="24" t="str">
        <x:f>IF($A281="","",O281*Settings!$B$18)</x:f>
      </x:c>
      <x:c r="AL281" s="24" t="str">
        <x:f>IF($A281="","",P281*Settings!$B$20+Q281*Settings!$B$21+R281*Settings!$B$22+S281*Settings!$B$23)</x:f>
      </x:c>
      <x:c r="AM281" s="24" t="str">
        <x:f>IF($A281="","",T281*Settings!$B$24)</x:f>
      </x:c>
      <x:c r="AN281" s="23" t="str">
        <x:f>IF($A281="","",SUM(AI281,N281,AK281:AM281,U281))</x:f>
      </x:c>
      <x:c r="AO281" s="23" t="str">
        <x:f>IF($A281="","",SUM(AD281:AI281,N281,AK281:AM281,U281))</x:f>
      </x:c>
      <x:c r="AP281" s="24" t="str">
        <x:f>IF($A281="","",G281*F281*AB281*((13-Settings!$B$9)*(1+H281*I281)+J281)*(1+SUM(Settings!$B$11:$B$12)))</x:f>
      </x:c>
      <x:c r="AQ281" s="23" t="str">
        <x:f>IF($A281="","",SUM(AO281:AP281))</x:f>
      </x:c>
      <x:c r="AR281" s="23" t="str">
        <x:f>IF($A281="","",AQ281-X281)</x:f>
      </x:c>
      <x:c r="AS281" s="22" t="str">
        <x:f>IF($A281="","",IF(W281=0,"n.a.",V281/W281))</x:f>
      </x:c>
      <x:c r="AT281" s="26" t="str">
        <x:f>IF($A281="",IF(COUNTA(B281:Y281)&gt;0,"Missing ID",""),IF(COUNTIFS($A$9:$A$508,A281)&gt;1,"Duplicate ID",IF(OR(B281="",C281="",D281="",E281="",COUNT(F281:X281)&lt;&gt;19),"Missing / text input",IF(OR(COUNTIFS(Settings!$A$59:$A$64,B281)&lt;&gt;1,COUNTIFS(Settings!$A$29:$A$33,E281)&lt;&gt;1),"Unknown department / grade",IF(OR(F281&lt;=0,F281&gt;1,G281&lt;=0,L281&lt;=0,H281&lt;0,I281&lt;0,J281&lt;0,K281&lt;0,K281&gt;1,MIN(M281:X281)&lt;0,W281=0,V281&gt;W281,M281&gt;W281-V281,P281&gt;8,Q281&gt;4,R281&gt;12,S281&gt;12,T281&gt;1,AB281&lt;0),"Review quantity / rate",IF(OR(N281&gt;Settings!$C$17,AK281&gt;Settings!$C$19),"Review benefit ceiling","OK"))))))</x:f>
      </x:c>
    </x:row>
    <x:row r="282" ht="23" customHeight="1">
      <x:c r="A282" s="8"/>
      <x:c r="B282" s="8"/>
      <x:c r="C282" s="8"/>
      <x:c r="D282" s="8"/>
      <x:c r="E282" s="8"/>
      <x:c r="F282" s="20"/>
      <x:c r="G282" s="12"/>
      <x:c r="H282" s="21"/>
      <x:c r="I282" s="20"/>
      <x:c r="J282" s="20"/>
      <x:c r="K282" s="20"/>
      <x:c r="L282" s="12"/>
      <x:c r="M282" s="8"/>
      <x:c r="N282" s="12"/>
      <x:c r="O282" s="8"/>
      <x:c r="P282" s="8"/>
      <x:c r="Q282" s="8"/>
      <x:c r="R282" s="8"/>
      <x:c r="S282" s="8"/>
      <x:c r="T282" s="8"/>
      <x:c r="U282" s="12"/>
      <x:c r="V282" s="8"/>
      <x:c r="W282" s="8"/>
      <x:c r="X282" s="12"/>
      <x:c r="Y282" s="21"/>
      <x:c r="Z282" s="24" t="str">
        <x:f>IF($A282="","",INDEX(Settings!$C$29:$C$33,MATCH(E282,Settings!$A$29:$A$33,0)))</x:f>
      </x:c>
      <x:c r="AA282" s="22" t="str">
        <x:f>IF($A282="","",G282/Z282)</x:f>
      </x:c>
      <x:c r="AB282" s="25" t="str">
        <x:f>IF($A282="","",IF(ISNUMBER(Y282),Y282,Settings!$B$10))</x:f>
      </x:c>
      <x:c r="AC282" s="23" t="str">
        <x:f>IF($A282="","",G282*(1+AB282))</x:f>
      </x:c>
      <x:c r="AD282" s="23" t="str">
        <x:f>IF($A282="","",G282*F282*12)</x:f>
      </x:c>
      <x:c r="AE282" s="23" t="str">
        <x:f>IF($A282="","",G282*F282*J282)</x:f>
      </x:c>
      <x:c r="AF282" s="24" t="str">
        <x:f>IF($A282="","",L282*F282*K282*Settings!$B$13)</x:f>
      </x:c>
      <x:c r="AG282" s="23" t="str">
        <x:f>IF($A282="","",AD282*H282*I282)</x:f>
      </x:c>
      <x:c r="AH282" s="24" t="str">
        <x:f>IF($A282="","",SUM(AD282:AE282,AG282)*SUM(Settings!$B$11:$B$12))</x:f>
      </x:c>
      <x:c r="AI282" s="24" t="str">
        <x:f>IF($A282="","",M282*Settings!$B$16)</x:f>
      </x:c>
      <x:c r="AJ282" s="24" t="str">
        <x:f>IF($A282="","",M282*Settings!$B$15)</x:f>
      </x:c>
      <x:c r="AK282" s="24" t="str">
        <x:f>IF($A282="","",O282*Settings!$B$18)</x:f>
      </x:c>
      <x:c r="AL282" s="24" t="str">
        <x:f>IF($A282="","",P282*Settings!$B$20+Q282*Settings!$B$21+R282*Settings!$B$22+S282*Settings!$B$23)</x:f>
      </x:c>
      <x:c r="AM282" s="24" t="str">
        <x:f>IF($A282="","",T282*Settings!$B$24)</x:f>
      </x:c>
      <x:c r="AN282" s="23" t="str">
        <x:f>IF($A282="","",SUM(AI282,N282,AK282:AM282,U282))</x:f>
      </x:c>
      <x:c r="AO282" s="23" t="str">
        <x:f>IF($A282="","",SUM(AD282:AI282,N282,AK282:AM282,U282))</x:f>
      </x:c>
      <x:c r="AP282" s="24" t="str">
        <x:f>IF($A282="","",G282*F282*AB282*((13-Settings!$B$9)*(1+H282*I282)+J282)*(1+SUM(Settings!$B$11:$B$12)))</x:f>
      </x:c>
      <x:c r="AQ282" s="23" t="str">
        <x:f>IF($A282="","",SUM(AO282:AP282))</x:f>
      </x:c>
      <x:c r="AR282" s="23" t="str">
        <x:f>IF($A282="","",AQ282-X282)</x:f>
      </x:c>
      <x:c r="AS282" s="22" t="str">
        <x:f>IF($A282="","",IF(W282=0,"n.a.",V282/W282))</x:f>
      </x:c>
      <x:c r="AT282" s="26" t="str">
        <x:f>IF($A282="",IF(COUNTA(B282:Y282)&gt;0,"Missing ID",""),IF(COUNTIFS($A$9:$A$508,A282)&gt;1,"Duplicate ID",IF(OR(B282="",C282="",D282="",E282="",COUNT(F282:X282)&lt;&gt;19),"Missing / text input",IF(OR(COUNTIFS(Settings!$A$59:$A$64,B282)&lt;&gt;1,COUNTIFS(Settings!$A$29:$A$33,E282)&lt;&gt;1),"Unknown department / grade",IF(OR(F282&lt;=0,F282&gt;1,G282&lt;=0,L282&lt;=0,H282&lt;0,I282&lt;0,J282&lt;0,K282&lt;0,K282&gt;1,MIN(M282:X282)&lt;0,W282=0,V282&gt;W282,M282&gt;W282-V282,P282&gt;8,Q282&gt;4,R282&gt;12,S282&gt;12,T282&gt;1,AB282&lt;0),"Review quantity / rate",IF(OR(N282&gt;Settings!$C$17,AK282&gt;Settings!$C$19),"Review benefit ceiling","OK"))))))</x:f>
      </x:c>
    </x:row>
    <x:row r="283" ht="23" customHeight="1">
      <x:c r="A283" s="8"/>
      <x:c r="B283" s="8"/>
      <x:c r="C283" s="8"/>
      <x:c r="D283" s="8"/>
      <x:c r="E283" s="8"/>
      <x:c r="F283" s="20"/>
      <x:c r="G283" s="12"/>
      <x:c r="H283" s="21"/>
      <x:c r="I283" s="20"/>
      <x:c r="J283" s="20"/>
      <x:c r="K283" s="20"/>
      <x:c r="L283" s="12"/>
      <x:c r="M283" s="8"/>
      <x:c r="N283" s="12"/>
      <x:c r="O283" s="8"/>
      <x:c r="P283" s="8"/>
      <x:c r="Q283" s="8"/>
      <x:c r="R283" s="8"/>
      <x:c r="S283" s="8"/>
      <x:c r="T283" s="8"/>
      <x:c r="U283" s="12"/>
      <x:c r="V283" s="8"/>
      <x:c r="W283" s="8"/>
      <x:c r="X283" s="12"/>
      <x:c r="Y283" s="21"/>
      <x:c r="Z283" s="24" t="str">
        <x:f>IF($A283="","",INDEX(Settings!$C$29:$C$33,MATCH(E283,Settings!$A$29:$A$33,0)))</x:f>
      </x:c>
      <x:c r="AA283" s="22" t="str">
        <x:f>IF($A283="","",G283/Z283)</x:f>
      </x:c>
      <x:c r="AB283" s="25" t="str">
        <x:f>IF($A283="","",IF(ISNUMBER(Y283),Y283,Settings!$B$10))</x:f>
      </x:c>
      <x:c r="AC283" s="23" t="str">
        <x:f>IF($A283="","",G283*(1+AB283))</x:f>
      </x:c>
      <x:c r="AD283" s="23" t="str">
        <x:f>IF($A283="","",G283*F283*12)</x:f>
      </x:c>
      <x:c r="AE283" s="23" t="str">
        <x:f>IF($A283="","",G283*F283*J283)</x:f>
      </x:c>
      <x:c r="AF283" s="24" t="str">
        <x:f>IF($A283="","",L283*F283*K283*Settings!$B$13)</x:f>
      </x:c>
      <x:c r="AG283" s="23" t="str">
        <x:f>IF($A283="","",AD283*H283*I283)</x:f>
      </x:c>
      <x:c r="AH283" s="24" t="str">
        <x:f>IF($A283="","",SUM(AD283:AE283,AG283)*SUM(Settings!$B$11:$B$12))</x:f>
      </x:c>
      <x:c r="AI283" s="24" t="str">
        <x:f>IF($A283="","",M283*Settings!$B$16)</x:f>
      </x:c>
      <x:c r="AJ283" s="24" t="str">
        <x:f>IF($A283="","",M283*Settings!$B$15)</x:f>
      </x:c>
      <x:c r="AK283" s="24" t="str">
        <x:f>IF($A283="","",O283*Settings!$B$18)</x:f>
      </x:c>
      <x:c r="AL283" s="24" t="str">
        <x:f>IF($A283="","",P283*Settings!$B$20+Q283*Settings!$B$21+R283*Settings!$B$22+S283*Settings!$B$23)</x:f>
      </x:c>
      <x:c r="AM283" s="24" t="str">
        <x:f>IF($A283="","",T283*Settings!$B$24)</x:f>
      </x:c>
      <x:c r="AN283" s="23" t="str">
        <x:f>IF($A283="","",SUM(AI283,N283,AK283:AM283,U283))</x:f>
      </x:c>
      <x:c r="AO283" s="23" t="str">
        <x:f>IF($A283="","",SUM(AD283:AI283,N283,AK283:AM283,U283))</x:f>
      </x:c>
      <x:c r="AP283" s="24" t="str">
        <x:f>IF($A283="","",G283*F283*AB283*((13-Settings!$B$9)*(1+H283*I283)+J283)*(1+SUM(Settings!$B$11:$B$12)))</x:f>
      </x:c>
      <x:c r="AQ283" s="23" t="str">
        <x:f>IF($A283="","",SUM(AO283:AP283))</x:f>
      </x:c>
      <x:c r="AR283" s="23" t="str">
        <x:f>IF($A283="","",AQ283-X283)</x:f>
      </x:c>
      <x:c r="AS283" s="22" t="str">
        <x:f>IF($A283="","",IF(W283=0,"n.a.",V283/W283))</x:f>
      </x:c>
      <x:c r="AT283" s="26" t="str">
        <x:f>IF($A283="",IF(COUNTA(B283:Y283)&gt;0,"Missing ID",""),IF(COUNTIFS($A$9:$A$508,A283)&gt;1,"Duplicate ID",IF(OR(B283="",C283="",D283="",E283="",COUNT(F283:X283)&lt;&gt;19),"Missing / text input",IF(OR(COUNTIFS(Settings!$A$59:$A$64,B283)&lt;&gt;1,COUNTIFS(Settings!$A$29:$A$33,E283)&lt;&gt;1),"Unknown department / grade",IF(OR(F283&lt;=0,F283&gt;1,G283&lt;=0,L283&lt;=0,H283&lt;0,I283&lt;0,J283&lt;0,K283&lt;0,K283&gt;1,MIN(M283:X283)&lt;0,W283=0,V283&gt;W283,M283&gt;W283-V283,P283&gt;8,Q283&gt;4,R283&gt;12,S283&gt;12,T283&gt;1,AB283&lt;0),"Review quantity / rate",IF(OR(N283&gt;Settings!$C$17,AK283&gt;Settings!$C$19),"Review benefit ceiling","OK"))))))</x:f>
      </x:c>
    </x:row>
    <x:row r="284" ht="23" customHeight="1">
      <x:c r="A284" s="8"/>
      <x:c r="B284" s="8"/>
      <x:c r="C284" s="8"/>
      <x:c r="D284" s="8"/>
      <x:c r="E284" s="8"/>
      <x:c r="F284" s="20"/>
      <x:c r="G284" s="12"/>
      <x:c r="H284" s="21"/>
      <x:c r="I284" s="20"/>
      <x:c r="J284" s="20"/>
      <x:c r="K284" s="20"/>
      <x:c r="L284" s="12"/>
      <x:c r="M284" s="8"/>
      <x:c r="N284" s="12"/>
      <x:c r="O284" s="8"/>
      <x:c r="P284" s="8"/>
      <x:c r="Q284" s="8"/>
      <x:c r="R284" s="8"/>
      <x:c r="S284" s="8"/>
      <x:c r="T284" s="8"/>
      <x:c r="U284" s="12"/>
      <x:c r="V284" s="8"/>
      <x:c r="W284" s="8"/>
      <x:c r="X284" s="12"/>
      <x:c r="Y284" s="21"/>
      <x:c r="Z284" s="24" t="str">
        <x:f>IF($A284="","",INDEX(Settings!$C$29:$C$33,MATCH(E284,Settings!$A$29:$A$33,0)))</x:f>
      </x:c>
      <x:c r="AA284" s="22" t="str">
        <x:f>IF($A284="","",G284/Z284)</x:f>
      </x:c>
      <x:c r="AB284" s="25" t="str">
        <x:f>IF($A284="","",IF(ISNUMBER(Y284),Y284,Settings!$B$10))</x:f>
      </x:c>
      <x:c r="AC284" s="23" t="str">
        <x:f>IF($A284="","",G284*(1+AB284))</x:f>
      </x:c>
      <x:c r="AD284" s="23" t="str">
        <x:f>IF($A284="","",G284*F284*12)</x:f>
      </x:c>
      <x:c r="AE284" s="23" t="str">
        <x:f>IF($A284="","",G284*F284*J284)</x:f>
      </x:c>
      <x:c r="AF284" s="24" t="str">
        <x:f>IF($A284="","",L284*F284*K284*Settings!$B$13)</x:f>
      </x:c>
      <x:c r="AG284" s="23" t="str">
        <x:f>IF($A284="","",AD284*H284*I284)</x:f>
      </x:c>
      <x:c r="AH284" s="24" t="str">
        <x:f>IF($A284="","",SUM(AD284:AE284,AG284)*SUM(Settings!$B$11:$B$12))</x:f>
      </x:c>
      <x:c r="AI284" s="24" t="str">
        <x:f>IF($A284="","",M284*Settings!$B$16)</x:f>
      </x:c>
      <x:c r="AJ284" s="24" t="str">
        <x:f>IF($A284="","",M284*Settings!$B$15)</x:f>
      </x:c>
      <x:c r="AK284" s="24" t="str">
        <x:f>IF($A284="","",O284*Settings!$B$18)</x:f>
      </x:c>
      <x:c r="AL284" s="24" t="str">
        <x:f>IF($A284="","",P284*Settings!$B$20+Q284*Settings!$B$21+R284*Settings!$B$22+S284*Settings!$B$23)</x:f>
      </x:c>
      <x:c r="AM284" s="24" t="str">
        <x:f>IF($A284="","",T284*Settings!$B$24)</x:f>
      </x:c>
      <x:c r="AN284" s="23" t="str">
        <x:f>IF($A284="","",SUM(AI284,N284,AK284:AM284,U284))</x:f>
      </x:c>
      <x:c r="AO284" s="23" t="str">
        <x:f>IF($A284="","",SUM(AD284:AI284,N284,AK284:AM284,U284))</x:f>
      </x:c>
      <x:c r="AP284" s="24" t="str">
        <x:f>IF($A284="","",G284*F284*AB284*((13-Settings!$B$9)*(1+H284*I284)+J284)*(1+SUM(Settings!$B$11:$B$12)))</x:f>
      </x:c>
      <x:c r="AQ284" s="23" t="str">
        <x:f>IF($A284="","",SUM(AO284:AP284))</x:f>
      </x:c>
      <x:c r="AR284" s="23" t="str">
        <x:f>IF($A284="","",AQ284-X284)</x:f>
      </x:c>
      <x:c r="AS284" s="22" t="str">
        <x:f>IF($A284="","",IF(W284=0,"n.a.",V284/W284))</x:f>
      </x:c>
      <x:c r="AT284" s="26" t="str">
        <x:f>IF($A284="",IF(COUNTA(B284:Y284)&gt;0,"Missing ID",""),IF(COUNTIFS($A$9:$A$508,A284)&gt;1,"Duplicate ID",IF(OR(B284="",C284="",D284="",E284="",COUNT(F284:X284)&lt;&gt;19),"Missing / text input",IF(OR(COUNTIFS(Settings!$A$59:$A$64,B284)&lt;&gt;1,COUNTIFS(Settings!$A$29:$A$33,E284)&lt;&gt;1),"Unknown department / grade",IF(OR(F284&lt;=0,F284&gt;1,G284&lt;=0,L284&lt;=0,H284&lt;0,I284&lt;0,J284&lt;0,K284&lt;0,K284&gt;1,MIN(M284:X284)&lt;0,W284=0,V284&gt;W284,M284&gt;W284-V284,P284&gt;8,Q284&gt;4,R284&gt;12,S284&gt;12,T284&gt;1,AB284&lt;0),"Review quantity / rate",IF(OR(N284&gt;Settings!$C$17,AK284&gt;Settings!$C$19),"Review benefit ceiling","OK"))))))</x:f>
      </x:c>
    </x:row>
    <x:row r="285" ht="23" customHeight="1">
      <x:c r="A285" s="8"/>
      <x:c r="B285" s="8"/>
      <x:c r="C285" s="8"/>
      <x:c r="D285" s="8"/>
      <x:c r="E285" s="8"/>
      <x:c r="F285" s="20"/>
      <x:c r="G285" s="12"/>
      <x:c r="H285" s="21"/>
      <x:c r="I285" s="20"/>
      <x:c r="J285" s="20"/>
      <x:c r="K285" s="20"/>
      <x:c r="L285" s="12"/>
      <x:c r="M285" s="8"/>
      <x:c r="N285" s="12"/>
      <x:c r="O285" s="8"/>
      <x:c r="P285" s="8"/>
      <x:c r="Q285" s="8"/>
      <x:c r="R285" s="8"/>
      <x:c r="S285" s="8"/>
      <x:c r="T285" s="8"/>
      <x:c r="U285" s="12"/>
      <x:c r="V285" s="8"/>
      <x:c r="W285" s="8"/>
      <x:c r="X285" s="12"/>
      <x:c r="Y285" s="21"/>
      <x:c r="Z285" s="24" t="str">
        <x:f>IF($A285="","",INDEX(Settings!$C$29:$C$33,MATCH(E285,Settings!$A$29:$A$33,0)))</x:f>
      </x:c>
      <x:c r="AA285" s="22" t="str">
        <x:f>IF($A285="","",G285/Z285)</x:f>
      </x:c>
      <x:c r="AB285" s="25" t="str">
        <x:f>IF($A285="","",IF(ISNUMBER(Y285),Y285,Settings!$B$10))</x:f>
      </x:c>
      <x:c r="AC285" s="23" t="str">
        <x:f>IF($A285="","",G285*(1+AB285))</x:f>
      </x:c>
      <x:c r="AD285" s="23" t="str">
        <x:f>IF($A285="","",G285*F285*12)</x:f>
      </x:c>
      <x:c r="AE285" s="23" t="str">
        <x:f>IF($A285="","",G285*F285*J285)</x:f>
      </x:c>
      <x:c r="AF285" s="24" t="str">
        <x:f>IF($A285="","",L285*F285*K285*Settings!$B$13)</x:f>
      </x:c>
      <x:c r="AG285" s="23" t="str">
        <x:f>IF($A285="","",AD285*H285*I285)</x:f>
      </x:c>
      <x:c r="AH285" s="24" t="str">
        <x:f>IF($A285="","",SUM(AD285:AE285,AG285)*SUM(Settings!$B$11:$B$12))</x:f>
      </x:c>
      <x:c r="AI285" s="24" t="str">
        <x:f>IF($A285="","",M285*Settings!$B$16)</x:f>
      </x:c>
      <x:c r="AJ285" s="24" t="str">
        <x:f>IF($A285="","",M285*Settings!$B$15)</x:f>
      </x:c>
      <x:c r="AK285" s="24" t="str">
        <x:f>IF($A285="","",O285*Settings!$B$18)</x:f>
      </x:c>
      <x:c r="AL285" s="24" t="str">
        <x:f>IF($A285="","",P285*Settings!$B$20+Q285*Settings!$B$21+R285*Settings!$B$22+S285*Settings!$B$23)</x:f>
      </x:c>
      <x:c r="AM285" s="24" t="str">
        <x:f>IF($A285="","",T285*Settings!$B$24)</x:f>
      </x:c>
      <x:c r="AN285" s="23" t="str">
        <x:f>IF($A285="","",SUM(AI285,N285,AK285:AM285,U285))</x:f>
      </x:c>
      <x:c r="AO285" s="23" t="str">
        <x:f>IF($A285="","",SUM(AD285:AI285,N285,AK285:AM285,U285))</x:f>
      </x:c>
      <x:c r="AP285" s="24" t="str">
        <x:f>IF($A285="","",G285*F285*AB285*((13-Settings!$B$9)*(1+H285*I285)+J285)*(1+SUM(Settings!$B$11:$B$12)))</x:f>
      </x:c>
      <x:c r="AQ285" s="23" t="str">
        <x:f>IF($A285="","",SUM(AO285:AP285))</x:f>
      </x:c>
      <x:c r="AR285" s="23" t="str">
        <x:f>IF($A285="","",AQ285-X285)</x:f>
      </x:c>
      <x:c r="AS285" s="22" t="str">
        <x:f>IF($A285="","",IF(W285=0,"n.a.",V285/W285))</x:f>
      </x:c>
      <x:c r="AT285" s="26" t="str">
        <x:f>IF($A285="",IF(COUNTA(B285:Y285)&gt;0,"Missing ID",""),IF(COUNTIFS($A$9:$A$508,A285)&gt;1,"Duplicate ID",IF(OR(B285="",C285="",D285="",E285="",COUNT(F285:X285)&lt;&gt;19),"Missing / text input",IF(OR(COUNTIFS(Settings!$A$59:$A$64,B285)&lt;&gt;1,COUNTIFS(Settings!$A$29:$A$33,E285)&lt;&gt;1),"Unknown department / grade",IF(OR(F285&lt;=0,F285&gt;1,G285&lt;=0,L285&lt;=0,H285&lt;0,I285&lt;0,J285&lt;0,K285&lt;0,K285&gt;1,MIN(M285:X285)&lt;0,W285=0,V285&gt;W285,M285&gt;W285-V285,P285&gt;8,Q285&gt;4,R285&gt;12,S285&gt;12,T285&gt;1,AB285&lt;0),"Review quantity / rate",IF(OR(N285&gt;Settings!$C$17,AK285&gt;Settings!$C$19),"Review benefit ceiling","OK"))))))</x:f>
      </x:c>
    </x:row>
    <x:row r="286" ht="23" customHeight="1">
      <x:c r="A286" s="8"/>
      <x:c r="B286" s="8"/>
      <x:c r="C286" s="8"/>
      <x:c r="D286" s="8"/>
      <x:c r="E286" s="8"/>
      <x:c r="F286" s="20"/>
      <x:c r="G286" s="12"/>
      <x:c r="H286" s="21"/>
      <x:c r="I286" s="20"/>
      <x:c r="J286" s="20"/>
      <x:c r="K286" s="20"/>
      <x:c r="L286" s="12"/>
      <x:c r="M286" s="8"/>
      <x:c r="N286" s="12"/>
      <x:c r="O286" s="8"/>
      <x:c r="P286" s="8"/>
      <x:c r="Q286" s="8"/>
      <x:c r="R286" s="8"/>
      <x:c r="S286" s="8"/>
      <x:c r="T286" s="8"/>
      <x:c r="U286" s="12"/>
      <x:c r="V286" s="8"/>
      <x:c r="W286" s="8"/>
      <x:c r="X286" s="12"/>
      <x:c r="Y286" s="21"/>
      <x:c r="Z286" s="24" t="str">
        <x:f>IF($A286="","",INDEX(Settings!$C$29:$C$33,MATCH(E286,Settings!$A$29:$A$33,0)))</x:f>
      </x:c>
      <x:c r="AA286" s="22" t="str">
        <x:f>IF($A286="","",G286/Z286)</x:f>
      </x:c>
      <x:c r="AB286" s="25" t="str">
        <x:f>IF($A286="","",IF(ISNUMBER(Y286),Y286,Settings!$B$10))</x:f>
      </x:c>
      <x:c r="AC286" s="23" t="str">
        <x:f>IF($A286="","",G286*(1+AB286))</x:f>
      </x:c>
      <x:c r="AD286" s="23" t="str">
        <x:f>IF($A286="","",G286*F286*12)</x:f>
      </x:c>
      <x:c r="AE286" s="23" t="str">
        <x:f>IF($A286="","",G286*F286*J286)</x:f>
      </x:c>
      <x:c r="AF286" s="24" t="str">
        <x:f>IF($A286="","",L286*F286*K286*Settings!$B$13)</x:f>
      </x:c>
      <x:c r="AG286" s="23" t="str">
        <x:f>IF($A286="","",AD286*H286*I286)</x:f>
      </x:c>
      <x:c r="AH286" s="24" t="str">
        <x:f>IF($A286="","",SUM(AD286:AE286,AG286)*SUM(Settings!$B$11:$B$12))</x:f>
      </x:c>
      <x:c r="AI286" s="24" t="str">
        <x:f>IF($A286="","",M286*Settings!$B$16)</x:f>
      </x:c>
      <x:c r="AJ286" s="24" t="str">
        <x:f>IF($A286="","",M286*Settings!$B$15)</x:f>
      </x:c>
      <x:c r="AK286" s="24" t="str">
        <x:f>IF($A286="","",O286*Settings!$B$18)</x:f>
      </x:c>
      <x:c r="AL286" s="24" t="str">
        <x:f>IF($A286="","",P286*Settings!$B$20+Q286*Settings!$B$21+R286*Settings!$B$22+S286*Settings!$B$23)</x:f>
      </x:c>
      <x:c r="AM286" s="24" t="str">
        <x:f>IF($A286="","",T286*Settings!$B$24)</x:f>
      </x:c>
      <x:c r="AN286" s="23" t="str">
        <x:f>IF($A286="","",SUM(AI286,N286,AK286:AM286,U286))</x:f>
      </x:c>
      <x:c r="AO286" s="23" t="str">
        <x:f>IF($A286="","",SUM(AD286:AI286,N286,AK286:AM286,U286))</x:f>
      </x:c>
      <x:c r="AP286" s="24" t="str">
        <x:f>IF($A286="","",G286*F286*AB286*((13-Settings!$B$9)*(1+H286*I286)+J286)*(1+SUM(Settings!$B$11:$B$12)))</x:f>
      </x:c>
      <x:c r="AQ286" s="23" t="str">
        <x:f>IF($A286="","",SUM(AO286:AP286))</x:f>
      </x:c>
      <x:c r="AR286" s="23" t="str">
        <x:f>IF($A286="","",AQ286-X286)</x:f>
      </x:c>
      <x:c r="AS286" s="22" t="str">
        <x:f>IF($A286="","",IF(W286=0,"n.a.",V286/W286))</x:f>
      </x:c>
      <x:c r="AT286" s="26" t="str">
        <x:f>IF($A286="",IF(COUNTA(B286:Y286)&gt;0,"Missing ID",""),IF(COUNTIFS($A$9:$A$508,A286)&gt;1,"Duplicate ID",IF(OR(B286="",C286="",D286="",E286="",COUNT(F286:X286)&lt;&gt;19),"Missing / text input",IF(OR(COUNTIFS(Settings!$A$59:$A$64,B286)&lt;&gt;1,COUNTIFS(Settings!$A$29:$A$33,E286)&lt;&gt;1),"Unknown department / grade",IF(OR(F286&lt;=0,F286&gt;1,G286&lt;=0,L286&lt;=0,H286&lt;0,I286&lt;0,J286&lt;0,K286&lt;0,K286&gt;1,MIN(M286:X286)&lt;0,W286=0,V286&gt;W286,M286&gt;W286-V286,P286&gt;8,Q286&gt;4,R286&gt;12,S286&gt;12,T286&gt;1,AB286&lt;0),"Review quantity / rate",IF(OR(N286&gt;Settings!$C$17,AK286&gt;Settings!$C$19),"Review benefit ceiling","OK"))))))</x:f>
      </x:c>
    </x:row>
    <x:row r="287" ht="23" customHeight="1">
      <x:c r="A287" s="8"/>
      <x:c r="B287" s="8"/>
      <x:c r="C287" s="8"/>
      <x:c r="D287" s="8"/>
      <x:c r="E287" s="8"/>
      <x:c r="F287" s="20"/>
      <x:c r="G287" s="12"/>
      <x:c r="H287" s="21"/>
      <x:c r="I287" s="20"/>
      <x:c r="J287" s="20"/>
      <x:c r="K287" s="20"/>
      <x:c r="L287" s="12"/>
      <x:c r="M287" s="8"/>
      <x:c r="N287" s="12"/>
      <x:c r="O287" s="8"/>
      <x:c r="P287" s="8"/>
      <x:c r="Q287" s="8"/>
      <x:c r="R287" s="8"/>
      <x:c r="S287" s="8"/>
      <x:c r="T287" s="8"/>
      <x:c r="U287" s="12"/>
      <x:c r="V287" s="8"/>
      <x:c r="W287" s="8"/>
      <x:c r="X287" s="12"/>
      <x:c r="Y287" s="21"/>
      <x:c r="Z287" s="24" t="str">
        <x:f>IF($A287="","",INDEX(Settings!$C$29:$C$33,MATCH(E287,Settings!$A$29:$A$33,0)))</x:f>
      </x:c>
      <x:c r="AA287" s="22" t="str">
        <x:f>IF($A287="","",G287/Z287)</x:f>
      </x:c>
      <x:c r="AB287" s="25" t="str">
        <x:f>IF($A287="","",IF(ISNUMBER(Y287),Y287,Settings!$B$10))</x:f>
      </x:c>
      <x:c r="AC287" s="23" t="str">
        <x:f>IF($A287="","",G287*(1+AB287))</x:f>
      </x:c>
      <x:c r="AD287" s="23" t="str">
        <x:f>IF($A287="","",G287*F287*12)</x:f>
      </x:c>
      <x:c r="AE287" s="23" t="str">
        <x:f>IF($A287="","",G287*F287*J287)</x:f>
      </x:c>
      <x:c r="AF287" s="24" t="str">
        <x:f>IF($A287="","",L287*F287*K287*Settings!$B$13)</x:f>
      </x:c>
      <x:c r="AG287" s="23" t="str">
        <x:f>IF($A287="","",AD287*H287*I287)</x:f>
      </x:c>
      <x:c r="AH287" s="24" t="str">
        <x:f>IF($A287="","",SUM(AD287:AE287,AG287)*SUM(Settings!$B$11:$B$12))</x:f>
      </x:c>
      <x:c r="AI287" s="24" t="str">
        <x:f>IF($A287="","",M287*Settings!$B$16)</x:f>
      </x:c>
      <x:c r="AJ287" s="24" t="str">
        <x:f>IF($A287="","",M287*Settings!$B$15)</x:f>
      </x:c>
      <x:c r="AK287" s="24" t="str">
        <x:f>IF($A287="","",O287*Settings!$B$18)</x:f>
      </x:c>
      <x:c r="AL287" s="24" t="str">
        <x:f>IF($A287="","",P287*Settings!$B$20+Q287*Settings!$B$21+R287*Settings!$B$22+S287*Settings!$B$23)</x:f>
      </x:c>
      <x:c r="AM287" s="24" t="str">
        <x:f>IF($A287="","",T287*Settings!$B$24)</x:f>
      </x:c>
      <x:c r="AN287" s="23" t="str">
        <x:f>IF($A287="","",SUM(AI287,N287,AK287:AM287,U287))</x:f>
      </x:c>
      <x:c r="AO287" s="23" t="str">
        <x:f>IF($A287="","",SUM(AD287:AI287,N287,AK287:AM287,U287))</x:f>
      </x:c>
      <x:c r="AP287" s="24" t="str">
        <x:f>IF($A287="","",G287*F287*AB287*((13-Settings!$B$9)*(1+H287*I287)+J287)*(1+SUM(Settings!$B$11:$B$12)))</x:f>
      </x:c>
      <x:c r="AQ287" s="23" t="str">
        <x:f>IF($A287="","",SUM(AO287:AP287))</x:f>
      </x:c>
      <x:c r="AR287" s="23" t="str">
        <x:f>IF($A287="","",AQ287-X287)</x:f>
      </x:c>
      <x:c r="AS287" s="22" t="str">
        <x:f>IF($A287="","",IF(W287=0,"n.a.",V287/W287))</x:f>
      </x:c>
      <x:c r="AT287" s="26" t="str">
        <x:f>IF($A287="",IF(COUNTA(B287:Y287)&gt;0,"Missing ID",""),IF(COUNTIFS($A$9:$A$508,A287)&gt;1,"Duplicate ID",IF(OR(B287="",C287="",D287="",E287="",COUNT(F287:X287)&lt;&gt;19),"Missing / text input",IF(OR(COUNTIFS(Settings!$A$59:$A$64,B287)&lt;&gt;1,COUNTIFS(Settings!$A$29:$A$33,E287)&lt;&gt;1),"Unknown department / grade",IF(OR(F287&lt;=0,F287&gt;1,G287&lt;=0,L287&lt;=0,H287&lt;0,I287&lt;0,J287&lt;0,K287&lt;0,K287&gt;1,MIN(M287:X287)&lt;0,W287=0,V287&gt;W287,M287&gt;W287-V287,P287&gt;8,Q287&gt;4,R287&gt;12,S287&gt;12,T287&gt;1,AB287&lt;0),"Review quantity / rate",IF(OR(N287&gt;Settings!$C$17,AK287&gt;Settings!$C$19),"Review benefit ceiling","OK"))))))</x:f>
      </x:c>
    </x:row>
    <x:row r="288" ht="23" customHeight="1">
      <x:c r="A288" s="8"/>
      <x:c r="B288" s="8"/>
      <x:c r="C288" s="8"/>
      <x:c r="D288" s="8"/>
      <x:c r="E288" s="8"/>
      <x:c r="F288" s="20"/>
      <x:c r="G288" s="12"/>
      <x:c r="H288" s="21"/>
      <x:c r="I288" s="20"/>
      <x:c r="J288" s="20"/>
      <x:c r="K288" s="20"/>
      <x:c r="L288" s="12"/>
      <x:c r="M288" s="8"/>
      <x:c r="N288" s="12"/>
      <x:c r="O288" s="8"/>
      <x:c r="P288" s="8"/>
      <x:c r="Q288" s="8"/>
      <x:c r="R288" s="8"/>
      <x:c r="S288" s="8"/>
      <x:c r="T288" s="8"/>
      <x:c r="U288" s="12"/>
      <x:c r="V288" s="8"/>
      <x:c r="W288" s="8"/>
      <x:c r="X288" s="12"/>
      <x:c r="Y288" s="21"/>
      <x:c r="Z288" s="24" t="str">
        <x:f>IF($A288="","",INDEX(Settings!$C$29:$C$33,MATCH(E288,Settings!$A$29:$A$33,0)))</x:f>
      </x:c>
      <x:c r="AA288" s="22" t="str">
        <x:f>IF($A288="","",G288/Z288)</x:f>
      </x:c>
      <x:c r="AB288" s="25" t="str">
        <x:f>IF($A288="","",IF(ISNUMBER(Y288),Y288,Settings!$B$10))</x:f>
      </x:c>
      <x:c r="AC288" s="23" t="str">
        <x:f>IF($A288="","",G288*(1+AB288))</x:f>
      </x:c>
      <x:c r="AD288" s="23" t="str">
        <x:f>IF($A288="","",G288*F288*12)</x:f>
      </x:c>
      <x:c r="AE288" s="23" t="str">
        <x:f>IF($A288="","",G288*F288*J288)</x:f>
      </x:c>
      <x:c r="AF288" s="24" t="str">
        <x:f>IF($A288="","",L288*F288*K288*Settings!$B$13)</x:f>
      </x:c>
      <x:c r="AG288" s="23" t="str">
        <x:f>IF($A288="","",AD288*H288*I288)</x:f>
      </x:c>
      <x:c r="AH288" s="24" t="str">
        <x:f>IF($A288="","",SUM(AD288:AE288,AG288)*SUM(Settings!$B$11:$B$12))</x:f>
      </x:c>
      <x:c r="AI288" s="24" t="str">
        <x:f>IF($A288="","",M288*Settings!$B$16)</x:f>
      </x:c>
      <x:c r="AJ288" s="24" t="str">
        <x:f>IF($A288="","",M288*Settings!$B$15)</x:f>
      </x:c>
      <x:c r="AK288" s="24" t="str">
        <x:f>IF($A288="","",O288*Settings!$B$18)</x:f>
      </x:c>
      <x:c r="AL288" s="24" t="str">
        <x:f>IF($A288="","",P288*Settings!$B$20+Q288*Settings!$B$21+R288*Settings!$B$22+S288*Settings!$B$23)</x:f>
      </x:c>
      <x:c r="AM288" s="24" t="str">
        <x:f>IF($A288="","",T288*Settings!$B$24)</x:f>
      </x:c>
      <x:c r="AN288" s="23" t="str">
        <x:f>IF($A288="","",SUM(AI288,N288,AK288:AM288,U288))</x:f>
      </x:c>
      <x:c r="AO288" s="23" t="str">
        <x:f>IF($A288="","",SUM(AD288:AI288,N288,AK288:AM288,U288))</x:f>
      </x:c>
      <x:c r="AP288" s="24" t="str">
        <x:f>IF($A288="","",G288*F288*AB288*((13-Settings!$B$9)*(1+H288*I288)+J288)*(1+SUM(Settings!$B$11:$B$12)))</x:f>
      </x:c>
      <x:c r="AQ288" s="23" t="str">
        <x:f>IF($A288="","",SUM(AO288:AP288))</x:f>
      </x:c>
      <x:c r="AR288" s="23" t="str">
        <x:f>IF($A288="","",AQ288-X288)</x:f>
      </x:c>
      <x:c r="AS288" s="22" t="str">
        <x:f>IF($A288="","",IF(W288=0,"n.a.",V288/W288))</x:f>
      </x:c>
      <x:c r="AT288" s="26" t="str">
        <x:f>IF($A288="",IF(COUNTA(B288:Y288)&gt;0,"Missing ID",""),IF(COUNTIFS($A$9:$A$508,A288)&gt;1,"Duplicate ID",IF(OR(B288="",C288="",D288="",E288="",COUNT(F288:X288)&lt;&gt;19),"Missing / text input",IF(OR(COUNTIFS(Settings!$A$59:$A$64,B288)&lt;&gt;1,COUNTIFS(Settings!$A$29:$A$33,E288)&lt;&gt;1),"Unknown department / grade",IF(OR(F288&lt;=0,F288&gt;1,G288&lt;=0,L288&lt;=0,H288&lt;0,I288&lt;0,J288&lt;0,K288&lt;0,K288&gt;1,MIN(M288:X288)&lt;0,W288=0,V288&gt;W288,M288&gt;W288-V288,P288&gt;8,Q288&gt;4,R288&gt;12,S288&gt;12,T288&gt;1,AB288&lt;0),"Review quantity / rate",IF(OR(N288&gt;Settings!$C$17,AK288&gt;Settings!$C$19),"Review benefit ceiling","OK"))))))</x:f>
      </x:c>
    </x:row>
    <x:row r="289" ht="23" customHeight="1">
      <x:c r="A289" s="8"/>
      <x:c r="B289" s="8"/>
      <x:c r="C289" s="8"/>
      <x:c r="D289" s="8"/>
      <x:c r="E289" s="8"/>
      <x:c r="F289" s="20"/>
      <x:c r="G289" s="12"/>
      <x:c r="H289" s="21"/>
      <x:c r="I289" s="20"/>
      <x:c r="J289" s="20"/>
      <x:c r="K289" s="20"/>
      <x:c r="L289" s="12"/>
      <x:c r="M289" s="8"/>
      <x:c r="N289" s="12"/>
      <x:c r="O289" s="8"/>
      <x:c r="P289" s="8"/>
      <x:c r="Q289" s="8"/>
      <x:c r="R289" s="8"/>
      <x:c r="S289" s="8"/>
      <x:c r="T289" s="8"/>
      <x:c r="U289" s="12"/>
      <x:c r="V289" s="8"/>
      <x:c r="W289" s="8"/>
      <x:c r="X289" s="12"/>
      <x:c r="Y289" s="21"/>
      <x:c r="Z289" s="24" t="str">
        <x:f>IF($A289="","",INDEX(Settings!$C$29:$C$33,MATCH(E289,Settings!$A$29:$A$33,0)))</x:f>
      </x:c>
      <x:c r="AA289" s="22" t="str">
        <x:f>IF($A289="","",G289/Z289)</x:f>
      </x:c>
      <x:c r="AB289" s="25" t="str">
        <x:f>IF($A289="","",IF(ISNUMBER(Y289),Y289,Settings!$B$10))</x:f>
      </x:c>
      <x:c r="AC289" s="23" t="str">
        <x:f>IF($A289="","",G289*(1+AB289))</x:f>
      </x:c>
      <x:c r="AD289" s="23" t="str">
        <x:f>IF($A289="","",G289*F289*12)</x:f>
      </x:c>
      <x:c r="AE289" s="23" t="str">
        <x:f>IF($A289="","",G289*F289*J289)</x:f>
      </x:c>
      <x:c r="AF289" s="24" t="str">
        <x:f>IF($A289="","",L289*F289*K289*Settings!$B$13)</x:f>
      </x:c>
      <x:c r="AG289" s="23" t="str">
        <x:f>IF($A289="","",AD289*H289*I289)</x:f>
      </x:c>
      <x:c r="AH289" s="24" t="str">
        <x:f>IF($A289="","",SUM(AD289:AE289,AG289)*SUM(Settings!$B$11:$B$12))</x:f>
      </x:c>
      <x:c r="AI289" s="24" t="str">
        <x:f>IF($A289="","",M289*Settings!$B$16)</x:f>
      </x:c>
      <x:c r="AJ289" s="24" t="str">
        <x:f>IF($A289="","",M289*Settings!$B$15)</x:f>
      </x:c>
      <x:c r="AK289" s="24" t="str">
        <x:f>IF($A289="","",O289*Settings!$B$18)</x:f>
      </x:c>
      <x:c r="AL289" s="24" t="str">
        <x:f>IF($A289="","",P289*Settings!$B$20+Q289*Settings!$B$21+R289*Settings!$B$22+S289*Settings!$B$23)</x:f>
      </x:c>
      <x:c r="AM289" s="24" t="str">
        <x:f>IF($A289="","",T289*Settings!$B$24)</x:f>
      </x:c>
      <x:c r="AN289" s="23" t="str">
        <x:f>IF($A289="","",SUM(AI289,N289,AK289:AM289,U289))</x:f>
      </x:c>
      <x:c r="AO289" s="23" t="str">
        <x:f>IF($A289="","",SUM(AD289:AI289,N289,AK289:AM289,U289))</x:f>
      </x:c>
      <x:c r="AP289" s="24" t="str">
        <x:f>IF($A289="","",G289*F289*AB289*((13-Settings!$B$9)*(1+H289*I289)+J289)*(1+SUM(Settings!$B$11:$B$12)))</x:f>
      </x:c>
      <x:c r="AQ289" s="23" t="str">
        <x:f>IF($A289="","",SUM(AO289:AP289))</x:f>
      </x:c>
      <x:c r="AR289" s="23" t="str">
        <x:f>IF($A289="","",AQ289-X289)</x:f>
      </x:c>
      <x:c r="AS289" s="22" t="str">
        <x:f>IF($A289="","",IF(W289=0,"n.a.",V289/W289))</x:f>
      </x:c>
      <x:c r="AT289" s="26" t="str">
        <x:f>IF($A289="",IF(COUNTA(B289:Y289)&gt;0,"Missing ID",""),IF(COUNTIFS($A$9:$A$508,A289)&gt;1,"Duplicate ID",IF(OR(B289="",C289="",D289="",E289="",COUNT(F289:X289)&lt;&gt;19),"Missing / text input",IF(OR(COUNTIFS(Settings!$A$59:$A$64,B289)&lt;&gt;1,COUNTIFS(Settings!$A$29:$A$33,E289)&lt;&gt;1),"Unknown department / grade",IF(OR(F289&lt;=0,F289&gt;1,G289&lt;=0,L289&lt;=0,H289&lt;0,I289&lt;0,J289&lt;0,K289&lt;0,K289&gt;1,MIN(M289:X289)&lt;0,W289=0,V289&gt;W289,M289&gt;W289-V289,P289&gt;8,Q289&gt;4,R289&gt;12,S289&gt;12,T289&gt;1,AB289&lt;0),"Review quantity / rate",IF(OR(N289&gt;Settings!$C$17,AK289&gt;Settings!$C$19),"Review benefit ceiling","OK"))))))</x:f>
      </x:c>
    </x:row>
    <x:row r="290" ht="23" customHeight="1">
      <x:c r="A290" s="8"/>
      <x:c r="B290" s="8"/>
      <x:c r="C290" s="8"/>
      <x:c r="D290" s="8"/>
      <x:c r="E290" s="8"/>
      <x:c r="F290" s="20"/>
      <x:c r="G290" s="12"/>
      <x:c r="H290" s="21"/>
      <x:c r="I290" s="20"/>
      <x:c r="J290" s="20"/>
      <x:c r="K290" s="20"/>
      <x:c r="L290" s="12"/>
      <x:c r="M290" s="8"/>
      <x:c r="N290" s="12"/>
      <x:c r="O290" s="8"/>
      <x:c r="P290" s="8"/>
      <x:c r="Q290" s="8"/>
      <x:c r="R290" s="8"/>
      <x:c r="S290" s="8"/>
      <x:c r="T290" s="8"/>
      <x:c r="U290" s="12"/>
      <x:c r="V290" s="8"/>
      <x:c r="W290" s="8"/>
      <x:c r="X290" s="12"/>
      <x:c r="Y290" s="21"/>
      <x:c r="Z290" s="24" t="str">
        <x:f>IF($A290="","",INDEX(Settings!$C$29:$C$33,MATCH(E290,Settings!$A$29:$A$33,0)))</x:f>
      </x:c>
      <x:c r="AA290" s="22" t="str">
        <x:f>IF($A290="","",G290/Z290)</x:f>
      </x:c>
      <x:c r="AB290" s="25" t="str">
        <x:f>IF($A290="","",IF(ISNUMBER(Y290),Y290,Settings!$B$10))</x:f>
      </x:c>
      <x:c r="AC290" s="23" t="str">
        <x:f>IF($A290="","",G290*(1+AB290))</x:f>
      </x:c>
      <x:c r="AD290" s="23" t="str">
        <x:f>IF($A290="","",G290*F290*12)</x:f>
      </x:c>
      <x:c r="AE290" s="23" t="str">
        <x:f>IF($A290="","",G290*F290*J290)</x:f>
      </x:c>
      <x:c r="AF290" s="24" t="str">
        <x:f>IF($A290="","",L290*F290*K290*Settings!$B$13)</x:f>
      </x:c>
      <x:c r="AG290" s="23" t="str">
        <x:f>IF($A290="","",AD290*H290*I290)</x:f>
      </x:c>
      <x:c r="AH290" s="24" t="str">
        <x:f>IF($A290="","",SUM(AD290:AE290,AG290)*SUM(Settings!$B$11:$B$12))</x:f>
      </x:c>
      <x:c r="AI290" s="24" t="str">
        <x:f>IF($A290="","",M290*Settings!$B$16)</x:f>
      </x:c>
      <x:c r="AJ290" s="24" t="str">
        <x:f>IF($A290="","",M290*Settings!$B$15)</x:f>
      </x:c>
      <x:c r="AK290" s="24" t="str">
        <x:f>IF($A290="","",O290*Settings!$B$18)</x:f>
      </x:c>
      <x:c r="AL290" s="24" t="str">
        <x:f>IF($A290="","",P290*Settings!$B$20+Q290*Settings!$B$21+R290*Settings!$B$22+S290*Settings!$B$23)</x:f>
      </x:c>
      <x:c r="AM290" s="24" t="str">
        <x:f>IF($A290="","",T290*Settings!$B$24)</x:f>
      </x:c>
      <x:c r="AN290" s="23" t="str">
        <x:f>IF($A290="","",SUM(AI290,N290,AK290:AM290,U290))</x:f>
      </x:c>
      <x:c r="AO290" s="23" t="str">
        <x:f>IF($A290="","",SUM(AD290:AI290,N290,AK290:AM290,U290))</x:f>
      </x:c>
      <x:c r="AP290" s="24" t="str">
        <x:f>IF($A290="","",G290*F290*AB290*((13-Settings!$B$9)*(1+H290*I290)+J290)*(1+SUM(Settings!$B$11:$B$12)))</x:f>
      </x:c>
      <x:c r="AQ290" s="23" t="str">
        <x:f>IF($A290="","",SUM(AO290:AP290))</x:f>
      </x:c>
      <x:c r="AR290" s="23" t="str">
        <x:f>IF($A290="","",AQ290-X290)</x:f>
      </x:c>
      <x:c r="AS290" s="22" t="str">
        <x:f>IF($A290="","",IF(W290=0,"n.a.",V290/W290))</x:f>
      </x:c>
      <x:c r="AT290" s="26" t="str">
        <x:f>IF($A290="",IF(COUNTA(B290:Y290)&gt;0,"Missing ID",""),IF(COUNTIFS($A$9:$A$508,A290)&gt;1,"Duplicate ID",IF(OR(B290="",C290="",D290="",E290="",COUNT(F290:X290)&lt;&gt;19),"Missing / text input",IF(OR(COUNTIFS(Settings!$A$59:$A$64,B290)&lt;&gt;1,COUNTIFS(Settings!$A$29:$A$33,E290)&lt;&gt;1),"Unknown department / grade",IF(OR(F290&lt;=0,F290&gt;1,G290&lt;=0,L290&lt;=0,H290&lt;0,I290&lt;0,J290&lt;0,K290&lt;0,K290&gt;1,MIN(M290:X290)&lt;0,W290=0,V290&gt;W290,M290&gt;W290-V290,P290&gt;8,Q290&gt;4,R290&gt;12,S290&gt;12,T290&gt;1,AB290&lt;0),"Review quantity / rate",IF(OR(N290&gt;Settings!$C$17,AK290&gt;Settings!$C$19),"Review benefit ceiling","OK"))))))</x:f>
      </x:c>
    </x:row>
    <x:row r="291" ht="23" customHeight="1">
      <x:c r="A291" s="8"/>
      <x:c r="B291" s="8"/>
      <x:c r="C291" s="8"/>
      <x:c r="D291" s="8"/>
      <x:c r="E291" s="8"/>
      <x:c r="F291" s="20"/>
      <x:c r="G291" s="12"/>
      <x:c r="H291" s="21"/>
      <x:c r="I291" s="20"/>
      <x:c r="J291" s="20"/>
      <x:c r="K291" s="20"/>
      <x:c r="L291" s="12"/>
      <x:c r="M291" s="8"/>
      <x:c r="N291" s="12"/>
      <x:c r="O291" s="8"/>
      <x:c r="P291" s="8"/>
      <x:c r="Q291" s="8"/>
      <x:c r="R291" s="8"/>
      <x:c r="S291" s="8"/>
      <x:c r="T291" s="8"/>
      <x:c r="U291" s="12"/>
      <x:c r="V291" s="8"/>
      <x:c r="W291" s="8"/>
      <x:c r="X291" s="12"/>
      <x:c r="Y291" s="21"/>
      <x:c r="Z291" s="24" t="str">
        <x:f>IF($A291="","",INDEX(Settings!$C$29:$C$33,MATCH(E291,Settings!$A$29:$A$33,0)))</x:f>
      </x:c>
      <x:c r="AA291" s="22" t="str">
        <x:f>IF($A291="","",G291/Z291)</x:f>
      </x:c>
      <x:c r="AB291" s="25" t="str">
        <x:f>IF($A291="","",IF(ISNUMBER(Y291),Y291,Settings!$B$10))</x:f>
      </x:c>
      <x:c r="AC291" s="23" t="str">
        <x:f>IF($A291="","",G291*(1+AB291))</x:f>
      </x:c>
      <x:c r="AD291" s="23" t="str">
        <x:f>IF($A291="","",G291*F291*12)</x:f>
      </x:c>
      <x:c r="AE291" s="23" t="str">
        <x:f>IF($A291="","",G291*F291*J291)</x:f>
      </x:c>
      <x:c r="AF291" s="24" t="str">
        <x:f>IF($A291="","",L291*F291*K291*Settings!$B$13)</x:f>
      </x:c>
      <x:c r="AG291" s="23" t="str">
        <x:f>IF($A291="","",AD291*H291*I291)</x:f>
      </x:c>
      <x:c r="AH291" s="24" t="str">
        <x:f>IF($A291="","",SUM(AD291:AE291,AG291)*SUM(Settings!$B$11:$B$12))</x:f>
      </x:c>
      <x:c r="AI291" s="24" t="str">
        <x:f>IF($A291="","",M291*Settings!$B$16)</x:f>
      </x:c>
      <x:c r="AJ291" s="24" t="str">
        <x:f>IF($A291="","",M291*Settings!$B$15)</x:f>
      </x:c>
      <x:c r="AK291" s="24" t="str">
        <x:f>IF($A291="","",O291*Settings!$B$18)</x:f>
      </x:c>
      <x:c r="AL291" s="24" t="str">
        <x:f>IF($A291="","",P291*Settings!$B$20+Q291*Settings!$B$21+R291*Settings!$B$22+S291*Settings!$B$23)</x:f>
      </x:c>
      <x:c r="AM291" s="24" t="str">
        <x:f>IF($A291="","",T291*Settings!$B$24)</x:f>
      </x:c>
      <x:c r="AN291" s="23" t="str">
        <x:f>IF($A291="","",SUM(AI291,N291,AK291:AM291,U291))</x:f>
      </x:c>
      <x:c r="AO291" s="23" t="str">
        <x:f>IF($A291="","",SUM(AD291:AI291,N291,AK291:AM291,U291))</x:f>
      </x:c>
      <x:c r="AP291" s="24" t="str">
        <x:f>IF($A291="","",G291*F291*AB291*((13-Settings!$B$9)*(1+H291*I291)+J291)*(1+SUM(Settings!$B$11:$B$12)))</x:f>
      </x:c>
      <x:c r="AQ291" s="23" t="str">
        <x:f>IF($A291="","",SUM(AO291:AP291))</x:f>
      </x:c>
      <x:c r="AR291" s="23" t="str">
        <x:f>IF($A291="","",AQ291-X291)</x:f>
      </x:c>
      <x:c r="AS291" s="22" t="str">
        <x:f>IF($A291="","",IF(W291=0,"n.a.",V291/W291))</x:f>
      </x:c>
      <x:c r="AT291" s="26" t="str">
        <x:f>IF($A291="",IF(COUNTA(B291:Y291)&gt;0,"Missing ID",""),IF(COUNTIFS($A$9:$A$508,A291)&gt;1,"Duplicate ID",IF(OR(B291="",C291="",D291="",E291="",COUNT(F291:X291)&lt;&gt;19),"Missing / text input",IF(OR(COUNTIFS(Settings!$A$59:$A$64,B291)&lt;&gt;1,COUNTIFS(Settings!$A$29:$A$33,E291)&lt;&gt;1),"Unknown department / grade",IF(OR(F291&lt;=0,F291&gt;1,G291&lt;=0,L291&lt;=0,H291&lt;0,I291&lt;0,J291&lt;0,K291&lt;0,K291&gt;1,MIN(M291:X291)&lt;0,W291=0,V291&gt;W291,M291&gt;W291-V291,P291&gt;8,Q291&gt;4,R291&gt;12,S291&gt;12,T291&gt;1,AB291&lt;0),"Review quantity / rate",IF(OR(N291&gt;Settings!$C$17,AK291&gt;Settings!$C$19),"Review benefit ceiling","OK"))))))</x:f>
      </x:c>
    </x:row>
    <x:row r="292" ht="23" customHeight="1">
      <x:c r="A292" s="8"/>
      <x:c r="B292" s="8"/>
      <x:c r="C292" s="8"/>
      <x:c r="D292" s="8"/>
      <x:c r="E292" s="8"/>
      <x:c r="F292" s="20"/>
      <x:c r="G292" s="12"/>
      <x:c r="H292" s="21"/>
      <x:c r="I292" s="20"/>
      <x:c r="J292" s="20"/>
      <x:c r="K292" s="20"/>
      <x:c r="L292" s="12"/>
      <x:c r="M292" s="8"/>
      <x:c r="N292" s="12"/>
      <x:c r="O292" s="8"/>
      <x:c r="P292" s="8"/>
      <x:c r="Q292" s="8"/>
      <x:c r="R292" s="8"/>
      <x:c r="S292" s="8"/>
      <x:c r="T292" s="8"/>
      <x:c r="U292" s="12"/>
      <x:c r="V292" s="8"/>
      <x:c r="W292" s="8"/>
      <x:c r="X292" s="12"/>
      <x:c r="Y292" s="21"/>
      <x:c r="Z292" s="24" t="str">
        <x:f>IF($A292="","",INDEX(Settings!$C$29:$C$33,MATCH(E292,Settings!$A$29:$A$33,0)))</x:f>
      </x:c>
      <x:c r="AA292" s="22" t="str">
        <x:f>IF($A292="","",G292/Z292)</x:f>
      </x:c>
      <x:c r="AB292" s="25" t="str">
        <x:f>IF($A292="","",IF(ISNUMBER(Y292),Y292,Settings!$B$10))</x:f>
      </x:c>
      <x:c r="AC292" s="23" t="str">
        <x:f>IF($A292="","",G292*(1+AB292))</x:f>
      </x:c>
      <x:c r="AD292" s="23" t="str">
        <x:f>IF($A292="","",G292*F292*12)</x:f>
      </x:c>
      <x:c r="AE292" s="23" t="str">
        <x:f>IF($A292="","",G292*F292*J292)</x:f>
      </x:c>
      <x:c r="AF292" s="24" t="str">
        <x:f>IF($A292="","",L292*F292*K292*Settings!$B$13)</x:f>
      </x:c>
      <x:c r="AG292" s="23" t="str">
        <x:f>IF($A292="","",AD292*H292*I292)</x:f>
      </x:c>
      <x:c r="AH292" s="24" t="str">
        <x:f>IF($A292="","",SUM(AD292:AE292,AG292)*SUM(Settings!$B$11:$B$12))</x:f>
      </x:c>
      <x:c r="AI292" s="24" t="str">
        <x:f>IF($A292="","",M292*Settings!$B$16)</x:f>
      </x:c>
      <x:c r="AJ292" s="24" t="str">
        <x:f>IF($A292="","",M292*Settings!$B$15)</x:f>
      </x:c>
      <x:c r="AK292" s="24" t="str">
        <x:f>IF($A292="","",O292*Settings!$B$18)</x:f>
      </x:c>
      <x:c r="AL292" s="24" t="str">
        <x:f>IF($A292="","",P292*Settings!$B$20+Q292*Settings!$B$21+R292*Settings!$B$22+S292*Settings!$B$23)</x:f>
      </x:c>
      <x:c r="AM292" s="24" t="str">
        <x:f>IF($A292="","",T292*Settings!$B$24)</x:f>
      </x:c>
      <x:c r="AN292" s="23" t="str">
        <x:f>IF($A292="","",SUM(AI292,N292,AK292:AM292,U292))</x:f>
      </x:c>
      <x:c r="AO292" s="23" t="str">
        <x:f>IF($A292="","",SUM(AD292:AI292,N292,AK292:AM292,U292))</x:f>
      </x:c>
      <x:c r="AP292" s="24" t="str">
        <x:f>IF($A292="","",G292*F292*AB292*((13-Settings!$B$9)*(1+H292*I292)+J292)*(1+SUM(Settings!$B$11:$B$12)))</x:f>
      </x:c>
      <x:c r="AQ292" s="23" t="str">
        <x:f>IF($A292="","",SUM(AO292:AP292))</x:f>
      </x:c>
      <x:c r="AR292" s="23" t="str">
        <x:f>IF($A292="","",AQ292-X292)</x:f>
      </x:c>
      <x:c r="AS292" s="22" t="str">
        <x:f>IF($A292="","",IF(W292=0,"n.a.",V292/W292))</x:f>
      </x:c>
      <x:c r="AT292" s="26" t="str">
        <x:f>IF($A292="",IF(COUNTA(B292:Y292)&gt;0,"Missing ID",""),IF(COUNTIFS($A$9:$A$508,A292)&gt;1,"Duplicate ID",IF(OR(B292="",C292="",D292="",E292="",COUNT(F292:X292)&lt;&gt;19),"Missing / text input",IF(OR(COUNTIFS(Settings!$A$59:$A$64,B292)&lt;&gt;1,COUNTIFS(Settings!$A$29:$A$33,E292)&lt;&gt;1),"Unknown department / grade",IF(OR(F292&lt;=0,F292&gt;1,G292&lt;=0,L292&lt;=0,H292&lt;0,I292&lt;0,J292&lt;0,K292&lt;0,K292&gt;1,MIN(M292:X292)&lt;0,W292=0,V292&gt;W292,M292&gt;W292-V292,P292&gt;8,Q292&gt;4,R292&gt;12,S292&gt;12,T292&gt;1,AB292&lt;0),"Review quantity / rate",IF(OR(N292&gt;Settings!$C$17,AK292&gt;Settings!$C$19),"Review benefit ceiling","OK"))))))</x:f>
      </x:c>
    </x:row>
    <x:row r="293" ht="23" customHeight="1">
      <x:c r="A293" s="8"/>
      <x:c r="B293" s="8"/>
      <x:c r="C293" s="8"/>
      <x:c r="D293" s="8"/>
      <x:c r="E293" s="8"/>
      <x:c r="F293" s="20"/>
      <x:c r="G293" s="12"/>
      <x:c r="H293" s="21"/>
      <x:c r="I293" s="20"/>
      <x:c r="J293" s="20"/>
      <x:c r="K293" s="20"/>
      <x:c r="L293" s="12"/>
      <x:c r="M293" s="8"/>
      <x:c r="N293" s="12"/>
      <x:c r="O293" s="8"/>
      <x:c r="P293" s="8"/>
      <x:c r="Q293" s="8"/>
      <x:c r="R293" s="8"/>
      <x:c r="S293" s="8"/>
      <x:c r="T293" s="8"/>
      <x:c r="U293" s="12"/>
      <x:c r="V293" s="8"/>
      <x:c r="W293" s="8"/>
      <x:c r="X293" s="12"/>
      <x:c r="Y293" s="21"/>
      <x:c r="Z293" s="24" t="str">
        <x:f>IF($A293="","",INDEX(Settings!$C$29:$C$33,MATCH(E293,Settings!$A$29:$A$33,0)))</x:f>
      </x:c>
      <x:c r="AA293" s="22" t="str">
        <x:f>IF($A293="","",G293/Z293)</x:f>
      </x:c>
      <x:c r="AB293" s="25" t="str">
        <x:f>IF($A293="","",IF(ISNUMBER(Y293),Y293,Settings!$B$10))</x:f>
      </x:c>
      <x:c r="AC293" s="23" t="str">
        <x:f>IF($A293="","",G293*(1+AB293))</x:f>
      </x:c>
      <x:c r="AD293" s="23" t="str">
        <x:f>IF($A293="","",G293*F293*12)</x:f>
      </x:c>
      <x:c r="AE293" s="23" t="str">
        <x:f>IF($A293="","",G293*F293*J293)</x:f>
      </x:c>
      <x:c r="AF293" s="24" t="str">
        <x:f>IF($A293="","",L293*F293*K293*Settings!$B$13)</x:f>
      </x:c>
      <x:c r="AG293" s="23" t="str">
        <x:f>IF($A293="","",AD293*H293*I293)</x:f>
      </x:c>
      <x:c r="AH293" s="24" t="str">
        <x:f>IF($A293="","",SUM(AD293:AE293,AG293)*SUM(Settings!$B$11:$B$12))</x:f>
      </x:c>
      <x:c r="AI293" s="24" t="str">
        <x:f>IF($A293="","",M293*Settings!$B$16)</x:f>
      </x:c>
      <x:c r="AJ293" s="24" t="str">
        <x:f>IF($A293="","",M293*Settings!$B$15)</x:f>
      </x:c>
      <x:c r="AK293" s="24" t="str">
        <x:f>IF($A293="","",O293*Settings!$B$18)</x:f>
      </x:c>
      <x:c r="AL293" s="24" t="str">
        <x:f>IF($A293="","",P293*Settings!$B$20+Q293*Settings!$B$21+R293*Settings!$B$22+S293*Settings!$B$23)</x:f>
      </x:c>
      <x:c r="AM293" s="24" t="str">
        <x:f>IF($A293="","",T293*Settings!$B$24)</x:f>
      </x:c>
      <x:c r="AN293" s="23" t="str">
        <x:f>IF($A293="","",SUM(AI293,N293,AK293:AM293,U293))</x:f>
      </x:c>
      <x:c r="AO293" s="23" t="str">
        <x:f>IF($A293="","",SUM(AD293:AI293,N293,AK293:AM293,U293))</x:f>
      </x:c>
      <x:c r="AP293" s="24" t="str">
        <x:f>IF($A293="","",G293*F293*AB293*((13-Settings!$B$9)*(1+H293*I293)+J293)*(1+SUM(Settings!$B$11:$B$12)))</x:f>
      </x:c>
      <x:c r="AQ293" s="23" t="str">
        <x:f>IF($A293="","",SUM(AO293:AP293))</x:f>
      </x:c>
      <x:c r="AR293" s="23" t="str">
        <x:f>IF($A293="","",AQ293-X293)</x:f>
      </x:c>
      <x:c r="AS293" s="22" t="str">
        <x:f>IF($A293="","",IF(W293=0,"n.a.",V293/W293))</x:f>
      </x:c>
      <x:c r="AT293" s="26" t="str">
        <x:f>IF($A293="",IF(COUNTA(B293:Y293)&gt;0,"Missing ID",""),IF(COUNTIFS($A$9:$A$508,A293)&gt;1,"Duplicate ID",IF(OR(B293="",C293="",D293="",E293="",COUNT(F293:X293)&lt;&gt;19),"Missing / text input",IF(OR(COUNTIFS(Settings!$A$59:$A$64,B293)&lt;&gt;1,COUNTIFS(Settings!$A$29:$A$33,E293)&lt;&gt;1),"Unknown department / grade",IF(OR(F293&lt;=0,F293&gt;1,G293&lt;=0,L293&lt;=0,H293&lt;0,I293&lt;0,J293&lt;0,K293&lt;0,K293&gt;1,MIN(M293:X293)&lt;0,W293=0,V293&gt;W293,M293&gt;W293-V293,P293&gt;8,Q293&gt;4,R293&gt;12,S293&gt;12,T293&gt;1,AB293&lt;0),"Review quantity / rate",IF(OR(N293&gt;Settings!$C$17,AK293&gt;Settings!$C$19),"Review benefit ceiling","OK"))))))</x:f>
      </x:c>
    </x:row>
    <x:row r="294" ht="23" customHeight="1">
      <x:c r="A294" s="8"/>
      <x:c r="B294" s="8"/>
      <x:c r="C294" s="8"/>
      <x:c r="D294" s="8"/>
      <x:c r="E294" s="8"/>
      <x:c r="F294" s="20"/>
      <x:c r="G294" s="12"/>
      <x:c r="H294" s="21"/>
      <x:c r="I294" s="20"/>
      <x:c r="J294" s="20"/>
      <x:c r="K294" s="20"/>
      <x:c r="L294" s="12"/>
      <x:c r="M294" s="8"/>
      <x:c r="N294" s="12"/>
      <x:c r="O294" s="8"/>
      <x:c r="P294" s="8"/>
      <x:c r="Q294" s="8"/>
      <x:c r="R294" s="8"/>
      <x:c r="S294" s="8"/>
      <x:c r="T294" s="8"/>
      <x:c r="U294" s="12"/>
      <x:c r="V294" s="8"/>
      <x:c r="W294" s="8"/>
      <x:c r="X294" s="12"/>
      <x:c r="Y294" s="21"/>
      <x:c r="Z294" s="24" t="str">
        <x:f>IF($A294="","",INDEX(Settings!$C$29:$C$33,MATCH(E294,Settings!$A$29:$A$33,0)))</x:f>
      </x:c>
      <x:c r="AA294" s="22" t="str">
        <x:f>IF($A294="","",G294/Z294)</x:f>
      </x:c>
      <x:c r="AB294" s="25" t="str">
        <x:f>IF($A294="","",IF(ISNUMBER(Y294),Y294,Settings!$B$10))</x:f>
      </x:c>
      <x:c r="AC294" s="23" t="str">
        <x:f>IF($A294="","",G294*(1+AB294))</x:f>
      </x:c>
      <x:c r="AD294" s="23" t="str">
        <x:f>IF($A294="","",G294*F294*12)</x:f>
      </x:c>
      <x:c r="AE294" s="23" t="str">
        <x:f>IF($A294="","",G294*F294*J294)</x:f>
      </x:c>
      <x:c r="AF294" s="24" t="str">
        <x:f>IF($A294="","",L294*F294*K294*Settings!$B$13)</x:f>
      </x:c>
      <x:c r="AG294" s="23" t="str">
        <x:f>IF($A294="","",AD294*H294*I294)</x:f>
      </x:c>
      <x:c r="AH294" s="24" t="str">
        <x:f>IF($A294="","",SUM(AD294:AE294,AG294)*SUM(Settings!$B$11:$B$12))</x:f>
      </x:c>
      <x:c r="AI294" s="24" t="str">
        <x:f>IF($A294="","",M294*Settings!$B$16)</x:f>
      </x:c>
      <x:c r="AJ294" s="24" t="str">
        <x:f>IF($A294="","",M294*Settings!$B$15)</x:f>
      </x:c>
      <x:c r="AK294" s="24" t="str">
        <x:f>IF($A294="","",O294*Settings!$B$18)</x:f>
      </x:c>
      <x:c r="AL294" s="24" t="str">
        <x:f>IF($A294="","",P294*Settings!$B$20+Q294*Settings!$B$21+R294*Settings!$B$22+S294*Settings!$B$23)</x:f>
      </x:c>
      <x:c r="AM294" s="24" t="str">
        <x:f>IF($A294="","",T294*Settings!$B$24)</x:f>
      </x:c>
      <x:c r="AN294" s="23" t="str">
        <x:f>IF($A294="","",SUM(AI294,N294,AK294:AM294,U294))</x:f>
      </x:c>
      <x:c r="AO294" s="23" t="str">
        <x:f>IF($A294="","",SUM(AD294:AI294,N294,AK294:AM294,U294))</x:f>
      </x:c>
      <x:c r="AP294" s="24" t="str">
        <x:f>IF($A294="","",G294*F294*AB294*((13-Settings!$B$9)*(1+H294*I294)+J294)*(1+SUM(Settings!$B$11:$B$12)))</x:f>
      </x:c>
      <x:c r="AQ294" s="23" t="str">
        <x:f>IF($A294="","",SUM(AO294:AP294))</x:f>
      </x:c>
      <x:c r="AR294" s="23" t="str">
        <x:f>IF($A294="","",AQ294-X294)</x:f>
      </x:c>
      <x:c r="AS294" s="22" t="str">
        <x:f>IF($A294="","",IF(W294=0,"n.a.",V294/W294))</x:f>
      </x:c>
      <x:c r="AT294" s="26" t="str">
        <x:f>IF($A294="",IF(COUNTA(B294:Y294)&gt;0,"Missing ID",""),IF(COUNTIFS($A$9:$A$508,A294)&gt;1,"Duplicate ID",IF(OR(B294="",C294="",D294="",E294="",COUNT(F294:X294)&lt;&gt;19),"Missing / text input",IF(OR(COUNTIFS(Settings!$A$59:$A$64,B294)&lt;&gt;1,COUNTIFS(Settings!$A$29:$A$33,E294)&lt;&gt;1),"Unknown department / grade",IF(OR(F294&lt;=0,F294&gt;1,G294&lt;=0,L294&lt;=0,H294&lt;0,I294&lt;0,J294&lt;0,K294&lt;0,K294&gt;1,MIN(M294:X294)&lt;0,W294=0,V294&gt;W294,M294&gt;W294-V294,P294&gt;8,Q294&gt;4,R294&gt;12,S294&gt;12,T294&gt;1,AB294&lt;0),"Review quantity / rate",IF(OR(N294&gt;Settings!$C$17,AK294&gt;Settings!$C$19),"Review benefit ceiling","OK"))))))</x:f>
      </x:c>
    </x:row>
    <x:row r="295" ht="23" customHeight="1">
      <x:c r="A295" s="8"/>
      <x:c r="B295" s="8"/>
      <x:c r="C295" s="8"/>
      <x:c r="D295" s="8"/>
      <x:c r="E295" s="8"/>
      <x:c r="F295" s="20"/>
      <x:c r="G295" s="12"/>
      <x:c r="H295" s="21"/>
      <x:c r="I295" s="20"/>
      <x:c r="J295" s="20"/>
      <x:c r="K295" s="20"/>
      <x:c r="L295" s="12"/>
      <x:c r="M295" s="8"/>
      <x:c r="N295" s="12"/>
      <x:c r="O295" s="8"/>
      <x:c r="P295" s="8"/>
      <x:c r="Q295" s="8"/>
      <x:c r="R295" s="8"/>
      <x:c r="S295" s="8"/>
      <x:c r="T295" s="8"/>
      <x:c r="U295" s="12"/>
      <x:c r="V295" s="8"/>
      <x:c r="W295" s="8"/>
      <x:c r="X295" s="12"/>
      <x:c r="Y295" s="21"/>
      <x:c r="Z295" s="24" t="str">
        <x:f>IF($A295="","",INDEX(Settings!$C$29:$C$33,MATCH(E295,Settings!$A$29:$A$33,0)))</x:f>
      </x:c>
      <x:c r="AA295" s="22" t="str">
        <x:f>IF($A295="","",G295/Z295)</x:f>
      </x:c>
      <x:c r="AB295" s="25" t="str">
        <x:f>IF($A295="","",IF(ISNUMBER(Y295),Y295,Settings!$B$10))</x:f>
      </x:c>
      <x:c r="AC295" s="23" t="str">
        <x:f>IF($A295="","",G295*(1+AB295))</x:f>
      </x:c>
      <x:c r="AD295" s="23" t="str">
        <x:f>IF($A295="","",G295*F295*12)</x:f>
      </x:c>
      <x:c r="AE295" s="23" t="str">
        <x:f>IF($A295="","",G295*F295*J295)</x:f>
      </x:c>
      <x:c r="AF295" s="24" t="str">
        <x:f>IF($A295="","",L295*F295*K295*Settings!$B$13)</x:f>
      </x:c>
      <x:c r="AG295" s="23" t="str">
        <x:f>IF($A295="","",AD295*H295*I295)</x:f>
      </x:c>
      <x:c r="AH295" s="24" t="str">
        <x:f>IF($A295="","",SUM(AD295:AE295,AG295)*SUM(Settings!$B$11:$B$12))</x:f>
      </x:c>
      <x:c r="AI295" s="24" t="str">
        <x:f>IF($A295="","",M295*Settings!$B$16)</x:f>
      </x:c>
      <x:c r="AJ295" s="24" t="str">
        <x:f>IF($A295="","",M295*Settings!$B$15)</x:f>
      </x:c>
      <x:c r="AK295" s="24" t="str">
        <x:f>IF($A295="","",O295*Settings!$B$18)</x:f>
      </x:c>
      <x:c r="AL295" s="24" t="str">
        <x:f>IF($A295="","",P295*Settings!$B$20+Q295*Settings!$B$21+R295*Settings!$B$22+S295*Settings!$B$23)</x:f>
      </x:c>
      <x:c r="AM295" s="24" t="str">
        <x:f>IF($A295="","",T295*Settings!$B$24)</x:f>
      </x:c>
      <x:c r="AN295" s="23" t="str">
        <x:f>IF($A295="","",SUM(AI295,N295,AK295:AM295,U295))</x:f>
      </x:c>
      <x:c r="AO295" s="23" t="str">
        <x:f>IF($A295="","",SUM(AD295:AI295,N295,AK295:AM295,U295))</x:f>
      </x:c>
      <x:c r="AP295" s="24" t="str">
        <x:f>IF($A295="","",G295*F295*AB295*((13-Settings!$B$9)*(1+H295*I295)+J295)*(1+SUM(Settings!$B$11:$B$12)))</x:f>
      </x:c>
      <x:c r="AQ295" s="23" t="str">
        <x:f>IF($A295="","",SUM(AO295:AP295))</x:f>
      </x:c>
      <x:c r="AR295" s="23" t="str">
        <x:f>IF($A295="","",AQ295-X295)</x:f>
      </x:c>
      <x:c r="AS295" s="22" t="str">
        <x:f>IF($A295="","",IF(W295=0,"n.a.",V295/W295))</x:f>
      </x:c>
      <x:c r="AT295" s="26" t="str">
        <x:f>IF($A295="",IF(COUNTA(B295:Y295)&gt;0,"Missing ID",""),IF(COUNTIFS($A$9:$A$508,A295)&gt;1,"Duplicate ID",IF(OR(B295="",C295="",D295="",E295="",COUNT(F295:X295)&lt;&gt;19),"Missing / text input",IF(OR(COUNTIFS(Settings!$A$59:$A$64,B295)&lt;&gt;1,COUNTIFS(Settings!$A$29:$A$33,E295)&lt;&gt;1),"Unknown department / grade",IF(OR(F295&lt;=0,F295&gt;1,G295&lt;=0,L295&lt;=0,H295&lt;0,I295&lt;0,J295&lt;0,K295&lt;0,K295&gt;1,MIN(M295:X295)&lt;0,W295=0,V295&gt;W295,M295&gt;W295-V295,P295&gt;8,Q295&gt;4,R295&gt;12,S295&gt;12,T295&gt;1,AB295&lt;0),"Review quantity / rate",IF(OR(N295&gt;Settings!$C$17,AK295&gt;Settings!$C$19),"Review benefit ceiling","OK"))))))</x:f>
      </x:c>
    </x:row>
    <x:row r="296" ht="23" customHeight="1">
      <x:c r="A296" s="8"/>
      <x:c r="B296" s="8"/>
      <x:c r="C296" s="8"/>
      <x:c r="D296" s="8"/>
      <x:c r="E296" s="8"/>
      <x:c r="F296" s="20"/>
      <x:c r="G296" s="12"/>
      <x:c r="H296" s="21"/>
      <x:c r="I296" s="20"/>
      <x:c r="J296" s="20"/>
      <x:c r="K296" s="20"/>
      <x:c r="L296" s="12"/>
      <x:c r="M296" s="8"/>
      <x:c r="N296" s="12"/>
      <x:c r="O296" s="8"/>
      <x:c r="P296" s="8"/>
      <x:c r="Q296" s="8"/>
      <x:c r="R296" s="8"/>
      <x:c r="S296" s="8"/>
      <x:c r="T296" s="8"/>
      <x:c r="U296" s="12"/>
      <x:c r="V296" s="8"/>
      <x:c r="W296" s="8"/>
      <x:c r="X296" s="12"/>
      <x:c r="Y296" s="21"/>
      <x:c r="Z296" s="24" t="str">
        <x:f>IF($A296="","",INDEX(Settings!$C$29:$C$33,MATCH(E296,Settings!$A$29:$A$33,0)))</x:f>
      </x:c>
      <x:c r="AA296" s="22" t="str">
        <x:f>IF($A296="","",G296/Z296)</x:f>
      </x:c>
      <x:c r="AB296" s="25" t="str">
        <x:f>IF($A296="","",IF(ISNUMBER(Y296),Y296,Settings!$B$10))</x:f>
      </x:c>
      <x:c r="AC296" s="23" t="str">
        <x:f>IF($A296="","",G296*(1+AB296))</x:f>
      </x:c>
      <x:c r="AD296" s="23" t="str">
        <x:f>IF($A296="","",G296*F296*12)</x:f>
      </x:c>
      <x:c r="AE296" s="23" t="str">
        <x:f>IF($A296="","",G296*F296*J296)</x:f>
      </x:c>
      <x:c r="AF296" s="24" t="str">
        <x:f>IF($A296="","",L296*F296*K296*Settings!$B$13)</x:f>
      </x:c>
      <x:c r="AG296" s="23" t="str">
        <x:f>IF($A296="","",AD296*H296*I296)</x:f>
      </x:c>
      <x:c r="AH296" s="24" t="str">
        <x:f>IF($A296="","",SUM(AD296:AE296,AG296)*SUM(Settings!$B$11:$B$12))</x:f>
      </x:c>
      <x:c r="AI296" s="24" t="str">
        <x:f>IF($A296="","",M296*Settings!$B$16)</x:f>
      </x:c>
      <x:c r="AJ296" s="24" t="str">
        <x:f>IF($A296="","",M296*Settings!$B$15)</x:f>
      </x:c>
      <x:c r="AK296" s="24" t="str">
        <x:f>IF($A296="","",O296*Settings!$B$18)</x:f>
      </x:c>
      <x:c r="AL296" s="24" t="str">
        <x:f>IF($A296="","",P296*Settings!$B$20+Q296*Settings!$B$21+R296*Settings!$B$22+S296*Settings!$B$23)</x:f>
      </x:c>
      <x:c r="AM296" s="24" t="str">
        <x:f>IF($A296="","",T296*Settings!$B$24)</x:f>
      </x:c>
      <x:c r="AN296" s="23" t="str">
        <x:f>IF($A296="","",SUM(AI296,N296,AK296:AM296,U296))</x:f>
      </x:c>
      <x:c r="AO296" s="23" t="str">
        <x:f>IF($A296="","",SUM(AD296:AI296,N296,AK296:AM296,U296))</x:f>
      </x:c>
      <x:c r="AP296" s="24" t="str">
        <x:f>IF($A296="","",G296*F296*AB296*((13-Settings!$B$9)*(1+H296*I296)+J296)*(1+SUM(Settings!$B$11:$B$12)))</x:f>
      </x:c>
      <x:c r="AQ296" s="23" t="str">
        <x:f>IF($A296="","",SUM(AO296:AP296))</x:f>
      </x:c>
      <x:c r="AR296" s="23" t="str">
        <x:f>IF($A296="","",AQ296-X296)</x:f>
      </x:c>
      <x:c r="AS296" s="22" t="str">
        <x:f>IF($A296="","",IF(W296=0,"n.a.",V296/W296))</x:f>
      </x:c>
      <x:c r="AT296" s="26" t="str">
        <x:f>IF($A296="",IF(COUNTA(B296:Y296)&gt;0,"Missing ID",""),IF(COUNTIFS($A$9:$A$508,A296)&gt;1,"Duplicate ID",IF(OR(B296="",C296="",D296="",E296="",COUNT(F296:X296)&lt;&gt;19),"Missing / text input",IF(OR(COUNTIFS(Settings!$A$59:$A$64,B296)&lt;&gt;1,COUNTIFS(Settings!$A$29:$A$33,E296)&lt;&gt;1),"Unknown department / grade",IF(OR(F296&lt;=0,F296&gt;1,G296&lt;=0,L296&lt;=0,H296&lt;0,I296&lt;0,J296&lt;0,K296&lt;0,K296&gt;1,MIN(M296:X296)&lt;0,W296=0,V296&gt;W296,M296&gt;W296-V296,P296&gt;8,Q296&gt;4,R296&gt;12,S296&gt;12,T296&gt;1,AB296&lt;0),"Review quantity / rate",IF(OR(N296&gt;Settings!$C$17,AK296&gt;Settings!$C$19),"Review benefit ceiling","OK"))))))</x:f>
      </x:c>
    </x:row>
    <x:row r="297" ht="23" customHeight="1">
      <x:c r="A297" s="8"/>
      <x:c r="B297" s="8"/>
      <x:c r="C297" s="8"/>
      <x:c r="D297" s="8"/>
      <x:c r="E297" s="8"/>
      <x:c r="F297" s="20"/>
      <x:c r="G297" s="12"/>
      <x:c r="H297" s="21"/>
      <x:c r="I297" s="20"/>
      <x:c r="J297" s="20"/>
      <x:c r="K297" s="20"/>
      <x:c r="L297" s="12"/>
      <x:c r="M297" s="8"/>
      <x:c r="N297" s="12"/>
      <x:c r="O297" s="8"/>
      <x:c r="P297" s="8"/>
      <x:c r="Q297" s="8"/>
      <x:c r="R297" s="8"/>
      <x:c r="S297" s="8"/>
      <x:c r="T297" s="8"/>
      <x:c r="U297" s="12"/>
      <x:c r="V297" s="8"/>
      <x:c r="W297" s="8"/>
      <x:c r="X297" s="12"/>
      <x:c r="Y297" s="21"/>
      <x:c r="Z297" s="24" t="str">
        <x:f>IF($A297="","",INDEX(Settings!$C$29:$C$33,MATCH(E297,Settings!$A$29:$A$33,0)))</x:f>
      </x:c>
      <x:c r="AA297" s="22" t="str">
        <x:f>IF($A297="","",G297/Z297)</x:f>
      </x:c>
      <x:c r="AB297" s="25" t="str">
        <x:f>IF($A297="","",IF(ISNUMBER(Y297),Y297,Settings!$B$10))</x:f>
      </x:c>
      <x:c r="AC297" s="23" t="str">
        <x:f>IF($A297="","",G297*(1+AB297))</x:f>
      </x:c>
      <x:c r="AD297" s="23" t="str">
        <x:f>IF($A297="","",G297*F297*12)</x:f>
      </x:c>
      <x:c r="AE297" s="23" t="str">
        <x:f>IF($A297="","",G297*F297*J297)</x:f>
      </x:c>
      <x:c r="AF297" s="24" t="str">
        <x:f>IF($A297="","",L297*F297*K297*Settings!$B$13)</x:f>
      </x:c>
      <x:c r="AG297" s="23" t="str">
        <x:f>IF($A297="","",AD297*H297*I297)</x:f>
      </x:c>
      <x:c r="AH297" s="24" t="str">
        <x:f>IF($A297="","",SUM(AD297:AE297,AG297)*SUM(Settings!$B$11:$B$12))</x:f>
      </x:c>
      <x:c r="AI297" s="24" t="str">
        <x:f>IF($A297="","",M297*Settings!$B$16)</x:f>
      </x:c>
      <x:c r="AJ297" s="24" t="str">
        <x:f>IF($A297="","",M297*Settings!$B$15)</x:f>
      </x:c>
      <x:c r="AK297" s="24" t="str">
        <x:f>IF($A297="","",O297*Settings!$B$18)</x:f>
      </x:c>
      <x:c r="AL297" s="24" t="str">
        <x:f>IF($A297="","",P297*Settings!$B$20+Q297*Settings!$B$21+R297*Settings!$B$22+S297*Settings!$B$23)</x:f>
      </x:c>
      <x:c r="AM297" s="24" t="str">
        <x:f>IF($A297="","",T297*Settings!$B$24)</x:f>
      </x:c>
      <x:c r="AN297" s="23" t="str">
        <x:f>IF($A297="","",SUM(AI297,N297,AK297:AM297,U297))</x:f>
      </x:c>
      <x:c r="AO297" s="23" t="str">
        <x:f>IF($A297="","",SUM(AD297:AI297,N297,AK297:AM297,U297))</x:f>
      </x:c>
      <x:c r="AP297" s="24" t="str">
        <x:f>IF($A297="","",G297*F297*AB297*((13-Settings!$B$9)*(1+H297*I297)+J297)*(1+SUM(Settings!$B$11:$B$12)))</x:f>
      </x:c>
      <x:c r="AQ297" s="23" t="str">
        <x:f>IF($A297="","",SUM(AO297:AP297))</x:f>
      </x:c>
      <x:c r="AR297" s="23" t="str">
        <x:f>IF($A297="","",AQ297-X297)</x:f>
      </x:c>
      <x:c r="AS297" s="22" t="str">
        <x:f>IF($A297="","",IF(W297=0,"n.a.",V297/W297))</x:f>
      </x:c>
      <x:c r="AT297" s="26" t="str">
        <x:f>IF($A297="",IF(COUNTA(B297:Y297)&gt;0,"Missing ID",""),IF(COUNTIFS($A$9:$A$508,A297)&gt;1,"Duplicate ID",IF(OR(B297="",C297="",D297="",E297="",COUNT(F297:X297)&lt;&gt;19),"Missing / text input",IF(OR(COUNTIFS(Settings!$A$59:$A$64,B297)&lt;&gt;1,COUNTIFS(Settings!$A$29:$A$33,E297)&lt;&gt;1),"Unknown department / grade",IF(OR(F297&lt;=0,F297&gt;1,G297&lt;=0,L297&lt;=0,H297&lt;0,I297&lt;0,J297&lt;0,K297&lt;0,K297&gt;1,MIN(M297:X297)&lt;0,W297=0,V297&gt;W297,M297&gt;W297-V297,P297&gt;8,Q297&gt;4,R297&gt;12,S297&gt;12,T297&gt;1,AB297&lt;0),"Review quantity / rate",IF(OR(N297&gt;Settings!$C$17,AK297&gt;Settings!$C$19),"Review benefit ceiling","OK"))))))</x:f>
      </x:c>
    </x:row>
    <x:row r="298" ht="23" customHeight="1">
      <x:c r="A298" s="8"/>
      <x:c r="B298" s="8"/>
      <x:c r="C298" s="8"/>
      <x:c r="D298" s="8"/>
      <x:c r="E298" s="8"/>
      <x:c r="F298" s="20"/>
      <x:c r="G298" s="12"/>
      <x:c r="H298" s="21"/>
      <x:c r="I298" s="20"/>
      <x:c r="J298" s="20"/>
      <x:c r="K298" s="20"/>
      <x:c r="L298" s="12"/>
      <x:c r="M298" s="8"/>
      <x:c r="N298" s="12"/>
      <x:c r="O298" s="8"/>
      <x:c r="P298" s="8"/>
      <x:c r="Q298" s="8"/>
      <x:c r="R298" s="8"/>
      <x:c r="S298" s="8"/>
      <x:c r="T298" s="8"/>
      <x:c r="U298" s="12"/>
      <x:c r="V298" s="8"/>
      <x:c r="W298" s="8"/>
      <x:c r="X298" s="12"/>
      <x:c r="Y298" s="21"/>
      <x:c r="Z298" s="24" t="str">
        <x:f>IF($A298="","",INDEX(Settings!$C$29:$C$33,MATCH(E298,Settings!$A$29:$A$33,0)))</x:f>
      </x:c>
      <x:c r="AA298" s="22" t="str">
        <x:f>IF($A298="","",G298/Z298)</x:f>
      </x:c>
      <x:c r="AB298" s="25" t="str">
        <x:f>IF($A298="","",IF(ISNUMBER(Y298),Y298,Settings!$B$10))</x:f>
      </x:c>
      <x:c r="AC298" s="23" t="str">
        <x:f>IF($A298="","",G298*(1+AB298))</x:f>
      </x:c>
      <x:c r="AD298" s="23" t="str">
        <x:f>IF($A298="","",G298*F298*12)</x:f>
      </x:c>
      <x:c r="AE298" s="23" t="str">
        <x:f>IF($A298="","",G298*F298*J298)</x:f>
      </x:c>
      <x:c r="AF298" s="24" t="str">
        <x:f>IF($A298="","",L298*F298*K298*Settings!$B$13)</x:f>
      </x:c>
      <x:c r="AG298" s="23" t="str">
        <x:f>IF($A298="","",AD298*H298*I298)</x:f>
      </x:c>
      <x:c r="AH298" s="24" t="str">
        <x:f>IF($A298="","",SUM(AD298:AE298,AG298)*SUM(Settings!$B$11:$B$12))</x:f>
      </x:c>
      <x:c r="AI298" s="24" t="str">
        <x:f>IF($A298="","",M298*Settings!$B$16)</x:f>
      </x:c>
      <x:c r="AJ298" s="24" t="str">
        <x:f>IF($A298="","",M298*Settings!$B$15)</x:f>
      </x:c>
      <x:c r="AK298" s="24" t="str">
        <x:f>IF($A298="","",O298*Settings!$B$18)</x:f>
      </x:c>
      <x:c r="AL298" s="24" t="str">
        <x:f>IF($A298="","",P298*Settings!$B$20+Q298*Settings!$B$21+R298*Settings!$B$22+S298*Settings!$B$23)</x:f>
      </x:c>
      <x:c r="AM298" s="24" t="str">
        <x:f>IF($A298="","",T298*Settings!$B$24)</x:f>
      </x:c>
      <x:c r="AN298" s="23" t="str">
        <x:f>IF($A298="","",SUM(AI298,N298,AK298:AM298,U298))</x:f>
      </x:c>
      <x:c r="AO298" s="23" t="str">
        <x:f>IF($A298="","",SUM(AD298:AI298,N298,AK298:AM298,U298))</x:f>
      </x:c>
      <x:c r="AP298" s="24" t="str">
        <x:f>IF($A298="","",G298*F298*AB298*((13-Settings!$B$9)*(1+H298*I298)+J298)*(1+SUM(Settings!$B$11:$B$12)))</x:f>
      </x:c>
      <x:c r="AQ298" s="23" t="str">
        <x:f>IF($A298="","",SUM(AO298:AP298))</x:f>
      </x:c>
      <x:c r="AR298" s="23" t="str">
        <x:f>IF($A298="","",AQ298-X298)</x:f>
      </x:c>
      <x:c r="AS298" s="22" t="str">
        <x:f>IF($A298="","",IF(W298=0,"n.a.",V298/W298))</x:f>
      </x:c>
      <x:c r="AT298" s="26" t="str">
        <x:f>IF($A298="",IF(COUNTA(B298:Y298)&gt;0,"Missing ID",""),IF(COUNTIFS($A$9:$A$508,A298)&gt;1,"Duplicate ID",IF(OR(B298="",C298="",D298="",E298="",COUNT(F298:X298)&lt;&gt;19),"Missing / text input",IF(OR(COUNTIFS(Settings!$A$59:$A$64,B298)&lt;&gt;1,COUNTIFS(Settings!$A$29:$A$33,E298)&lt;&gt;1),"Unknown department / grade",IF(OR(F298&lt;=0,F298&gt;1,G298&lt;=0,L298&lt;=0,H298&lt;0,I298&lt;0,J298&lt;0,K298&lt;0,K298&gt;1,MIN(M298:X298)&lt;0,W298=0,V298&gt;W298,M298&gt;W298-V298,P298&gt;8,Q298&gt;4,R298&gt;12,S298&gt;12,T298&gt;1,AB298&lt;0),"Review quantity / rate",IF(OR(N298&gt;Settings!$C$17,AK298&gt;Settings!$C$19),"Review benefit ceiling","OK"))))))</x:f>
      </x:c>
    </x:row>
    <x:row r="299" ht="23" customHeight="1">
      <x:c r="A299" s="8"/>
      <x:c r="B299" s="8"/>
      <x:c r="C299" s="8"/>
      <x:c r="D299" s="8"/>
      <x:c r="E299" s="8"/>
      <x:c r="F299" s="20"/>
      <x:c r="G299" s="12"/>
      <x:c r="H299" s="21"/>
      <x:c r="I299" s="20"/>
      <x:c r="J299" s="20"/>
      <x:c r="K299" s="20"/>
      <x:c r="L299" s="12"/>
      <x:c r="M299" s="8"/>
      <x:c r="N299" s="12"/>
      <x:c r="O299" s="8"/>
      <x:c r="P299" s="8"/>
      <x:c r="Q299" s="8"/>
      <x:c r="R299" s="8"/>
      <x:c r="S299" s="8"/>
      <x:c r="T299" s="8"/>
      <x:c r="U299" s="12"/>
      <x:c r="V299" s="8"/>
      <x:c r="W299" s="8"/>
      <x:c r="X299" s="12"/>
      <x:c r="Y299" s="21"/>
      <x:c r="Z299" s="24" t="str">
        <x:f>IF($A299="","",INDEX(Settings!$C$29:$C$33,MATCH(E299,Settings!$A$29:$A$33,0)))</x:f>
      </x:c>
      <x:c r="AA299" s="22" t="str">
        <x:f>IF($A299="","",G299/Z299)</x:f>
      </x:c>
      <x:c r="AB299" s="25" t="str">
        <x:f>IF($A299="","",IF(ISNUMBER(Y299),Y299,Settings!$B$10))</x:f>
      </x:c>
      <x:c r="AC299" s="23" t="str">
        <x:f>IF($A299="","",G299*(1+AB299))</x:f>
      </x:c>
      <x:c r="AD299" s="23" t="str">
        <x:f>IF($A299="","",G299*F299*12)</x:f>
      </x:c>
      <x:c r="AE299" s="23" t="str">
        <x:f>IF($A299="","",G299*F299*J299)</x:f>
      </x:c>
      <x:c r="AF299" s="24" t="str">
        <x:f>IF($A299="","",L299*F299*K299*Settings!$B$13)</x:f>
      </x:c>
      <x:c r="AG299" s="23" t="str">
        <x:f>IF($A299="","",AD299*H299*I299)</x:f>
      </x:c>
      <x:c r="AH299" s="24" t="str">
        <x:f>IF($A299="","",SUM(AD299:AE299,AG299)*SUM(Settings!$B$11:$B$12))</x:f>
      </x:c>
      <x:c r="AI299" s="24" t="str">
        <x:f>IF($A299="","",M299*Settings!$B$16)</x:f>
      </x:c>
      <x:c r="AJ299" s="24" t="str">
        <x:f>IF($A299="","",M299*Settings!$B$15)</x:f>
      </x:c>
      <x:c r="AK299" s="24" t="str">
        <x:f>IF($A299="","",O299*Settings!$B$18)</x:f>
      </x:c>
      <x:c r="AL299" s="24" t="str">
        <x:f>IF($A299="","",P299*Settings!$B$20+Q299*Settings!$B$21+R299*Settings!$B$22+S299*Settings!$B$23)</x:f>
      </x:c>
      <x:c r="AM299" s="24" t="str">
        <x:f>IF($A299="","",T299*Settings!$B$24)</x:f>
      </x:c>
      <x:c r="AN299" s="23" t="str">
        <x:f>IF($A299="","",SUM(AI299,N299,AK299:AM299,U299))</x:f>
      </x:c>
      <x:c r="AO299" s="23" t="str">
        <x:f>IF($A299="","",SUM(AD299:AI299,N299,AK299:AM299,U299))</x:f>
      </x:c>
      <x:c r="AP299" s="24" t="str">
        <x:f>IF($A299="","",G299*F299*AB299*((13-Settings!$B$9)*(1+H299*I299)+J299)*(1+SUM(Settings!$B$11:$B$12)))</x:f>
      </x:c>
      <x:c r="AQ299" s="23" t="str">
        <x:f>IF($A299="","",SUM(AO299:AP299))</x:f>
      </x:c>
      <x:c r="AR299" s="23" t="str">
        <x:f>IF($A299="","",AQ299-X299)</x:f>
      </x:c>
      <x:c r="AS299" s="22" t="str">
        <x:f>IF($A299="","",IF(W299=0,"n.a.",V299/W299))</x:f>
      </x:c>
      <x:c r="AT299" s="26" t="str">
        <x:f>IF($A299="",IF(COUNTA(B299:Y299)&gt;0,"Missing ID",""),IF(COUNTIFS($A$9:$A$508,A299)&gt;1,"Duplicate ID",IF(OR(B299="",C299="",D299="",E299="",COUNT(F299:X299)&lt;&gt;19),"Missing / text input",IF(OR(COUNTIFS(Settings!$A$59:$A$64,B299)&lt;&gt;1,COUNTIFS(Settings!$A$29:$A$33,E299)&lt;&gt;1),"Unknown department / grade",IF(OR(F299&lt;=0,F299&gt;1,G299&lt;=0,L299&lt;=0,H299&lt;0,I299&lt;0,J299&lt;0,K299&lt;0,K299&gt;1,MIN(M299:X299)&lt;0,W299=0,V299&gt;W299,M299&gt;W299-V299,P299&gt;8,Q299&gt;4,R299&gt;12,S299&gt;12,T299&gt;1,AB299&lt;0),"Review quantity / rate",IF(OR(N299&gt;Settings!$C$17,AK299&gt;Settings!$C$19),"Review benefit ceiling","OK"))))))</x:f>
      </x:c>
    </x:row>
    <x:row r="300" ht="23" customHeight="1">
      <x:c r="A300" s="8"/>
      <x:c r="B300" s="8"/>
      <x:c r="C300" s="8"/>
      <x:c r="D300" s="8"/>
      <x:c r="E300" s="8"/>
      <x:c r="F300" s="20"/>
      <x:c r="G300" s="12"/>
      <x:c r="H300" s="21"/>
      <x:c r="I300" s="20"/>
      <x:c r="J300" s="20"/>
      <x:c r="K300" s="20"/>
      <x:c r="L300" s="12"/>
      <x:c r="M300" s="8"/>
      <x:c r="N300" s="12"/>
      <x:c r="O300" s="8"/>
      <x:c r="P300" s="8"/>
      <x:c r="Q300" s="8"/>
      <x:c r="R300" s="8"/>
      <x:c r="S300" s="8"/>
      <x:c r="T300" s="8"/>
      <x:c r="U300" s="12"/>
      <x:c r="V300" s="8"/>
      <x:c r="W300" s="8"/>
      <x:c r="X300" s="12"/>
      <x:c r="Y300" s="21"/>
      <x:c r="Z300" s="24" t="str">
        <x:f>IF($A300="","",INDEX(Settings!$C$29:$C$33,MATCH(E300,Settings!$A$29:$A$33,0)))</x:f>
      </x:c>
      <x:c r="AA300" s="22" t="str">
        <x:f>IF($A300="","",G300/Z300)</x:f>
      </x:c>
      <x:c r="AB300" s="25" t="str">
        <x:f>IF($A300="","",IF(ISNUMBER(Y300),Y300,Settings!$B$10))</x:f>
      </x:c>
      <x:c r="AC300" s="23" t="str">
        <x:f>IF($A300="","",G300*(1+AB300))</x:f>
      </x:c>
      <x:c r="AD300" s="23" t="str">
        <x:f>IF($A300="","",G300*F300*12)</x:f>
      </x:c>
      <x:c r="AE300" s="23" t="str">
        <x:f>IF($A300="","",G300*F300*J300)</x:f>
      </x:c>
      <x:c r="AF300" s="24" t="str">
        <x:f>IF($A300="","",L300*F300*K300*Settings!$B$13)</x:f>
      </x:c>
      <x:c r="AG300" s="23" t="str">
        <x:f>IF($A300="","",AD300*H300*I300)</x:f>
      </x:c>
      <x:c r="AH300" s="24" t="str">
        <x:f>IF($A300="","",SUM(AD300:AE300,AG300)*SUM(Settings!$B$11:$B$12))</x:f>
      </x:c>
      <x:c r="AI300" s="24" t="str">
        <x:f>IF($A300="","",M300*Settings!$B$16)</x:f>
      </x:c>
      <x:c r="AJ300" s="24" t="str">
        <x:f>IF($A300="","",M300*Settings!$B$15)</x:f>
      </x:c>
      <x:c r="AK300" s="24" t="str">
        <x:f>IF($A300="","",O300*Settings!$B$18)</x:f>
      </x:c>
      <x:c r="AL300" s="24" t="str">
        <x:f>IF($A300="","",P300*Settings!$B$20+Q300*Settings!$B$21+R300*Settings!$B$22+S300*Settings!$B$23)</x:f>
      </x:c>
      <x:c r="AM300" s="24" t="str">
        <x:f>IF($A300="","",T300*Settings!$B$24)</x:f>
      </x:c>
      <x:c r="AN300" s="23" t="str">
        <x:f>IF($A300="","",SUM(AI300,N300,AK300:AM300,U300))</x:f>
      </x:c>
      <x:c r="AO300" s="23" t="str">
        <x:f>IF($A300="","",SUM(AD300:AI300,N300,AK300:AM300,U300))</x:f>
      </x:c>
      <x:c r="AP300" s="24" t="str">
        <x:f>IF($A300="","",G300*F300*AB300*((13-Settings!$B$9)*(1+H300*I300)+J300)*(1+SUM(Settings!$B$11:$B$12)))</x:f>
      </x:c>
      <x:c r="AQ300" s="23" t="str">
        <x:f>IF($A300="","",SUM(AO300:AP300))</x:f>
      </x:c>
      <x:c r="AR300" s="23" t="str">
        <x:f>IF($A300="","",AQ300-X300)</x:f>
      </x:c>
      <x:c r="AS300" s="22" t="str">
        <x:f>IF($A300="","",IF(W300=0,"n.a.",V300/W300))</x:f>
      </x:c>
      <x:c r="AT300" s="26" t="str">
        <x:f>IF($A300="",IF(COUNTA(B300:Y300)&gt;0,"Missing ID",""),IF(COUNTIFS($A$9:$A$508,A300)&gt;1,"Duplicate ID",IF(OR(B300="",C300="",D300="",E300="",COUNT(F300:X300)&lt;&gt;19),"Missing / text input",IF(OR(COUNTIFS(Settings!$A$59:$A$64,B300)&lt;&gt;1,COUNTIFS(Settings!$A$29:$A$33,E300)&lt;&gt;1),"Unknown department / grade",IF(OR(F300&lt;=0,F300&gt;1,G300&lt;=0,L300&lt;=0,H300&lt;0,I300&lt;0,J300&lt;0,K300&lt;0,K300&gt;1,MIN(M300:X300)&lt;0,W300=0,V300&gt;W300,M300&gt;W300-V300,P300&gt;8,Q300&gt;4,R300&gt;12,S300&gt;12,T300&gt;1,AB300&lt;0),"Review quantity / rate",IF(OR(N300&gt;Settings!$C$17,AK300&gt;Settings!$C$19),"Review benefit ceiling","OK"))))))</x:f>
      </x:c>
    </x:row>
    <x:row r="301" ht="23" customHeight="1">
      <x:c r="A301" s="8"/>
      <x:c r="B301" s="8"/>
      <x:c r="C301" s="8"/>
      <x:c r="D301" s="8"/>
      <x:c r="E301" s="8"/>
      <x:c r="F301" s="20"/>
      <x:c r="G301" s="12"/>
      <x:c r="H301" s="21"/>
      <x:c r="I301" s="20"/>
      <x:c r="J301" s="20"/>
      <x:c r="K301" s="20"/>
      <x:c r="L301" s="12"/>
      <x:c r="M301" s="8"/>
      <x:c r="N301" s="12"/>
      <x:c r="O301" s="8"/>
      <x:c r="P301" s="8"/>
      <x:c r="Q301" s="8"/>
      <x:c r="R301" s="8"/>
      <x:c r="S301" s="8"/>
      <x:c r="T301" s="8"/>
      <x:c r="U301" s="12"/>
      <x:c r="V301" s="8"/>
      <x:c r="W301" s="8"/>
      <x:c r="X301" s="12"/>
      <x:c r="Y301" s="21"/>
      <x:c r="Z301" s="24" t="str">
        <x:f>IF($A301="","",INDEX(Settings!$C$29:$C$33,MATCH(E301,Settings!$A$29:$A$33,0)))</x:f>
      </x:c>
      <x:c r="AA301" s="22" t="str">
        <x:f>IF($A301="","",G301/Z301)</x:f>
      </x:c>
      <x:c r="AB301" s="25" t="str">
        <x:f>IF($A301="","",IF(ISNUMBER(Y301),Y301,Settings!$B$10))</x:f>
      </x:c>
      <x:c r="AC301" s="23" t="str">
        <x:f>IF($A301="","",G301*(1+AB301))</x:f>
      </x:c>
      <x:c r="AD301" s="23" t="str">
        <x:f>IF($A301="","",G301*F301*12)</x:f>
      </x:c>
      <x:c r="AE301" s="23" t="str">
        <x:f>IF($A301="","",G301*F301*J301)</x:f>
      </x:c>
      <x:c r="AF301" s="24" t="str">
        <x:f>IF($A301="","",L301*F301*K301*Settings!$B$13)</x:f>
      </x:c>
      <x:c r="AG301" s="23" t="str">
        <x:f>IF($A301="","",AD301*H301*I301)</x:f>
      </x:c>
      <x:c r="AH301" s="24" t="str">
        <x:f>IF($A301="","",SUM(AD301:AE301,AG301)*SUM(Settings!$B$11:$B$12))</x:f>
      </x:c>
      <x:c r="AI301" s="24" t="str">
        <x:f>IF($A301="","",M301*Settings!$B$16)</x:f>
      </x:c>
      <x:c r="AJ301" s="24" t="str">
        <x:f>IF($A301="","",M301*Settings!$B$15)</x:f>
      </x:c>
      <x:c r="AK301" s="24" t="str">
        <x:f>IF($A301="","",O301*Settings!$B$18)</x:f>
      </x:c>
      <x:c r="AL301" s="24" t="str">
        <x:f>IF($A301="","",P301*Settings!$B$20+Q301*Settings!$B$21+R301*Settings!$B$22+S301*Settings!$B$23)</x:f>
      </x:c>
      <x:c r="AM301" s="24" t="str">
        <x:f>IF($A301="","",T301*Settings!$B$24)</x:f>
      </x:c>
      <x:c r="AN301" s="23" t="str">
        <x:f>IF($A301="","",SUM(AI301,N301,AK301:AM301,U301))</x:f>
      </x:c>
      <x:c r="AO301" s="23" t="str">
        <x:f>IF($A301="","",SUM(AD301:AI301,N301,AK301:AM301,U301))</x:f>
      </x:c>
      <x:c r="AP301" s="24" t="str">
        <x:f>IF($A301="","",G301*F301*AB301*((13-Settings!$B$9)*(1+H301*I301)+J301)*(1+SUM(Settings!$B$11:$B$12)))</x:f>
      </x:c>
      <x:c r="AQ301" s="23" t="str">
        <x:f>IF($A301="","",SUM(AO301:AP301))</x:f>
      </x:c>
      <x:c r="AR301" s="23" t="str">
        <x:f>IF($A301="","",AQ301-X301)</x:f>
      </x:c>
      <x:c r="AS301" s="22" t="str">
        <x:f>IF($A301="","",IF(W301=0,"n.a.",V301/W301))</x:f>
      </x:c>
      <x:c r="AT301" s="26" t="str">
        <x:f>IF($A301="",IF(COUNTA(B301:Y301)&gt;0,"Missing ID",""),IF(COUNTIFS($A$9:$A$508,A301)&gt;1,"Duplicate ID",IF(OR(B301="",C301="",D301="",E301="",COUNT(F301:X301)&lt;&gt;19),"Missing / text input",IF(OR(COUNTIFS(Settings!$A$59:$A$64,B301)&lt;&gt;1,COUNTIFS(Settings!$A$29:$A$33,E301)&lt;&gt;1),"Unknown department / grade",IF(OR(F301&lt;=0,F301&gt;1,G301&lt;=0,L301&lt;=0,H301&lt;0,I301&lt;0,J301&lt;0,K301&lt;0,K301&gt;1,MIN(M301:X301)&lt;0,W301=0,V301&gt;W301,M301&gt;W301-V301,P301&gt;8,Q301&gt;4,R301&gt;12,S301&gt;12,T301&gt;1,AB301&lt;0),"Review quantity / rate",IF(OR(N301&gt;Settings!$C$17,AK301&gt;Settings!$C$19),"Review benefit ceiling","OK"))))))</x:f>
      </x:c>
    </x:row>
    <x:row r="302" ht="23" customHeight="1">
      <x:c r="A302" s="8"/>
      <x:c r="B302" s="8"/>
      <x:c r="C302" s="8"/>
      <x:c r="D302" s="8"/>
      <x:c r="E302" s="8"/>
      <x:c r="F302" s="20"/>
      <x:c r="G302" s="12"/>
      <x:c r="H302" s="21"/>
      <x:c r="I302" s="20"/>
      <x:c r="J302" s="20"/>
      <x:c r="K302" s="20"/>
      <x:c r="L302" s="12"/>
      <x:c r="M302" s="8"/>
      <x:c r="N302" s="12"/>
      <x:c r="O302" s="8"/>
      <x:c r="P302" s="8"/>
      <x:c r="Q302" s="8"/>
      <x:c r="R302" s="8"/>
      <x:c r="S302" s="8"/>
      <x:c r="T302" s="8"/>
      <x:c r="U302" s="12"/>
      <x:c r="V302" s="8"/>
      <x:c r="W302" s="8"/>
      <x:c r="X302" s="12"/>
      <x:c r="Y302" s="21"/>
      <x:c r="Z302" s="24" t="str">
        <x:f>IF($A302="","",INDEX(Settings!$C$29:$C$33,MATCH(E302,Settings!$A$29:$A$33,0)))</x:f>
      </x:c>
      <x:c r="AA302" s="22" t="str">
        <x:f>IF($A302="","",G302/Z302)</x:f>
      </x:c>
      <x:c r="AB302" s="25" t="str">
        <x:f>IF($A302="","",IF(ISNUMBER(Y302),Y302,Settings!$B$10))</x:f>
      </x:c>
      <x:c r="AC302" s="23" t="str">
        <x:f>IF($A302="","",G302*(1+AB302))</x:f>
      </x:c>
      <x:c r="AD302" s="23" t="str">
        <x:f>IF($A302="","",G302*F302*12)</x:f>
      </x:c>
      <x:c r="AE302" s="23" t="str">
        <x:f>IF($A302="","",G302*F302*J302)</x:f>
      </x:c>
      <x:c r="AF302" s="24" t="str">
        <x:f>IF($A302="","",L302*F302*K302*Settings!$B$13)</x:f>
      </x:c>
      <x:c r="AG302" s="23" t="str">
        <x:f>IF($A302="","",AD302*H302*I302)</x:f>
      </x:c>
      <x:c r="AH302" s="24" t="str">
        <x:f>IF($A302="","",SUM(AD302:AE302,AG302)*SUM(Settings!$B$11:$B$12))</x:f>
      </x:c>
      <x:c r="AI302" s="24" t="str">
        <x:f>IF($A302="","",M302*Settings!$B$16)</x:f>
      </x:c>
      <x:c r="AJ302" s="24" t="str">
        <x:f>IF($A302="","",M302*Settings!$B$15)</x:f>
      </x:c>
      <x:c r="AK302" s="24" t="str">
        <x:f>IF($A302="","",O302*Settings!$B$18)</x:f>
      </x:c>
      <x:c r="AL302" s="24" t="str">
        <x:f>IF($A302="","",P302*Settings!$B$20+Q302*Settings!$B$21+R302*Settings!$B$22+S302*Settings!$B$23)</x:f>
      </x:c>
      <x:c r="AM302" s="24" t="str">
        <x:f>IF($A302="","",T302*Settings!$B$24)</x:f>
      </x:c>
      <x:c r="AN302" s="23" t="str">
        <x:f>IF($A302="","",SUM(AI302,N302,AK302:AM302,U302))</x:f>
      </x:c>
      <x:c r="AO302" s="23" t="str">
        <x:f>IF($A302="","",SUM(AD302:AI302,N302,AK302:AM302,U302))</x:f>
      </x:c>
      <x:c r="AP302" s="24" t="str">
        <x:f>IF($A302="","",G302*F302*AB302*((13-Settings!$B$9)*(1+H302*I302)+J302)*(1+SUM(Settings!$B$11:$B$12)))</x:f>
      </x:c>
      <x:c r="AQ302" s="23" t="str">
        <x:f>IF($A302="","",SUM(AO302:AP302))</x:f>
      </x:c>
      <x:c r="AR302" s="23" t="str">
        <x:f>IF($A302="","",AQ302-X302)</x:f>
      </x:c>
      <x:c r="AS302" s="22" t="str">
        <x:f>IF($A302="","",IF(W302=0,"n.a.",V302/W302))</x:f>
      </x:c>
      <x:c r="AT302" s="26" t="str">
        <x:f>IF($A302="",IF(COUNTA(B302:Y302)&gt;0,"Missing ID",""),IF(COUNTIFS($A$9:$A$508,A302)&gt;1,"Duplicate ID",IF(OR(B302="",C302="",D302="",E302="",COUNT(F302:X302)&lt;&gt;19),"Missing / text input",IF(OR(COUNTIFS(Settings!$A$59:$A$64,B302)&lt;&gt;1,COUNTIFS(Settings!$A$29:$A$33,E302)&lt;&gt;1),"Unknown department / grade",IF(OR(F302&lt;=0,F302&gt;1,G302&lt;=0,L302&lt;=0,H302&lt;0,I302&lt;0,J302&lt;0,K302&lt;0,K302&gt;1,MIN(M302:X302)&lt;0,W302=0,V302&gt;W302,M302&gt;W302-V302,P302&gt;8,Q302&gt;4,R302&gt;12,S302&gt;12,T302&gt;1,AB302&lt;0),"Review quantity / rate",IF(OR(N302&gt;Settings!$C$17,AK302&gt;Settings!$C$19),"Review benefit ceiling","OK"))))))</x:f>
      </x:c>
    </x:row>
    <x:row r="303" ht="23" customHeight="1">
      <x:c r="A303" s="8"/>
      <x:c r="B303" s="8"/>
      <x:c r="C303" s="8"/>
      <x:c r="D303" s="8"/>
      <x:c r="E303" s="8"/>
      <x:c r="F303" s="20"/>
      <x:c r="G303" s="12"/>
      <x:c r="H303" s="21"/>
      <x:c r="I303" s="20"/>
      <x:c r="J303" s="20"/>
      <x:c r="K303" s="20"/>
      <x:c r="L303" s="12"/>
      <x:c r="M303" s="8"/>
      <x:c r="N303" s="12"/>
      <x:c r="O303" s="8"/>
      <x:c r="P303" s="8"/>
      <x:c r="Q303" s="8"/>
      <x:c r="R303" s="8"/>
      <x:c r="S303" s="8"/>
      <x:c r="T303" s="8"/>
      <x:c r="U303" s="12"/>
      <x:c r="V303" s="8"/>
      <x:c r="W303" s="8"/>
      <x:c r="X303" s="12"/>
      <x:c r="Y303" s="21"/>
      <x:c r="Z303" s="24" t="str">
        <x:f>IF($A303="","",INDEX(Settings!$C$29:$C$33,MATCH(E303,Settings!$A$29:$A$33,0)))</x:f>
      </x:c>
      <x:c r="AA303" s="22" t="str">
        <x:f>IF($A303="","",G303/Z303)</x:f>
      </x:c>
      <x:c r="AB303" s="25" t="str">
        <x:f>IF($A303="","",IF(ISNUMBER(Y303),Y303,Settings!$B$10))</x:f>
      </x:c>
      <x:c r="AC303" s="23" t="str">
        <x:f>IF($A303="","",G303*(1+AB303))</x:f>
      </x:c>
      <x:c r="AD303" s="23" t="str">
        <x:f>IF($A303="","",G303*F303*12)</x:f>
      </x:c>
      <x:c r="AE303" s="23" t="str">
        <x:f>IF($A303="","",G303*F303*J303)</x:f>
      </x:c>
      <x:c r="AF303" s="24" t="str">
        <x:f>IF($A303="","",L303*F303*K303*Settings!$B$13)</x:f>
      </x:c>
      <x:c r="AG303" s="23" t="str">
        <x:f>IF($A303="","",AD303*H303*I303)</x:f>
      </x:c>
      <x:c r="AH303" s="24" t="str">
        <x:f>IF($A303="","",SUM(AD303:AE303,AG303)*SUM(Settings!$B$11:$B$12))</x:f>
      </x:c>
      <x:c r="AI303" s="24" t="str">
        <x:f>IF($A303="","",M303*Settings!$B$16)</x:f>
      </x:c>
      <x:c r="AJ303" s="24" t="str">
        <x:f>IF($A303="","",M303*Settings!$B$15)</x:f>
      </x:c>
      <x:c r="AK303" s="24" t="str">
        <x:f>IF($A303="","",O303*Settings!$B$18)</x:f>
      </x:c>
      <x:c r="AL303" s="24" t="str">
        <x:f>IF($A303="","",P303*Settings!$B$20+Q303*Settings!$B$21+R303*Settings!$B$22+S303*Settings!$B$23)</x:f>
      </x:c>
      <x:c r="AM303" s="24" t="str">
        <x:f>IF($A303="","",T303*Settings!$B$24)</x:f>
      </x:c>
      <x:c r="AN303" s="23" t="str">
        <x:f>IF($A303="","",SUM(AI303,N303,AK303:AM303,U303))</x:f>
      </x:c>
      <x:c r="AO303" s="23" t="str">
        <x:f>IF($A303="","",SUM(AD303:AI303,N303,AK303:AM303,U303))</x:f>
      </x:c>
      <x:c r="AP303" s="24" t="str">
        <x:f>IF($A303="","",G303*F303*AB303*((13-Settings!$B$9)*(1+H303*I303)+J303)*(1+SUM(Settings!$B$11:$B$12)))</x:f>
      </x:c>
      <x:c r="AQ303" s="23" t="str">
        <x:f>IF($A303="","",SUM(AO303:AP303))</x:f>
      </x:c>
      <x:c r="AR303" s="23" t="str">
        <x:f>IF($A303="","",AQ303-X303)</x:f>
      </x:c>
      <x:c r="AS303" s="22" t="str">
        <x:f>IF($A303="","",IF(W303=0,"n.a.",V303/W303))</x:f>
      </x:c>
      <x:c r="AT303" s="26" t="str">
        <x:f>IF($A303="",IF(COUNTA(B303:Y303)&gt;0,"Missing ID",""),IF(COUNTIFS($A$9:$A$508,A303)&gt;1,"Duplicate ID",IF(OR(B303="",C303="",D303="",E303="",COUNT(F303:X303)&lt;&gt;19),"Missing / text input",IF(OR(COUNTIFS(Settings!$A$59:$A$64,B303)&lt;&gt;1,COUNTIFS(Settings!$A$29:$A$33,E303)&lt;&gt;1),"Unknown department / grade",IF(OR(F303&lt;=0,F303&gt;1,G303&lt;=0,L303&lt;=0,H303&lt;0,I303&lt;0,J303&lt;0,K303&lt;0,K303&gt;1,MIN(M303:X303)&lt;0,W303=0,V303&gt;W303,M303&gt;W303-V303,P303&gt;8,Q303&gt;4,R303&gt;12,S303&gt;12,T303&gt;1,AB303&lt;0),"Review quantity / rate",IF(OR(N303&gt;Settings!$C$17,AK303&gt;Settings!$C$19),"Review benefit ceiling","OK"))))))</x:f>
      </x:c>
    </x:row>
    <x:row r="304" ht="23" customHeight="1">
      <x:c r="A304" s="8"/>
      <x:c r="B304" s="8"/>
      <x:c r="C304" s="8"/>
      <x:c r="D304" s="8"/>
      <x:c r="E304" s="8"/>
      <x:c r="F304" s="20"/>
      <x:c r="G304" s="12"/>
      <x:c r="H304" s="21"/>
      <x:c r="I304" s="20"/>
      <x:c r="J304" s="20"/>
      <x:c r="K304" s="20"/>
      <x:c r="L304" s="12"/>
      <x:c r="M304" s="8"/>
      <x:c r="N304" s="12"/>
      <x:c r="O304" s="8"/>
      <x:c r="P304" s="8"/>
      <x:c r="Q304" s="8"/>
      <x:c r="R304" s="8"/>
      <x:c r="S304" s="8"/>
      <x:c r="T304" s="8"/>
      <x:c r="U304" s="12"/>
      <x:c r="V304" s="8"/>
      <x:c r="W304" s="8"/>
      <x:c r="X304" s="12"/>
      <x:c r="Y304" s="21"/>
      <x:c r="Z304" s="24" t="str">
        <x:f>IF($A304="","",INDEX(Settings!$C$29:$C$33,MATCH(E304,Settings!$A$29:$A$33,0)))</x:f>
      </x:c>
      <x:c r="AA304" s="22" t="str">
        <x:f>IF($A304="","",G304/Z304)</x:f>
      </x:c>
      <x:c r="AB304" s="25" t="str">
        <x:f>IF($A304="","",IF(ISNUMBER(Y304),Y304,Settings!$B$10))</x:f>
      </x:c>
      <x:c r="AC304" s="23" t="str">
        <x:f>IF($A304="","",G304*(1+AB304))</x:f>
      </x:c>
      <x:c r="AD304" s="23" t="str">
        <x:f>IF($A304="","",G304*F304*12)</x:f>
      </x:c>
      <x:c r="AE304" s="23" t="str">
        <x:f>IF($A304="","",G304*F304*J304)</x:f>
      </x:c>
      <x:c r="AF304" s="24" t="str">
        <x:f>IF($A304="","",L304*F304*K304*Settings!$B$13)</x:f>
      </x:c>
      <x:c r="AG304" s="23" t="str">
        <x:f>IF($A304="","",AD304*H304*I304)</x:f>
      </x:c>
      <x:c r="AH304" s="24" t="str">
        <x:f>IF($A304="","",SUM(AD304:AE304,AG304)*SUM(Settings!$B$11:$B$12))</x:f>
      </x:c>
      <x:c r="AI304" s="24" t="str">
        <x:f>IF($A304="","",M304*Settings!$B$16)</x:f>
      </x:c>
      <x:c r="AJ304" s="24" t="str">
        <x:f>IF($A304="","",M304*Settings!$B$15)</x:f>
      </x:c>
      <x:c r="AK304" s="24" t="str">
        <x:f>IF($A304="","",O304*Settings!$B$18)</x:f>
      </x:c>
      <x:c r="AL304" s="24" t="str">
        <x:f>IF($A304="","",P304*Settings!$B$20+Q304*Settings!$B$21+R304*Settings!$B$22+S304*Settings!$B$23)</x:f>
      </x:c>
      <x:c r="AM304" s="24" t="str">
        <x:f>IF($A304="","",T304*Settings!$B$24)</x:f>
      </x:c>
      <x:c r="AN304" s="23" t="str">
        <x:f>IF($A304="","",SUM(AI304,N304,AK304:AM304,U304))</x:f>
      </x:c>
      <x:c r="AO304" s="23" t="str">
        <x:f>IF($A304="","",SUM(AD304:AI304,N304,AK304:AM304,U304))</x:f>
      </x:c>
      <x:c r="AP304" s="24" t="str">
        <x:f>IF($A304="","",G304*F304*AB304*((13-Settings!$B$9)*(1+H304*I304)+J304)*(1+SUM(Settings!$B$11:$B$12)))</x:f>
      </x:c>
      <x:c r="AQ304" s="23" t="str">
        <x:f>IF($A304="","",SUM(AO304:AP304))</x:f>
      </x:c>
      <x:c r="AR304" s="23" t="str">
        <x:f>IF($A304="","",AQ304-X304)</x:f>
      </x:c>
      <x:c r="AS304" s="22" t="str">
        <x:f>IF($A304="","",IF(W304=0,"n.a.",V304/W304))</x:f>
      </x:c>
      <x:c r="AT304" s="26" t="str">
        <x:f>IF($A304="",IF(COUNTA(B304:Y304)&gt;0,"Missing ID",""),IF(COUNTIFS($A$9:$A$508,A304)&gt;1,"Duplicate ID",IF(OR(B304="",C304="",D304="",E304="",COUNT(F304:X304)&lt;&gt;19),"Missing / text input",IF(OR(COUNTIFS(Settings!$A$59:$A$64,B304)&lt;&gt;1,COUNTIFS(Settings!$A$29:$A$33,E304)&lt;&gt;1),"Unknown department / grade",IF(OR(F304&lt;=0,F304&gt;1,G304&lt;=0,L304&lt;=0,H304&lt;0,I304&lt;0,J304&lt;0,K304&lt;0,K304&gt;1,MIN(M304:X304)&lt;0,W304=0,V304&gt;W304,M304&gt;W304-V304,P304&gt;8,Q304&gt;4,R304&gt;12,S304&gt;12,T304&gt;1,AB304&lt;0),"Review quantity / rate",IF(OR(N304&gt;Settings!$C$17,AK304&gt;Settings!$C$19),"Review benefit ceiling","OK"))))))</x:f>
      </x:c>
    </x:row>
    <x:row r="305" ht="23" customHeight="1">
      <x:c r="A305" s="8"/>
      <x:c r="B305" s="8"/>
      <x:c r="C305" s="8"/>
      <x:c r="D305" s="8"/>
      <x:c r="E305" s="8"/>
      <x:c r="F305" s="20"/>
      <x:c r="G305" s="12"/>
      <x:c r="H305" s="21"/>
      <x:c r="I305" s="20"/>
      <x:c r="J305" s="20"/>
      <x:c r="K305" s="20"/>
      <x:c r="L305" s="12"/>
      <x:c r="M305" s="8"/>
      <x:c r="N305" s="12"/>
      <x:c r="O305" s="8"/>
      <x:c r="P305" s="8"/>
      <x:c r="Q305" s="8"/>
      <x:c r="R305" s="8"/>
      <x:c r="S305" s="8"/>
      <x:c r="T305" s="8"/>
      <x:c r="U305" s="12"/>
      <x:c r="V305" s="8"/>
      <x:c r="W305" s="8"/>
      <x:c r="X305" s="12"/>
      <x:c r="Y305" s="21"/>
      <x:c r="Z305" s="24" t="str">
        <x:f>IF($A305="","",INDEX(Settings!$C$29:$C$33,MATCH(E305,Settings!$A$29:$A$33,0)))</x:f>
      </x:c>
      <x:c r="AA305" s="22" t="str">
        <x:f>IF($A305="","",G305/Z305)</x:f>
      </x:c>
      <x:c r="AB305" s="25" t="str">
        <x:f>IF($A305="","",IF(ISNUMBER(Y305),Y305,Settings!$B$10))</x:f>
      </x:c>
      <x:c r="AC305" s="23" t="str">
        <x:f>IF($A305="","",G305*(1+AB305))</x:f>
      </x:c>
      <x:c r="AD305" s="23" t="str">
        <x:f>IF($A305="","",G305*F305*12)</x:f>
      </x:c>
      <x:c r="AE305" s="23" t="str">
        <x:f>IF($A305="","",G305*F305*J305)</x:f>
      </x:c>
      <x:c r="AF305" s="24" t="str">
        <x:f>IF($A305="","",L305*F305*K305*Settings!$B$13)</x:f>
      </x:c>
      <x:c r="AG305" s="23" t="str">
        <x:f>IF($A305="","",AD305*H305*I305)</x:f>
      </x:c>
      <x:c r="AH305" s="24" t="str">
        <x:f>IF($A305="","",SUM(AD305:AE305,AG305)*SUM(Settings!$B$11:$B$12))</x:f>
      </x:c>
      <x:c r="AI305" s="24" t="str">
        <x:f>IF($A305="","",M305*Settings!$B$16)</x:f>
      </x:c>
      <x:c r="AJ305" s="24" t="str">
        <x:f>IF($A305="","",M305*Settings!$B$15)</x:f>
      </x:c>
      <x:c r="AK305" s="24" t="str">
        <x:f>IF($A305="","",O305*Settings!$B$18)</x:f>
      </x:c>
      <x:c r="AL305" s="24" t="str">
        <x:f>IF($A305="","",P305*Settings!$B$20+Q305*Settings!$B$21+R305*Settings!$B$22+S305*Settings!$B$23)</x:f>
      </x:c>
      <x:c r="AM305" s="24" t="str">
        <x:f>IF($A305="","",T305*Settings!$B$24)</x:f>
      </x:c>
      <x:c r="AN305" s="23" t="str">
        <x:f>IF($A305="","",SUM(AI305,N305,AK305:AM305,U305))</x:f>
      </x:c>
      <x:c r="AO305" s="23" t="str">
        <x:f>IF($A305="","",SUM(AD305:AI305,N305,AK305:AM305,U305))</x:f>
      </x:c>
      <x:c r="AP305" s="24" t="str">
        <x:f>IF($A305="","",G305*F305*AB305*((13-Settings!$B$9)*(1+H305*I305)+J305)*(1+SUM(Settings!$B$11:$B$12)))</x:f>
      </x:c>
      <x:c r="AQ305" s="23" t="str">
        <x:f>IF($A305="","",SUM(AO305:AP305))</x:f>
      </x:c>
      <x:c r="AR305" s="23" t="str">
        <x:f>IF($A305="","",AQ305-X305)</x:f>
      </x:c>
      <x:c r="AS305" s="22" t="str">
        <x:f>IF($A305="","",IF(W305=0,"n.a.",V305/W305))</x:f>
      </x:c>
      <x:c r="AT305" s="26" t="str">
        <x:f>IF($A305="",IF(COUNTA(B305:Y305)&gt;0,"Missing ID",""),IF(COUNTIFS($A$9:$A$508,A305)&gt;1,"Duplicate ID",IF(OR(B305="",C305="",D305="",E305="",COUNT(F305:X305)&lt;&gt;19),"Missing / text input",IF(OR(COUNTIFS(Settings!$A$59:$A$64,B305)&lt;&gt;1,COUNTIFS(Settings!$A$29:$A$33,E305)&lt;&gt;1),"Unknown department / grade",IF(OR(F305&lt;=0,F305&gt;1,G305&lt;=0,L305&lt;=0,H305&lt;0,I305&lt;0,J305&lt;0,K305&lt;0,K305&gt;1,MIN(M305:X305)&lt;0,W305=0,V305&gt;W305,M305&gt;W305-V305,P305&gt;8,Q305&gt;4,R305&gt;12,S305&gt;12,T305&gt;1,AB305&lt;0),"Review quantity / rate",IF(OR(N305&gt;Settings!$C$17,AK305&gt;Settings!$C$19),"Review benefit ceiling","OK"))))))</x:f>
      </x:c>
    </x:row>
    <x:row r="306" ht="23" customHeight="1">
      <x:c r="A306" s="8"/>
      <x:c r="B306" s="8"/>
      <x:c r="C306" s="8"/>
      <x:c r="D306" s="8"/>
      <x:c r="E306" s="8"/>
      <x:c r="F306" s="20"/>
      <x:c r="G306" s="12"/>
      <x:c r="H306" s="21"/>
      <x:c r="I306" s="20"/>
      <x:c r="J306" s="20"/>
      <x:c r="K306" s="20"/>
      <x:c r="L306" s="12"/>
      <x:c r="M306" s="8"/>
      <x:c r="N306" s="12"/>
      <x:c r="O306" s="8"/>
      <x:c r="P306" s="8"/>
      <x:c r="Q306" s="8"/>
      <x:c r="R306" s="8"/>
      <x:c r="S306" s="8"/>
      <x:c r="T306" s="8"/>
      <x:c r="U306" s="12"/>
      <x:c r="V306" s="8"/>
      <x:c r="W306" s="8"/>
      <x:c r="X306" s="12"/>
      <x:c r="Y306" s="21"/>
      <x:c r="Z306" s="24" t="str">
        <x:f>IF($A306="","",INDEX(Settings!$C$29:$C$33,MATCH(E306,Settings!$A$29:$A$33,0)))</x:f>
      </x:c>
      <x:c r="AA306" s="22" t="str">
        <x:f>IF($A306="","",G306/Z306)</x:f>
      </x:c>
      <x:c r="AB306" s="25" t="str">
        <x:f>IF($A306="","",IF(ISNUMBER(Y306),Y306,Settings!$B$10))</x:f>
      </x:c>
      <x:c r="AC306" s="23" t="str">
        <x:f>IF($A306="","",G306*(1+AB306))</x:f>
      </x:c>
      <x:c r="AD306" s="23" t="str">
        <x:f>IF($A306="","",G306*F306*12)</x:f>
      </x:c>
      <x:c r="AE306" s="23" t="str">
        <x:f>IF($A306="","",G306*F306*J306)</x:f>
      </x:c>
      <x:c r="AF306" s="24" t="str">
        <x:f>IF($A306="","",L306*F306*K306*Settings!$B$13)</x:f>
      </x:c>
      <x:c r="AG306" s="23" t="str">
        <x:f>IF($A306="","",AD306*H306*I306)</x:f>
      </x:c>
      <x:c r="AH306" s="24" t="str">
        <x:f>IF($A306="","",SUM(AD306:AE306,AG306)*SUM(Settings!$B$11:$B$12))</x:f>
      </x:c>
      <x:c r="AI306" s="24" t="str">
        <x:f>IF($A306="","",M306*Settings!$B$16)</x:f>
      </x:c>
      <x:c r="AJ306" s="24" t="str">
        <x:f>IF($A306="","",M306*Settings!$B$15)</x:f>
      </x:c>
      <x:c r="AK306" s="24" t="str">
        <x:f>IF($A306="","",O306*Settings!$B$18)</x:f>
      </x:c>
      <x:c r="AL306" s="24" t="str">
        <x:f>IF($A306="","",P306*Settings!$B$20+Q306*Settings!$B$21+R306*Settings!$B$22+S306*Settings!$B$23)</x:f>
      </x:c>
      <x:c r="AM306" s="24" t="str">
        <x:f>IF($A306="","",T306*Settings!$B$24)</x:f>
      </x:c>
      <x:c r="AN306" s="23" t="str">
        <x:f>IF($A306="","",SUM(AI306,N306,AK306:AM306,U306))</x:f>
      </x:c>
      <x:c r="AO306" s="23" t="str">
        <x:f>IF($A306="","",SUM(AD306:AI306,N306,AK306:AM306,U306))</x:f>
      </x:c>
      <x:c r="AP306" s="24" t="str">
        <x:f>IF($A306="","",G306*F306*AB306*((13-Settings!$B$9)*(1+H306*I306)+J306)*(1+SUM(Settings!$B$11:$B$12)))</x:f>
      </x:c>
      <x:c r="AQ306" s="23" t="str">
        <x:f>IF($A306="","",SUM(AO306:AP306))</x:f>
      </x:c>
      <x:c r="AR306" s="23" t="str">
        <x:f>IF($A306="","",AQ306-X306)</x:f>
      </x:c>
      <x:c r="AS306" s="22" t="str">
        <x:f>IF($A306="","",IF(W306=0,"n.a.",V306/W306))</x:f>
      </x:c>
      <x:c r="AT306" s="26" t="str">
        <x:f>IF($A306="",IF(COUNTA(B306:Y306)&gt;0,"Missing ID",""),IF(COUNTIFS($A$9:$A$508,A306)&gt;1,"Duplicate ID",IF(OR(B306="",C306="",D306="",E306="",COUNT(F306:X306)&lt;&gt;19),"Missing / text input",IF(OR(COUNTIFS(Settings!$A$59:$A$64,B306)&lt;&gt;1,COUNTIFS(Settings!$A$29:$A$33,E306)&lt;&gt;1),"Unknown department / grade",IF(OR(F306&lt;=0,F306&gt;1,G306&lt;=0,L306&lt;=0,H306&lt;0,I306&lt;0,J306&lt;0,K306&lt;0,K306&gt;1,MIN(M306:X306)&lt;0,W306=0,V306&gt;W306,M306&gt;W306-V306,P306&gt;8,Q306&gt;4,R306&gt;12,S306&gt;12,T306&gt;1,AB306&lt;0),"Review quantity / rate",IF(OR(N306&gt;Settings!$C$17,AK306&gt;Settings!$C$19),"Review benefit ceiling","OK"))))))</x:f>
      </x:c>
    </x:row>
    <x:row r="307" ht="23" customHeight="1">
      <x:c r="A307" s="8"/>
      <x:c r="B307" s="8"/>
      <x:c r="C307" s="8"/>
      <x:c r="D307" s="8"/>
      <x:c r="E307" s="8"/>
      <x:c r="F307" s="20"/>
      <x:c r="G307" s="12"/>
      <x:c r="H307" s="21"/>
      <x:c r="I307" s="20"/>
      <x:c r="J307" s="20"/>
      <x:c r="K307" s="20"/>
      <x:c r="L307" s="12"/>
      <x:c r="M307" s="8"/>
      <x:c r="N307" s="12"/>
      <x:c r="O307" s="8"/>
      <x:c r="P307" s="8"/>
      <x:c r="Q307" s="8"/>
      <x:c r="R307" s="8"/>
      <x:c r="S307" s="8"/>
      <x:c r="T307" s="8"/>
      <x:c r="U307" s="12"/>
      <x:c r="V307" s="8"/>
      <x:c r="W307" s="8"/>
      <x:c r="X307" s="12"/>
      <x:c r="Y307" s="21"/>
      <x:c r="Z307" s="24" t="str">
        <x:f>IF($A307="","",INDEX(Settings!$C$29:$C$33,MATCH(E307,Settings!$A$29:$A$33,0)))</x:f>
      </x:c>
      <x:c r="AA307" s="22" t="str">
        <x:f>IF($A307="","",G307/Z307)</x:f>
      </x:c>
      <x:c r="AB307" s="25" t="str">
        <x:f>IF($A307="","",IF(ISNUMBER(Y307),Y307,Settings!$B$10))</x:f>
      </x:c>
      <x:c r="AC307" s="23" t="str">
        <x:f>IF($A307="","",G307*(1+AB307))</x:f>
      </x:c>
      <x:c r="AD307" s="23" t="str">
        <x:f>IF($A307="","",G307*F307*12)</x:f>
      </x:c>
      <x:c r="AE307" s="23" t="str">
        <x:f>IF($A307="","",G307*F307*J307)</x:f>
      </x:c>
      <x:c r="AF307" s="24" t="str">
        <x:f>IF($A307="","",L307*F307*K307*Settings!$B$13)</x:f>
      </x:c>
      <x:c r="AG307" s="23" t="str">
        <x:f>IF($A307="","",AD307*H307*I307)</x:f>
      </x:c>
      <x:c r="AH307" s="24" t="str">
        <x:f>IF($A307="","",SUM(AD307:AE307,AG307)*SUM(Settings!$B$11:$B$12))</x:f>
      </x:c>
      <x:c r="AI307" s="24" t="str">
        <x:f>IF($A307="","",M307*Settings!$B$16)</x:f>
      </x:c>
      <x:c r="AJ307" s="24" t="str">
        <x:f>IF($A307="","",M307*Settings!$B$15)</x:f>
      </x:c>
      <x:c r="AK307" s="24" t="str">
        <x:f>IF($A307="","",O307*Settings!$B$18)</x:f>
      </x:c>
      <x:c r="AL307" s="24" t="str">
        <x:f>IF($A307="","",P307*Settings!$B$20+Q307*Settings!$B$21+R307*Settings!$B$22+S307*Settings!$B$23)</x:f>
      </x:c>
      <x:c r="AM307" s="24" t="str">
        <x:f>IF($A307="","",T307*Settings!$B$24)</x:f>
      </x:c>
      <x:c r="AN307" s="23" t="str">
        <x:f>IF($A307="","",SUM(AI307,N307,AK307:AM307,U307))</x:f>
      </x:c>
      <x:c r="AO307" s="23" t="str">
        <x:f>IF($A307="","",SUM(AD307:AI307,N307,AK307:AM307,U307))</x:f>
      </x:c>
      <x:c r="AP307" s="24" t="str">
        <x:f>IF($A307="","",G307*F307*AB307*((13-Settings!$B$9)*(1+H307*I307)+J307)*(1+SUM(Settings!$B$11:$B$12)))</x:f>
      </x:c>
      <x:c r="AQ307" s="23" t="str">
        <x:f>IF($A307="","",SUM(AO307:AP307))</x:f>
      </x:c>
      <x:c r="AR307" s="23" t="str">
        <x:f>IF($A307="","",AQ307-X307)</x:f>
      </x:c>
      <x:c r="AS307" s="22" t="str">
        <x:f>IF($A307="","",IF(W307=0,"n.a.",V307/W307))</x:f>
      </x:c>
      <x:c r="AT307" s="26" t="str">
        <x:f>IF($A307="",IF(COUNTA(B307:Y307)&gt;0,"Missing ID",""),IF(COUNTIFS($A$9:$A$508,A307)&gt;1,"Duplicate ID",IF(OR(B307="",C307="",D307="",E307="",COUNT(F307:X307)&lt;&gt;19),"Missing / text input",IF(OR(COUNTIFS(Settings!$A$59:$A$64,B307)&lt;&gt;1,COUNTIFS(Settings!$A$29:$A$33,E307)&lt;&gt;1),"Unknown department / grade",IF(OR(F307&lt;=0,F307&gt;1,G307&lt;=0,L307&lt;=0,H307&lt;0,I307&lt;0,J307&lt;0,K307&lt;0,K307&gt;1,MIN(M307:X307)&lt;0,W307=0,V307&gt;W307,M307&gt;W307-V307,P307&gt;8,Q307&gt;4,R307&gt;12,S307&gt;12,T307&gt;1,AB307&lt;0),"Review quantity / rate",IF(OR(N307&gt;Settings!$C$17,AK307&gt;Settings!$C$19),"Review benefit ceiling","OK"))))))</x:f>
      </x:c>
    </x:row>
    <x:row r="308" ht="23" customHeight="1">
      <x:c r="A308" s="8"/>
      <x:c r="B308" s="8"/>
      <x:c r="C308" s="8"/>
      <x:c r="D308" s="8"/>
      <x:c r="E308" s="8"/>
      <x:c r="F308" s="20"/>
      <x:c r="G308" s="12"/>
      <x:c r="H308" s="21"/>
      <x:c r="I308" s="20"/>
      <x:c r="J308" s="20"/>
      <x:c r="K308" s="20"/>
      <x:c r="L308" s="12"/>
      <x:c r="M308" s="8"/>
      <x:c r="N308" s="12"/>
      <x:c r="O308" s="8"/>
      <x:c r="P308" s="8"/>
      <x:c r="Q308" s="8"/>
      <x:c r="R308" s="8"/>
      <x:c r="S308" s="8"/>
      <x:c r="T308" s="8"/>
      <x:c r="U308" s="12"/>
      <x:c r="V308" s="8"/>
      <x:c r="W308" s="8"/>
      <x:c r="X308" s="12"/>
      <x:c r="Y308" s="21"/>
      <x:c r="Z308" s="24" t="str">
        <x:f>IF($A308="","",INDEX(Settings!$C$29:$C$33,MATCH(E308,Settings!$A$29:$A$33,0)))</x:f>
      </x:c>
      <x:c r="AA308" s="22" t="str">
        <x:f>IF($A308="","",G308/Z308)</x:f>
      </x:c>
      <x:c r="AB308" s="25" t="str">
        <x:f>IF($A308="","",IF(ISNUMBER(Y308),Y308,Settings!$B$10))</x:f>
      </x:c>
      <x:c r="AC308" s="23" t="str">
        <x:f>IF($A308="","",G308*(1+AB308))</x:f>
      </x:c>
      <x:c r="AD308" s="23" t="str">
        <x:f>IF($A308="","",G308*F308*12)</x:f>
      </x:c>
      <x:c r="AE308" s="23" t="str">
        <x:f>IF($A308="","",G308*F308*J308)</x:f>
      </x:c>
      <x:c r="AF308" s="24" t="str">
        <x:f>IF($A308="","",L308*F308*K308*Settings!$B$13)</x:f>
      </x:c>
      <x:c r="AG308" s="23" t="str">
        <x:f>IF($A308="","",AD308*H308*I308)</x:f>
      </x:c>
      <x:c r="AH308" s="24" t="str">
        <x:f>IF($A308="","",SUM(AD308:AE308,AG308)*SUM(Settings!$B$11:$B$12))</x:f>
      </x:c>
      <x:c r="AI308" s="24" t="str">
        <x:f>IF($A308="","",M308*Settings!$B$16)</x:f>
      </x:c>
      <x:c r="AJ308" s="24" t="str">
        <x:f>IF($A308="","",M308*Settings!$B$15)</x:f>
      </x:c>
      <x:c r="AK308" s="24" t="str">
        <x:f>IF($A308="","",O308*Settings!$B$18)</x:f>
      </x:c>
      <x:c r="AL308" s="24" t="str">
        <x:f>IF($A308="","",P308*Settings!$B$20+Q308*Settings!$B$21+R308*Settings!$B$22+S308*Settings!$B$23)</x:f>
      </x:c>
      <x:c r="AM308" s="24" t="str">
        <x:f>IF($A308="","",T308*Settings!$B$24)</x:f>
      </x:c>
      <x:c r="AN308" s="23" t="str">
        <x:f>IF($A308="","",SUM(AI308,N308,AK308:AM308,U308))</x:f>
      </x:c>
      <x:c r="AO308" s="23" t="str">
        <x:f>IF($A308="","",SUM(AD308:AI308,N308,AK308:AM308,U308))</x:f>
      </x:c>
      <x:c r="AP308" s="24" t="str">
        <x:f>IF($A308="","",G308*F308*AB308*((13-Settings!$B$9)*(1+H308*I308)+J308)*(1+SUM(Settings!$B$11:$B$12)))</x:f>
      </x:c>
      <x:c r="AQ308" s="23" t="str">
        <x:f>IF($A308="","",SUM(AO308:AP308))</x:f>
      </x:c>
      <x:c r="AR308" s="23" t="str">
        <x:f>IF($A308="","",AQ308-X308)</x:f>
      </x:c>
      <x:c r="AS308" s="22" t="str">
        <x:f>IF($A308="","",IF(W308=0,"n.a.",V308/W308))</x:f>
      </x:c>
      <x:c r="AT308" s="26" t="str">
        <x:f>IF($A308="",IF(COUNTA(B308:Y308)&gt;0,"Missing ID",""),IF(COUNTIFS($A$9:$A$508,A308)&gt;1,"Duplicate ID",IF(OR(B308="",C308="",D308="",E308="",COUNT(F308:X308)&lt;&gt;19),"Missing / text input",IF(OR(COUNTIFS(Settings!$A$59:$A$64,B308)&lt;&gt;1,COUNTIFS(Settings!$A$29:$A$33,E308)&lt;&gt;1),"Unknown department / grade",IF(OR(F308&lt;=0,F308&gt;1,G308&lt;=0,L308&lt;=0,H308&lt;0,I308&lt;0,J308&lt;0,K308&lt;0,K308&gt;1,MIN(M308:X308)&lt;0,W308=0,V308&gt;W308,M308&gt;W308-V308,P308&gt;8,Q308&gt;4,R308&gt;12,S308&gt;12,T308&gt;1,AB308&lt;0),"Review quantity / rate",IF(OR(N308&gt;Settings!$C$17,AK308&gt;Settings!$C$19),"Review benefit ceiling","OK"))))))</x:f>
      </x:c>
    </x:row>
    <x:row r="309" ht="23" customHeight="1">
      <x:c r="A309" s="8"/>
      <x:c r="B309" s="8"/>
      <x:c r="C309" s="8"/>
      <x:c r="D309" s="8"/>
      <x:c r="E309" s="8"/>
      <x:c r="F309" s="20"/>
      <x:c r="G309" s="12"/>
      <x:c r="H309" s="21"/>
      <x:c r="I309" s="20"/>
      <x:c r="J309" s="20"/>
      <x:c r="K309" s="20"/>
      <x:c r="L309" s="12"/>
      <x:c r="M309" s="8"/>
      <x:c r="N309" s="12"/>
      <x:c r="O309" s="8"/>
      <x:c r="P309" s="8"/>
      <x:c r="Q309" s="8"/>
      <x:c r="R309" s="8"/>
      <x:c r="S309" s="8"/>
      <x:c r="T309" s="8"/>
      <x:c r="U309" s="12"/>
      <x:c r="V309" s="8"/>
      <x:c r="W309" s="8"/>
      <x:c r="X309" s="12"/>
      <x:c r="Y309" s="21"/>
      <x:c r="Z309" s="24" t="str">
        <x:f>IF($A309="","",INDEX(Settings!$C$29:$C$33,MATCH(E309,Settings!$A$29:$A$33,0)))</x:f>
      </x:c>
      <x:c r="AA309" s="22" t="str">
        <x:f>IF($A309="","",G309/Z309)</x:f>
      </x:c>
      <x:c r="AB309" s="25" t="str">
        <x:f>IF($A309="","",IF(ISNUMBER(Y309),Y309,Settings!$B$10))</x:f>
      </x:c>
      <x:c r="AC309" s="23" t="str">
        <x:f>IF($A309="","",G309*(1+AB309))</x:f>
      </x:c>
      <x:c r="AD309" s="23" t="str">
        <x:f>IF($A309="","",G309*F309*12)</x:f>
      </x:c>
      <x:c r="AE309" s="23" t="str">
        <x:f>IF($A309="","",G309*F309*J309)</x:f>
      </x:c>
      <x:c r="AF309" s="24" t="str">
        <x:f>IF($A309="","",L309*F309*K309*Settings!$B$13)</x:f>
      </x:c>
      <x:c r="AG309" s="23" t="str">
        <x:f>IF($A309="","",AD309*H309*I309)</x:f>
      </x:c>
      <x:c r="AH309" s="24" t="str">
        <x:f>IF($A309="","",SUM(AD309:AE309,AG309)*SUM(Settings!$B$11:$B$12))</x:f>
      </x:c>
      <x:c r="AI309" s="24" t="str">
        <x:f>IF($A309="","",M309*Settings!$B$16)</x:f>
      </x:c>
      <x:c r="AJ309" s="24" t="str">
        <x:f>IF($A309="","",M309*Settings!$B$15)</x:f>
      </x:c>
      <x:c r="AK309" s="24" t="str">
        <x:f>IF($A309="","",O309*Settings!$B$18)</x:f>
      </x:c>
      <x:c r="AL309" s="24" t="str">
        <x:f>IF($A309="","",P309*Settings!$B$20+Q309*Settings!$B$21+R309*Settings!$B$22+S309*Settings!$B$23)</x:f>
      </x:c>
      <x:c r="AM309" s="24" t="str">
        <x:f>IF($A309="","",T309*Settings!$B$24)</x:f>
      </x:c>
      <x:c r="AN309" s="23" t="str">
        <x:f>IF($A309="","",SUM(AI309,N309,AK309:AM309,U309))</x:f>
      </x:c>
      <x:c r="AO309" s="23" t="str">
        <x:f>IF($A309="","",SUM(AD309:AI309,N309,AK309:AM309,U309))</x:f>
      </x:c>
      <x:c r="AP309" s="24" t="str">
        <x:f>IF($A309="","",G309*F309*AB309*((13-Settings!$B$9)*(1+H309*I309)+J309)*(1+SUM(Settings!$B$11:$B$12)))</x:f>
      </x:c>
      <x:c r="AQ309" s="23" t="str">
        <x:f>IF($A309="","",SUM(AO309:AP309))</x:f>
      </x:c>
      <x:c r="AR309" s="23" t="str">
        <x:f>IF($A309="","",AQ309-X309)</x:f>
      </x:c>
      <x:c r="AS309" s="22" t="str">
        <x:f>IF($A309="","",IF(W309=0,"n.a.",V309/W309))</x:f>
      </x:c>
      <x:c r="AT309" s="26" t="str">
        <x:f>IF($A309="",IF(COUNTA(B309:Y309)&gt;0,"Missing ID",""),IF(COUNTIFS($A$9:$A$508,A309)&gt;1,"Duplicate ID",IF(OR(B309="",C309="",D309="",E309="",COUNT(F309:X309)&lt;&gt;19),"Missing / text input",IF(OR(COUNTIFS(Settings!$A$59:$A$64,B309)&lt;&gt;1,COUNTIFS(Settings!$A$29:$A$33,E309)&lt;&gt;1),"Unknown department / grade",IF(OR(F309&lt;=0,F309&gt;1,G309&lt;=0,L309&lt;=0,H309&lt;0,I309&lt;0,J309&lt;0,K309&lt;0,K309&gt;1,MIN(M309:X309)&lt;0,W309=0,V309&gt;W309,M309&gt;W309-V309,P309&gt;8,Q309&gt;4,R309&gt;12,S309&gt;12,T309&gt;1,AB309&lt;0),"Review quantity / rate",IF(OR(N309&gt;Settings!$C$17,AK309&gt;Settings!$C$19),"Review benefit ceiling","OK"))))))</x:f>
      </x:c>
    </x:row>
    <x:row r="310" ht="23" customHeight="1">
      <x:c r="A310" s="8"/>
      <x:c r="B310" s="8"/>
      <x:c r="C310" s="8"/>
      <x:c r="D310" s="8"/>
      <x:c r="E310" s="8"/>
      <x:c r="F310" s="20"/>
      <x:c r="G310" s="12"/>
      <x:c r="H310" s="21"/>
      <x:c r="I310" s="20"/>
      <x:c r="J310" s="20"/>
      <x:c r="K310" s="20"/>
      <x:c r="L310" s="12"/>
      <x:c r="M310" s="8"/>
      <x:c r="N310" s="12"/>
      <x:c r="O310" s="8"/>
      <x:c r="P310" s="8"/>
      <x:c r="Q310" s="8"/>
      <x:c r="R310" s="8"/>
      <x:c r="S310" s="8"/>
      <x:c r="T310" s="8"/>
      <x:c r="U310" s="12"/>
      <x:c r="V310" s="8"/>
      <x:c r="W310" s="8"/>
      <x:c r="X310" s="12"/>
      <x:c r="Y310" s="21"/>
      <x:c r="Z310" s="24" t="str">
        <x:f>IF($A310="","",INDEX(Settings!$C$29:$C$33,MATCH(E310,Settings!$A$29:$A$33,0)))</x:f>
      </x:c>
      <x:c r="AA310" s="22" t="str">
        <x:f>IF($A310="","",G310/Z310)</x:f>
      </x:c>
      <x:c r="AB310" s="25" t="str">
        <x:f>IF($A310="","",IF(ISNUMBER(Y310),Y310,Settings!$B$10))</x:f>
      </x:c>
      <x:c r="AC310" s="23" t="str">
        <x:f>IF($A310="","",G310*(1+AB310))</x:f>
      </x:c>
      <x:c r="AD310" s="23" t="str">
        <x:f>IF($A310="","",G310*F310*12)</x:f>
      </x:c>
      <x:c r="AE310" s="23" t="str">
        <x:f>IF($A310="","",G310*F310*J310)</x:f>
      </x:c>
      <x:c r="AF310" s="24" t="str">
        <x:f>IF($A310="","",L310*F310*K310*Settings!$B$13)</x:f>
      </x:c>
      <x:c r="AG310" s="23" t="str">
        <x:f>IF($A310="","",AD310*H310*I310)</x:f>
      </x:c>
      <x:c r="AH310" s="24" t="str">
        <x:f>IF($A310="","",SUM(AD310:AE310,AG310)*SUM(Settings!$B$11:$B$12))</x:f>
      </x:c>
      <x:c r="AI310" s="24" t="str">
        <x:f>IF($A310="","",M310*Settings!$B$16)</x:f>
      </x:c>
      <x:c r="AJ310" s="24" t="str">
        <x:f>IF($A310="","",M310*Settings!$B$15)</x:f>
      </x:c>
      <x:c r="AK310" s="24" t="str">
        <x:f>IF($A310="","",O310*Settings!$B$18)</x:f>
      </x:c>
      <x:c r="AL310" s="24" t="str">
        <x:f>IF($A310="","",P310*Settings!$B$20+Q310*Settings!$B$21+R310*Settings!$B$22+S310*Settings!$B$23)</x:f>
      </x:c>
      <x:c r="AM310" s="24" t="str">
        <x:f>IF($A310="","",T310*Settings!$B$24)</x:f>
      </x:c>
      <x:c r="AN310" s="23" t="str">
        <x:f>IF($A310="","",SUM(AI310,N310,AK310:AM310,U310))</x:f>
      </x:c>
      <x:c r="AO310" s="23" t="str">
        <x:f>IF($A310="","",SUM(AD310:AI310,N310,AK310:AM310,U310))</x:f>
      </x:c>
      <x:c r="AP310" s="24" t="str">
        <x:f>IF($A310="","",G310*F310*AB310*((13-Settings!$B$9)*(1+H310*I310)+J310)*(1+SUM(Settings!$B$11:$B$12)))</x:f>
      </x:c>
      <x:c r="AQ310" s="23" t="str">
        <x:f>IF($A310="","",SUM(AO310:AP310))</x:f>
      </x:c>
      <x:c r="AR310" s="23" t="str">
        <x:f>IF($A310="","",AQ310-X310)</x:f>
      </x:c>
      <x:c r="AS310" s="22" t="str">
        <x:f>IF($A310="","",IF(W310=0,"n.a.",V310/W310))</x:f>
      </x:c>
      <x:c r="AT310" s="26" t="str">
        <x:f>IF($A310="",IF(COUNTA(B310:Y310)&gt;0,"Missing ID",""),IF(COUNTIFS($A$9:$A$508,A310)&gt;1,"Duplicate ID",IF(OR(B310="",C310="",D310="",E310="",COUNT(F310:X310)&lt;&gt;19),"Missing / text input",IF(OR(COUNTIFS(Settings!$A$59:$A$64,B310)&lt;&gt;1,COUNTIFS(Settings!$A$29:$A$33,E310)&lt;&gt;1),"Unknown department / grade",IF(OR(F310&lt;=0,F310&gt;1,G310&lt;=0,L310&lt;=0,H310&lt;0,I310&lt;0,J310&lt;0,K310&lt;0,K310&gt;1,MIN(M310:X310)&lt;0,W310=0,V310&gt;W310,M310&gt;W310-V310,P310&gt;8,Q310&gt;4,R310&gt;12,S310&gt;12,T310&gt;1,AB310&lt;0),"Review quantity / rate",IF(OR(N310&gt;Settings!$C$17,AK310&gt;Settings!$C$19),"Review benefit ceiling","OK"))))))</x:f>
      </x:c>
    </x:row>
    <x:row r="311" ht="23" customHeight="1">
      <x:c r="A311" s="8"/>
      <x:c r="B311" s="8"/>
      <x:c r="C311" s="8"/>
      <x:c r="D311" s="8"/>
      <x:c r="E311" s="8"/>
      <x:c r="F311" s="20"/>
      <x:c r="G311" s="12"/>
      <x:c r="H311" s="21"/>
      <x:c r="I311" s="20"/>
      <x:c r="J311" s="20"/>
      <x:c r="K311" s="20"/>
      <x:c r="L311" s="12"/>
      <x:c r="M311" s="8"/>
      <x:c r="N311" s="12"/>
      <x:c r="O311" s="8"/>
      <x:c r="P311" s="8"/>
      <x:c r="Q311" s="8"/>
      <x:c r="R311" s="8"/>
      <x:c r="S311" s="8"/>
      <x:c r="T311" s="8"/>
      <x:c r="U311" s="12"/>
      <x:c r="V311" s="8"/>
      <x:c r="W311" s="8"/>
      <x:c r="X311" s="12"/>
      <x:c r="Y311" s="21"/>
      <x:c r="Z311" s="24" t="str">
        <x:f>IF($A311="","",INDEX(Settings!$C$29:$C$33,MATCH(E311,Settings!$A$29:$A$33,0)))</x:f>
      </x:c>
      <x:c r="AA311" s="22" t="str">
        <x:f>IF($A311="","",G311/Z311)</x:f>
      </x:c>
      <x:c r="AB311" s="25" t="str">
        <x:f>IF($A311="","",IF(ISNUMBER(Y311),Y311,Settings!$B$10))</x:f>
      </x:c>
      <x:c r="AC311" s="23" t="str">
        <x:f>IF($A311="","",G311*(1+AB311))</x:f>
      </x:c>
      <x:c r="AD311" s="23" t="str">
        <x:f>IF($A311="","",G311*F311*12)</x:f>
      </x:c>
      <x:c r="AE311" s="23" t="str">
        <x:f>IF($A311="","",G311*F311*J311)</x:f>
      </x:c>
      <x:c r="AF311" s="24" t="str">
        <x:f>IF($A311="","",L311*F311*K311*Settings!$B$13)</x:f>
      </x:c>
      <x:c r="AG311" s="23" t="str">
        <x:f>IF($A311="","",AD311*H311*I311)</x:f>
      </x:c>
      <x:c r="AH311" s="24" t="str">
        <x:f>IF($A311="","",SUM(AD311:AE311,AG311)*SUM(Settings!$B$11:$B$12))</x:f>
      </x:c>
      <x:c r="AI311" s="24" t="str">
        <x:f>IF($A311="","",M311*Settings!$B$16)</x:f>
      </x:c>
      <x:c r="AJ311" s="24" t="str">
        <x:f>IF($A311="","",M311*Settings!$B$15)</x:f>
      </x:c>
      <x:c r="AK311" s="24" t="str">
        <x:f>IF($A311="","",O311*Settings!$B$18)</x:f>
      </x:c>
      <x:c r="AL311" s="24" t="str">
        <x:f>IF($A311="","",P311*Settings!$B$20+Q311*Settings!$B$21+R311*Settings!$B$22+S311*Settings!$B$23)</x:f>
      </x:c>
      <x:c r="AM311" s="24" t="str">
        <x:f>IF($A311="","",T311*Settings!$B$24)</x:f>
      </x:c>
      <x:c r="AN311" s="23" t="str">
        <x:f>IF($A311="","",SUM(AI311,N311,AK311:AM311,U311))</x:f>
      </x:c>
      <x:c r="AO311" s="23" t="str">
        <x:f>IF($A311="","",SUM(AD311:AI311,N311,AK311:AM311,U311))</x:f>
      </x:c>
      <x:c r="AP311" s="24" t="str">
        <x:f>IF($A311="","",G311*F311*AB311*((13-Settings!$B$9)*(1+H311*I311)+J311)*(1+SUM(Settings!$B$11:$B$12)))</x:f>
      </x:c>
      <x:c r="AQ311" s="23" t="str">
        <x:f>IF($A311="","",SUM(AO311:AP311))</x:f>
      </x:c>
      <x:c r="AR311" s="23" t="str">
        <x:f>IF($A311="","",AQ311-X311)</x:f>
      </x:c>
      <x:c r="AS311" s="22" t="str">
        <x:f>IF($A311="","",IF(W311=0,"n.a.",V311/W311))</x:f>
      </x:c>
      <x:c r="AT311" s="26" t="str">
        <x:f>IF($A311="",IF(COUNTA(B311:Y311)&gt;0,"Missing ID",""),IF(COUNTIFS($A$9:$A$508,A311)&gt;1,"Duplicate ID",IF(OR(B311="",C311="",D311="",E311="",COUNT(F311:X311)&lt;&gt;19),"Missing / text input",IF(OR(COUNTIFS(Settings!$A$59:$A$64,B311)&lt;&gt;1,COUNTIFS(Settings!$A$29:$A$33,E311)&lt;&gt;1),"Unknown department / grade",IF(OR(F311&lt;=0,F311&gt;1,G311&lt;=0,L311&lt;=0,H311&lt;0,I311&lt;0,J311&lt;0,K311&lt;0,K311&gt;1,MIN(M311:X311)&lt;0,W311=0,V311&gt;W311,M311&gt;W311-V311,P311&gt;8,Q311&gt;4,R311&gt;12,S311&gt;12,T311&gt;1,AB311&lt;0),"Review quantity / rate",IF(OR(N311&gt;Settings!$C$17,AK311&gt;Settings!$C$19),"Review benefit ceiling","OK"))))))</x:f>
      </x:c>
    </x:row>
    <x:row r="312" ht="23" customHeight="1">
      <x:c r="A312" s="8"/>
      <x:c r="B312" s="8"/>
      <x:c r="C312" s="8"/>
      <x:c r="D312" s="8"/>
      <x:c r="E312" s="8"/>
      <x:c r="F312" s="20"/>
      <x:c r="G312" s="12"/>
      <x:c r="H312" s="21"/>
      <x:c r="I312" s="20"/>
      <x:c r="J312" s="20"/>
      <x:c r="K312" s="20"/>
      <x:c r="L312" s="12"/>
      <x:c r="M312" s="8"/>
      <x:c r="N312" s="12"/>
      <x:c r="O312" s="8"/>
      <x:c r="P312" s="8"/>
      <x:c r="Q312" s="8"/>
      <x:c r="R312" s="8"/>
      <x:c r="S312" s="8"/>
      <x:c r="T312" s="8"/>
      <x:c r="U312" s="12"/>
      <x:c r="V312" s="8"/>
      <x:c r="W312" s="8"/>
      <x:c r="X312" s="12"/>
      <x:c r="Y312" s="21"/>
      <x:c r="Z312" s="24" t="str">
        <x:f>IF($A312="","",INDEX(Settings!$C$29:$C$33,MATCH(E312,Settings!$A$29:$A$33,0)))</x:f>
      </x:c>
      <x:c r="AA312" s="22" t="str">
        <x:f>IF($A312="","",G312/Z312)</x:f>
      </x:c>
      <x:c r="AB312" s="25" t="str">
        <x:f>IF($A312="","",IF(ISNUMBER(Y312),Y312,Settings!$B$10))</x:f>
      </x:c>
      <x:c r="AC312" s="23" t="str">
        <x:f>IF($A312="","",G312*(1+AB312))</x:f>
      </x:c>
      <x:c r="AD312" s="23" t="str">
        <x:f>IF($A312="","",G312*F312*12)</x:f>
      </x:c>
      <x:c r="AE312" s="23" t="str">
        <x:f>IF($A312="","",G312*F312*J312)</x:f>
      </x:c>
      <x:c r="AF312" s="24" t="str">
        <x:f>IF($A312="","",L312*F312*K312*Settings!$B$13)</x:f>
      </x:c>
      <x:c r="AG312" s="23" t="str">
        <x:f>IF($A312="","",AD312*H312*I312)</x:f>
      </x:c>
      <x:c r="AH312" s="24" t="str">
        <x:f>IF($A312="","",SUM(AD312:AE312,AG312)*SUM(Settings!$B$11:$B$12))</x:f>
      </x:c>
      <x:c r="AI312" s="24" t="str">
        <x:f>IF($A312="","",M312*Settings!$B$16)</x:f>
      </x:c>
      <x:c r="AJ312" s="24" t="str">
        <x:f>IF($A312="","",M312*Settings!$B$15)</x:f>
      </x:c>
      <x:c r="AK312" s="24" t="str">
        <x:f>IF($A312="","",O312*Settings!$B$18)</x:f>
      </x:c>
      <x:c r="AL312" s="24" t="str">
        <x:f>IF($A312="","",P312*Settings!$B$20+Q312*Settings!$B$21+R312*Settings!$B$22+S312*Settings!$B$23)</x:f>
      </x:c>
      <x:c r="AM312" s="24" t="str">
        <x:f>IF($A312="","",T312*Settings!$B$24)</x:f>
      </x:c>
      <x:c r="AN312" s="23" t="str">
        <x:f>IF($A312="","",SUM(AI312,N312,AK312:AM312,U312))</x:f>
      </x:c>
      <x:c r="AO312" s="23" t="str">
        <x:f>IF($A312="","",SUM(AD312:AI312,N312,AK312:AM312,U312))</x:f>
      </x:c>
      <x:c r="AP312" s="24" t="str">
        <x:f>IF($A312="","",G312*F312*AB312*((13-Settings!$B$9)*(1+H312*I312)+J312)*(1+SUM(Settings!$B$11:$B$12)))</x:f>
      </x:c>
      <x:c r="AQ312" s="23" t="str">
        <x:f>IF($A312="","",SUM(AO312:AP312))</x:f>
      </x:c>
      <x:c r="AR312" s="23" t="str">
        <x:f>IF($A312="","",AQ312-X312)</x:f>
      </x:c>
      <x:c r="AS312" s="22" t="str">
        <x:f>IF($A312="","",IF(W312=0,"n.a.",V312/W312))</x:f>
      </x:c>
      <x:c r="AT312" s="26" t="str">
        <x:f>IF($A312="",IF(COUNTA(B312:Y312)&gt;0,"Missing ID",""),IF(COUNTIFS($A$9:$A$508,A312)&gt;1,"Duplicate ID",IF(OR(B312="",C312="",D312="",E312="",COUNT(F312:X312)&lt;&gt;19),"Missing / text input",IF(OR(COUNTIFS(Settings!$A$59:$A$64,B312)&lt;&gt;1,COUNTIFS(Settings!$A$29:$A$33,E312)&lt;&gt;1),"Unknown department / grade",IF(OR(F312&lt;=0,F312&gt;1,G312&lt;=0,L312&lt;=0,H312&lt;0,I312&lt;0,J312&lt;0,K312&lt;0,K312&gt;1,MIN(M312:X312)&lt;0,W312=0,V312&gt;W312,M312&gt;W312-V312,P312&gt;8,Q312&gt;4,R312&gt;12,S312&gt;12,T312&gt;1,AB312&lt;0),"Review quantity / rate",IF(OR(N312&gt;Settings!$C$17,AK312&gt;Settings!$C$19),"Review benefit ceiling","OK"))))))</x:f>
      </x:c>
    </x:row>
    <x:row r="313" ht="23" customHeight="1">
      <x:c r="A313" s="8"/>
      <x:c r="B313" s="8"/>
      <x:c r="C313" s="8"/>
      <x:c r="D313" s="8"/>
      <x:c r="E313" s="8"/>
      <x:c r="F313" s="20"/>
      <x:c r="G313" s="12"/>
      <x:c r="H313" s="21"/>
      <x:c r="I313" s="20"/>
      <x:c r="J313" s="20"/>
      <x:c r="K313" s="20"/>
      <x:c r="L313" s="12"/>
      <x:c r="M313" s="8"/>
      <x:c r="N313" s="12"/>
      <x:c r="O313" s="8"/>
      <x:c r="P313" s="8"/>
      <x:c r="Q313" s="8"/>
      <x:c r="R313" s="8"/>
      <x:c r="S313" s="8"/>
      <x:c r="T313" s="8"/>
      <x:c r="U313" s="12"/>
      <x:c r="V313" s="8"/>
      <x:c r="W313" s="8"/>
      <x:c r="X313" s="12"/>
      <x:c r="Y313" s="21"/>
      <x:c r="Z313" s="24" t="str">
        <x:f>IF($A313="","",INDEX(Settings!$C$29:$C$33,MATCH(E313,Settings!$A$29:$A$33,0)))</x:f>
      </x:c>
      <x:c r="AA313" s="22" t="str">
        <x:f>IF($A313="","",G313/Z313)</x:f>
      </x:c>
      <x:c r="AB313" s="25" t="str">
        <x:f>IF($A313="","",IF(ISNUMBER(Y313),Y313,Settings!$B$10))</x:f>
      </x:c>
      <x:c r="AC313" s="23" t="str">
        <x:f>IF($A313="","",G313*(1+AB313))</x:f>
      </x:c>
      <x:c r="AD313" s="23" t="str">
        <x:f>IF($A313="","",G313*F313*12)</x:f>
      </x:c>
      <x:c r="AE313" s="23" t="str">
        <x:f>IF($A313="","",G313*F313*J313)</x:f>
      </x:c>
      <x:c r="AF313" s="24" t="str">
        <x:f>IF($A313="","",L313*F313*K313*Settings!$B$13)</x:f>
      </x:c>
      <x:c r="AG313" s="23" t="str">
        <x:f>IF($A313="","",AD313*H313*I313)</x:f>
      </x:c>
      <x:c r="AH313" s="24" t="str">
        <x:f>IF($A313="","",SUM(AD313:AE313,AG313)*SUM(Settings!$B$11:$B$12))</x:f>
      </x:c>
      <x:c r="AI313" s="24" t="str">
        <x:f>IF($A313="","",M313*Settings!$B$16)</x:f>
      </x:c>
      <x:c r="AJ313" s="24" t="str">
        <x:f>IF($A313="","",M313*Settings!$B$15)</x:f>
      </x:c>
      <x:c r="AK313" s="24" t="str">
        <x:f>IF($A313="","",O313*Settings!$B$18)</x:f>
      </x:c>
      <x:c r="AL313" s="24" t="str">
        <x:f>IF($A313="","",P313*Settings!$B$20+Q313*Settings!$B$21+R313*Settings!$B$22+S313*Settings!$B$23)</x:f>
      </x:c>
      <x:c r="AM313" s="24" t="str">
        <x:f>IF($A313="","",T313*Settings!$B$24)</x:f>
      </x:c>
      <x:c r="AN313" s="23" t="str">
        <x:f>IF($A313="","",SUM(AI313,N313,AK313:AM313,U313))</x:f>
      </x:c>
      <x:c r="AO313" s="23" t="str">
        <x:f>IF($A313="","",SUM(AD313:AI313,N313,AK313:AM313,U313))</x:f>
      </x:c>
      <x:c r="AP313" s="24" t="str">
        <x:f>IF($A313="","",G313*F313*AB313*((13-Settings!$B$9)*(1+H313*I313)+J313)*(1+SUM(Settings!$B$11:$B$12)))</x:f>
      </x:c>
      <x:c r="AQ313" s="23" t="str">
        <x:f>IF($A313="","",SUM(AO313:AP313))</x:f>
      </x:c>
      <x:c r="AR313" s="23" t="str">
        <x:f>IF($A313="","",AQ313-X313)</x:f>
      </x:c>
      <x:c r="AS313" s="22" t="str">
        <x:f>IF($A313="","",IF(W313=0,"n.a.",V313/W313))</x:f>
      </x:c>
      <x:c r="AT313" s="26" t="str">
        <x:f>IF($A313="",IF(COUNTA(B313:Y313)&gt;0,"Missing ID",""),IF(COUNTIFS($A$9:$A$508,A313)&gt;1,"Duplicate ID",IF(OR(B313="",C313="",D313="",E313="",COUNT(F313:X313)&lt;&gt;19),"Missing / text input",IF(OR(COUNTIFS(Settings!$A$59:$A$64,B313)&lt;&gt;1,COUNTIFS(Settings!$A$29:$A$33,E313)&lt;&gt;1),"Unknown department / grade",IF(OR(F313&lt;=0,F313&gt;1,G313&lt;=0,L313&lt;=0,H313&lt;0,I313&lt;0,J313&lt;0,K313&lt;0,K313&gt;1,MIN(M313:X313)&lt;0,W313=0,V313&gt;W313,M313&gt;W313-V313,P313&gt;8,Q313&gt;4,R313&gt;12,S313&gt;12,T313&gt;1,AB313&lt;0),"Review quantity / rate",IF(OR(N313&gt;Settings!$C$17,AK313&gt;Settings!$C$19),"Review benefit ceiling","OK"))))))</x:f>
      </x:c>
    </x:row>
    <x:row r="314" ht="23" customHeight="1">
      <x:c r="A314" s="8"/>
      <x:c r="B314" s="8"/>
      <x:c r="C314" s="8"/>
      <x:c r="D314" s="8"/>
      <x:c r="E314" s="8"/>
      <x:c r="F314" s="20"/>
      <x:c r="G314" s="12"/>
      <x:c r="H314" s="21"/>
      <x:c r="I314" s="20"/>
      <x:c r="J314" s="20"/>
      <x:c r="K314" s="20"/>
      <x:c r="L314" s="12"/>
      <x:c r="M314" s="8"/>
      <x:c r="N314" s="12"/>
      <x:c r="O314" s="8"/>
      <x:c r="P314" s="8"/>
      <x:c r="Q314" s="8"/>
      <x:c r="R314" s="8"/>
      <x:c r="S314" s="8"/>
      <x:c r="T314" s="8"/>
      <x:c r="U314" s="12"/>
      <x:c r="V314" s="8"/>
      <x:c r="W314" s="8"/>
      <x:c r="X314" s="12"/>
      <x:c r="Y314" s="21"/>
      <x:c r="Z314" s="24" t="str">
        <x:f>IF($A314="","",INDEX(Settings!$C$29:$C$33,MATCH(E314,Settings!$A$29:$A$33,0)))</x:f>
      </x:c>
      <x:c r="AA314" s="22" t="str">
        <x:f>IF($A314="","",G314/Z314)</x:f>
      </x:c>
      <x:c r="AB314" s="25" t="str">
        <x:f>IF($A314="","",IF(ISNUMBER(Y314),Y314,Settings!$B$10))</x:f>
      </x:c>
      <x:c r="AC314" s="23" t="str">
        <x:f>IF($A314="","",G314*(1+AB314))</x:f>
      </x:c>
      <x:c r="AD314" s="23" t="str">
        <x:f>IF($A314="","",G314*F314*12)</x:f>
      </x:c>
      <x:c r="AE314" s="23" t="str">
        <x:f>IF($A314="","",G314*F314*J314)</x:f>
      </x:c>
      <x:c r="AF314" s="24" t="str">
        <x:f>IF($A314="","",L314*F314*K314*Settings!$B$13)</x:f>
      </x:c>
      <x:c r="AG314" s="23" t="str">
        <x:f>IF($A314="","",AD314*H314*I314)</x:f>
      </x:c>
      <x:c r="AH314" s="24" t="str">
        <x:f>IF($A314="","",SUM(AD314:AE314,AG314)*SUM(Settings!$B$11:$B$12))</x:f>
      </x:c>
      <x:c r="AI314" s="24" t="str">
        <x:f>IF($A314="","",M314*Settings!$B$16)</x:f>
      </x:c>
      <x:c r="AJ314" s="24" t="str">
        <x:f>IF($A314="","",M314*Settings!$B$15)</x:f>
      </x:c>
      <x:c r="AK314" s="24" t="str">
        <x:f>IF($A314="","",O314*Settings!$B$18)</x:f>
      </x:c>
      <x:c r="AL314" s="24" t="str">
        <x:f>IF($A314="","",P314*Settings!$B$20+Q314*Settings!$B$21+R314*Settings!$B$22+S314*Settings!$B$23)</x:f>
      </x:c>
      <x:c r="AM314" s="24" t="str">
        <x:f>IF($A314="","",T314*Settings!$B$24)</x:f>
      </x:c>
      <x:c r="AN314" s="23" t="str">
        <x:f>IF($A314="","",SUM(AI314,N314,AK314:AM314,U314))</x:f>
      </x:c>
      <x:c r="AO314" s="23" t="str">
        <x:f>IF($A314="","",SUM(AD314:AI314,N314,AK314:AM314,U314))</x:f>
      </x:c>
      <x:c r="AP314" s="24" t="str">
        <x:f>IF($A314="","",G314*F314*AB314*((13-Settings!$B$9)*(1+H314*I314)+J314)*(1+SUM(Settings!$B$11:$B$12)))</x:f>
      </x:c>
      <x:c r="AQ314" s="23" t="str">
        <x:f>IF($A314="","",SUM(AO314:AP314))</x:f>
      </x:c>
      <x:c r="AR314" s="23" t="str">
        <x:f>IF($A314="","",AQ314-X314)</x:f>
      </x:c>
      <x:c r="AS314" s="22" t="str">
        <x:f>IF($A314="","",IF(W314=0,"n.a.",V314/W314))</x:f>
      </x:c>
      <x:c r="AT314" s="26" t="str">
        <x:f>IF($A314="",IF(COUNTA(B314:Y314)&gt;0,"Missing ID",""),IF(COUNTIFS($A$9:$A$508,A314)&gt;1,"Duplicate ID",IF(OR(B314="",C314="",D314="",E314="",COUNT(F314:X314)&lt;&gt;19),"Missing / text input",IF(OR(COUNTIFS(Settings!$A$59:$A$64,B314)&lt;&gt;1,COUNTIFS(Settings!$A$29:$A$33,E314)&lt;&gt;1),"Unknown department / grade",IF(OR(F314&lt;=0,F314&gt;1,G314&lt;=0,L314&lt;=0,H314&lt;0,I314&lt;0,J314&lt;0,K314&lt;0,K314&gt;1,MIN(M314:X314)&lt;0,W314=0,V314&gt;W314,M314&gt;W314-V314,P314&gt;8,Q314&gt;4,R314&gt;12,S314&gt;12,T314&gt;1,AB314&lt;0),"Review quantity / rate",IF(OR(N314&gt;Settings!$C$17,AK314&gt;Settings!$C$19),"Review benefit ceiling","OK"))))))</x:f>
      </x:c>
    </x:row>
    <x:row r="315" ht="23" customHeight="1">
      <x:c r="A315" s="8"/>
      <x:c r="B315" s="8"/>
      <x:c r="C315" s="8"/>
      <x:c r="D315" s="8"/>
      <x:c r="E315" s="8"/>
      <x:c r="F315" s="20"/>
      <x:c r="G315" s="12"/>
      <x:c r="H315" s="21"/>
      <x:c r="I315" s="20"/>
      <x:c r="J315" s="20"/>
      <x:c r="K315" s="20"/>
      <x:c r="L315" s="12"/>
      <x:c r="M315" s="8"/>
      <x:c r="N315" s="12"/>
      <x:c r="O315" s="8"/>
      <x:c r="P315" s="8"/>
      <x:c r="Q315" s="8"/>
      <x:c r="R315" s="8"/>
      <x:c r="S315" s="8"/>
      <x:c r="T315" s="8"/>
      <x:c r="U315" s="12"/>
      <x:c r="V315" s="8"/>
      <x:c r="W315" s="8"/>
      <x:c r="X315" s="12"/>
      <x:c r="Y315" s="21"/>
      <x:c r="Z315" s="24" t="str">
        <x:f>IF($A315="","",INDEX(Settings!$C$29:$C$33,MATCH(E315,Settings!$A$29:$A$33,0)))</x:f>
      </x:c>
      <x:c r="AA315" s="22" t="str">
        <x:f>IF($A315="","",G315/Z315)</x:f>
      </x:c>
      <x:c r="AB315" s="25" t="str">
        <x:f>IF($A315="","",IF(ISNUMBER(Y315),Y315,Settings!$B$10))</x:f>
      </x:c>
      <x:c r="AC315" s="23" t="str">
        <x:f>IF($A315="","",G315*(1+AB315))</x:f>
      </x:c>
      <x:c r="AD315" s="23" t="str">
        <x:f>IF($A315="","",G315*F315*12)</x:f>
      </x:c>
      <x:c r="AE315" s="23" t="str">
        <x:f>IF($A315="","",G315*F315*J315)</x:f>
      </x:c>
      <x:c r="AF315" s="24" t="str">
        <x:f>IF($A315="","",L315*F315*K315*Settings!$B$13)</x:f>
      </x:c>
      <x:c r="AG315" s="23" t="str">
        <x:f>IF($A315="","",AD315*H315*I315)</x:f>
      </x:c>
      <x:c r="AH315" s="24" t="str">
        <x:f>IF($A315="","",SUM(AD315:AE315,AG315)*SUM(Settings!$B$11:$B$12))</x:f>
      </x:c>
      <x:c r="AI315" s="24" t="str">
        <x:f>IF($A315="","",M315*Settings!$B$16)</x:f>
      </x:c>
      <x:c r="AJ315" s="24" t="str">
        <x:f>IF($A315="","",M315*Settings!$B$15)</x:f>
      </x:c>
      <x:c r="AK315" s="24" t="str">
        <x:f>IF($A315="","",O315*Settings!$B$18)</x:f>
      </x:c>
      <x:c r="AL315" s="24" t="str">
        <x:f>IF($A315="","",P315*Settings!$B$20+Q315*Settings!$B$21+R315*Settings!$B$22+S315*Settings!$B$23)</x:f>
      </x:c>
      <x:c r="AM315" s="24" t="str">
        <x:f>IF($A315="","",T315*Settings!$B$24)</x:f>
      </x:c>
      <x:c r="AN315" s="23" t="str">
        <x:f>IF($A315="","",SUM(AI315,N315,AK315:AM315,U315))</x:f>
      </x:c>
      <x:c r="AO315" s="23" t="str">
        <x:f>IF($A315="","",SUM(AD315:AI315,N315,AK315:AM315,U315))</x:f>
      </x:c>
      <x:c r="AP315" s="24" t="str">
        <x:f>IF($A315="","",G315*F315*AB315*((13-Settings!$B$9)*(1+H315*I315)+J315)*(1+SUM(Settings!$B$11:$B$12)))</x:f>
      </x:c>
      <x:c r="AQ315" s="23" t="str">
        <x:f>IF($A315="","",SUM(AO315:AP315))</x:f>
      </x:c>
      <x:c r="AR315" s="23" t="str">
        <x:f>IF($A315="","",AQ315-X315)</x:f>
      </x:c>
      <x:c r="AS315" s="22" t="str">
        <x:f>IF($A315="","",IF(W315=0,"n.a.",V315/W315))</x:f>
      </x:c>
      <x:c r="AT315" s="26" t="str">
        <x:f>IF($A315="",IF(COUNTA(B315:Y315)&gt;0,"Missing ID",""),IF(COUNTIFS($A$9:$A$508,A315)&gt;1,"Duplicate ID",IF(OR(B315="",C315="",D315="",E315="",COUNT(F315:X315)&lt;&gt;19),"Missing / text input",IF(OR(COUNTIFS(Settings!$A$59:$A$64,B315)&lt;&gt;1,COUNTIFS(Settings!$A$29:$A$33,E315)&lt;&gt;1),"Unknown department / grade",IF(OR(F315&lt;=0,F315&gt;1,G315&lt;=0,L315&lt;=0,H315&lt;0,I315&lt;0,J315&lt;0,K315&lt;0,K315&gt;1,MIN(M315:X315)&lt;0,W315=0,V315&gt;W315,M315&gt;W315-V315,P315&gt;8,Q315&gt;4,R315&gt;12,S315&gt;12,T315&gt;1,AB315&lt;0),"Review quantity / rate",IF(OR(N315&gt;Settings!$C$17,AK315&gt;Settings!$C$19),"Review benefit ceiling","OK"))))))</x:f>
      </x:c>
    </x:row>
    <x:row r="316" ht="23" customHeight="1">
      <x:c r="A316" s="8"/>
      <x:c r="B316" s="8"/>
      <x:c r="C316" s="8"/>
      <x:c r="D316" s="8"/>
      <x:c r="E316" s="8"/>
      <x:c r="F316" s="20"/>
      <x:c r="G316" s="12"/>
      <x:c r="H316" s="21"/>
      <x:c r="I316" s="20"/>
      <x:c r="J316" s="20"/>
      <x:c r="K316" s="20"/>
      <x:c r="L316" s="12"/>
      <x:c r="M316" s="8"/>
      <x:c r="N316" s="12"/>
      <x:c r="O316" s="8"/>
      <x:c r="P316" s="8"/>
      <x:c r="Q316" s="8"/>
      <x:c r="R316" s="8"/>
      <x:c r="S316" s="8"/>
      <x:c r="T316" s="8"/>
      <x:c r="U316" s="12"/>
      <x:c r="V316" s="8"/>
      <x:c r="W316" s="8"/>
      <x:c r="X316" s="12"/>
      <x:c r="Y316" s="21"/>
      <x:c r="Z316" s="24" t="str">
        <x:f>IF($A316="","",INDEX(Settings!$C$29:$C$33,MATCH(E316,Settings!$A$29:$A$33,0)))</x:f>
      </x:c>
      <x:c r="AA316" s="22" t="str">
        <x:f>IF($A316="","",G316/Z316)</x:f>
      </x:c>
      <x:c r="AB316" s="25" t="str">
        <x:f>IF($A316="","",IF(ISNUMBER(Y316),Y316,Settings!$B$10))</x:f>
      </x:c>
      <x:c r="AC316" s="23" t="str">
        <x:f>IF($A316="","",G316*(1+AB316))</x:f>
      </x:c>
      <x:c r="AD316" s="23" t="str">
        <x:f>IF($A316="","",G316*F316*12)</x:f>
      </x:c>
      <x:c r="AE316" s="23" t="str">
        <x:f>IF($A316="","",G316*F316*J316)</x:f>
      </x:c>
      <x:c r="AF316" s="24" t="str">
        <x:f>IF($A316="","",L316*F316*K316*Settings!$B$13)</x:f>
      </x:c>
      <x:c r="AG316" s="23" t="str">
        <x:f>IF($A316="","",AD316*H316*I316)</x:f>
      </x:c>
      <x:c r="AH316" s="24" t="str">
        <x:f>IF($A316="","",SUM(AD316:AE316,AG316)*SUM(Settings!$B$11:$B$12))</x:f>
      </x:c>
      <x:c r="AI316" s="24" t="str">
        <x:f>IF($A316="","",M316*Settings!$B$16)</x:f>
      </x:c>
      <x:c r="AJ316" s="24" t="str">
        <x:f>IF($A316="","",M316*Settings!$B$15)</x:f>
      </x:c>
      <x:c r="AK316" s="24" t="str">
        <x:f>IF($A316="","",O316*Settings!$B$18)</x:f>
      </x:c>
      <x:c r="AL316" s="24" t="str">
        <x:f>IF($A316="","",P316*Settings!$B$20+Q316*Settings!$B$21+R316*Settings!$B$22+S316*Settings!$B$23)</x:f>
      </x:c>
      <x:c r="AM316" s="24" t="str">
        <x:f>IF($A316="","",T316*Settings!$B$24)</x:f>
      </x:c>
      <x:c r="AN316" s="23" t="str">
        <x:f>IF($A316="","",SUM(AI316,N316,AK316:AM316,U316))</x:f>
      </x:c>
      <x:c r="AO316" s="23" t="str">
        <x:f>IF($A316="","",SUM(AD316:AI316,N316,AK316:AM316,U316))</x:f>
      </x:c>
      <x:c r="AP316" s="24" t="str">
        <x:f>IF($A316="","",G316*F316*AB316*((13-Settings!$B$9)*(1+H316*I316)+J316)*(1+SUM(Settings!$B$11:$B$12)))</x:f>
      </x:c>
      <x:c r="AQ316" s="23" t="str">
        <x:f>IF($A316="","",SUM(AO316:AP316))</x:f>
      </x:c>
      <x:c r="AR316" s="23" t="str">
        <x:f>IF($A316="","",AQ316-X316)</x:f>
      </x:c>
      <x:c r="AS316" s="22" t="str">
        <x:f>IF($A316="","",IF(W316=0,"n.a.",V316/W316))</x:f>
      </x:c>
      <x:c r="AT316" s="26" t="str">
        <x:f>IF($A316="",IF(COUNTA(B316:Y316)&gt;0,"Missing ID",""),IF(COUNTIFS($A$9:$A$508,A316)&gt;1,"Duplicate ID",IF(OR(B316="",C316="",D316="",E316="",COUNT(F316:X316)&lt;&gt;19),"Missing / text input",IF(OR(COUNTIFS(Settings!$A$59:$A$64,B316)&lt;&gt;1,COUNTIFS(Settings!$A$29:$A$33,E316)&lt;&gt;1),"Unknown department / grade",IF(OR(F316&lt;=0,F316&gt;1,G316&lt;=0,L316&lt;=0,H316&lt;0,I316&lt;0,J316&lt;0,K316&lt;0,K316&gt;1,MIN(M316:X316)&lt;0,W316=0,V316&gt;W316,M316&gt;W316-V316,P316&gt;8,Q316&gt;4,R316&gt;12,S316&gt;12,T316&gt;1,AB316&lt;0),"Review quantity / rate",IF(OR(N316&gt;Settings!$C$17,AK316&gt;Settings!$C$19),"Review benefit ceiling","OK"))))))</x:f>
      </x:c>
    </x:row>
    <x:row r="317" ht="23" customHeight="1">
      <x:c r="A317" s="8"/>
      <x:c r="B317" s="8"/>
      <x:c r="C317" s="8"/>
      <x:c r="D317" s="8"/>
      <x:c r="E317" s="8"/>
      <x:c r="F317" s="20"/>
      <x:c r="G317" s="12"/>
      <x:c r="H317" s="21"/>
      <x:c r="I317" s="20"/>
      <x:c r="J317" s="20"/>
      <x:c r="K317" s="20"/>
      <x:c r="L317" s="12"/>
      <x:c r="M317" s="8"/>
      <x:c r="N317" s="12"/>
      <x:c r="O317" s="8"/>
      <x:c r="P317" s="8"/>
      <x:c r="Q317" s="8"/>
      <x:c r="R317" s="8"/>
      <x:c r="S317" s="8"/>
      <x:c r="T317" s="8"/>
      <x:c r="U317" s="12"/>
      <x:c r="V317" s="8"/>
      <x:c r="W317" s="8"/>
      <x:c r="X317" s="12"/>
      <x:c r="Y317" s="21"/>
      <x:c r="Z317" s="24" t="str">
        <x:f>IF($A317="","",INDEX(Settings!$C$29:$C$33,MATCH(E317,Settings!$A$29:$A$33,0)))</x:f>
      </x:c>
      <x:c r="AA317" s="22" t="str">
        <x:f>IF($A317="","",G317/Z317)</x:f>
      </x:c>
      <x:c r="AB317" s="25" t="str">
        <x:f>IF($A317="","",IF(ISNUMBER(Y317),Y317,Settings!$B$10))</x:f>
      </x:c>
      <x:c r="AC317" s="23" t="str">
        <x:f>IF($A317="","",G317*(1+AB317))</x:f>
      </x:c>
      <x:c r="AD317" s="23" t="str">
        <x:f>IF($A317="","",G317*F317*12)</x:f>
      </x:c>
      <x:c r="AE317" s="23" t="str">
        <x:f>IF($A317="","",G317*F317*J317)</x:f>
      </x:c>
      <x:c r="AF317" s="24" t="str">
        <x:f>IF($A317="","",L317*F317*K317*Settings!$B$13)</x:f>
      </x:c>
      <x:c r="AG317" s="23" t="str">
        <x:f>IF($A317="","",AD317*H317*I317)</x:f>
      </x:c>
      <x:c r="AH317" s="24" t="str">
        <x:f>IF($A317="","",SUM(AD317:AE317,AG317)*SUM(Settings!$B$11:$B$12))</x:f>
      </x:c>
      <x:c r="AI317" s="24" t="str">
        <x:f>IF($A317="","",M317*Settings!$B$16)</x:f>
      </x:c>
      <x:c r="AJ317" s="24" t="str">
        <x:f>IF($A317="","",M317*Settings!$B$15)</x:f>
      </x:c>
      <x:c r="AK317" s="24" t="str">
        <x:f>IF($A317="","",O317*Settings!$B$18)</x:f>
      </x:c>
      <x:c r="AL317" s="24" t="str">
        <x:f>IF($A317="","",P317*Settings!$B$20+Q317*Settings!$B$21+R317*Settings!$B$22+S317*Settings!$B$23)</x:f>
      </x:c>
      <x:c r="AM317" s="24" t="str">
        <x:f>IF($A317="","",T317*Settings!$B$24)</x:f>
      </x:c>
      <x:c r="AN317" s="23" t="str">
        <x:f>IF($A317="","",SUM(AI317,N317,AK317:AM317,U317))</x:f>
      </x:c>
      <x:c r="AO317" s="23" t="str">
        <x:f>IF($A317="","",SUM(AD317:AI317,N317,AK317:AM317,U317))</x:f>
      </x:c>
      <x:c r="AP317" s="24" t="str">
        <x:f>IF($A317="","",G317*F317*AB317*((13-Settings!$B$9)*(1+H317*I317)+J317)*(1+SUM(Settings!$B$11:$B$12)))</x:f>
      </x:c>
      <x:c r="AQ317" s="23" t="str">
        <x:f>IF($A317="","",SUM(AO317:AP317))</x:f>
      </x:c>
      <x:c r="AR317" s="23" t="str">
        <x:f>IF($A317="","",AQ317-X317)</x:f>
      </x:c>
      <x:c r="AS317" s="22" t="str">
        <x:f>IF($A317="","",IF(W317=0,"n.a.",V317/W317))</x:f>
      </x:c>
      <x:c r="AT317" s="26" t="str">
        <x:f>IF($A317="",IF(COUNTA(B317:Y317)&gt;0,"Missing ID",""),IF(COUNTIFS($A$9:$A$508,A317)&gt;1,"Duplicate ID",IF(OR(B317="",C317="",D317="",E317="",COUNT(F317:X317)&lt;&gt;19),"Missing / text input",IF(OR(COUNTIFS(Settings!$A$59:$A$64,B317)&lt;&gt;1,COUNTIFS(Settings!$A$29:$A$33,E317)&lt;&gt;1),"Unknown department / grade",IF(OR(F317&lt;=0,F317&gt;1,G317&lt;=0,L317&lt;=0,H317&lt;0,I317&lt;0,J317&lt;0,K317&lt;0,K317&gt;1,MIN(M317:X317)&lt;0,W317=0,V317&gt;W317,M317&gt;W317-V317,P317&gt;8,Q317&gt;4,R317&gt;12,S317&gt;12,T317&gt;1,AB317&lt;0),"Review quantity / rate",IF(OR(N317&gt;Settings!$C$17,AK317&gt;Settings!$C$19),"Review benefit ceiling","OK"))))))</x:f>
      </x:c>
    </x:row>
    <x:row r="318" ht="23" customHeight="1">
      <x:c r="A318" s="8"/>
      <x:c r="B318" s="8"/>
      <x:c r="C318" s="8"/>
      <x:c r="D318" s="8"/>
      <x:c r="E318" s="8"/>
      <x:c r="F318" s="20"/>
      <x:c r="G318" s="12"/>
      <x:c r="H318" s="21"/>
      <x:c r="I318" s="20"/>
      <x:c r="J318" s="20"/>
      <x:c r="K318" s="20"/>
      <x:c r="L318" s="12"/>
      <x:c r="M318" s="8"/>
      <x:c r="N318" s="12"/>
      <x:c r="O318" s="8"/>
      <x:c r="P318" s="8"/>
      <x:c r="Q318" s="8"/>
      <x:c r="R318" s="8"/>
      <x:c r="S318" s="8"/>
      <x:c r="T318" s="8"/>
      <x:c r="U318" s="12"/>
      <x:c r="V318" s="8"/>
      <x:c r="W318" s="8"/>
      <x:c r="X318" s="12"/>
      <x:c r="Y318" s="21"/>
      <x:c r="Z318" s="24" t="str">
        <x:f>IF($A318="","",INDEX(Settings!$C$29:$C$33,MATCH(E318,Settings!$A$29:$A$33,0)))</x:f>
      </x:c>
      <x:c r="AA318" s="22" t="str">
        <x:f>IF($A318="","",G318/Z318)</x:f>
      </x:c>
      <x:c r="AB318" s="25" t="str">
        <x:f>IF($A318="","",IF(ISNUMBER(Y318),Y318,Settings!$B$10))</x:f>
      </x:c>
      <x:c r="AC318" s="23" t="str">
        <x:f>IF($A318="","",G318*(1+AB318))</x:f>
      </x:c>
      <x:c r="AD318" s="23" t="str">
        <x:f>IF($A318="","",G318*F318*12)</x:f>
      </x:c>
      <x:c r="AE318" s="23" t="str">
        <x:f>IF($A318="","",G318*F318*J318)</x:f>
      </x:c>
      <x:c r="AF318" s="24" t="str">
        <x:f>IF($A318="","",L318*F318*K318*Settings!$B$13)</x:f>
      </x:c>
      <x:c r="AG318" s="23" t="str">
        <x:f>IF($A318="","",AD318*H318*I318)</x:f>
      </x:c>
      <x:c r="AH318" s="24" t="str">
        <x:f>IF($A318="","",SUM(AD318:AE318,AG318)*SUM(Settings!$B$11:$B$12))</x:f>
      </x:c>
      <x:c r="AI318" s="24" t="str">
        <x:f>IF($A318="","",M318*Settings!$B$16)</x:f>
      </x:c>
      <x:c r="AJ318" s="24" t="str">
        <x:f>IF($A318="","",M318*Settings!$B$15)</x:f>
      </x:c>
      <x:c r="AK318" s="24" t="str">
        <x:f>IF($A318="","",O318*Settings!$B$18)</x:f>
      </x:c>
      <x:c r="AL318" s="24" t="str">
        <x:f>IF($A318="","",P318*Settings!$B$20+Q318*Settings!$B$21+R318*Settings!$B$22+S318*Settings!$B$23)</x:f>
      </x:c>
      <x:c r="AM318" s="24" t="str">
        <x:f>IF($A318="","",T318*Settings!$B$24)</x:f>
      </x:c>
      <x:c r="AN318" s="23" t="str">
        <x:f>IF($A318="","",SUM(AI318,N318,AK318:AM318,U318))</x:f>
      </x:c>
      <x:c r="AO318" s="23" t="str">
        <x:f>IF($A318="","",SUM(AD318:AI318,N318,AK318:AM318,U318))</x:f>
      </x:c>
      <x:c r="AP318" s="24" t="str">
        <x:f>IF($A318="","",G318*F318*AB318*((13-Settings!$B$9)*(1+H318*I318)+J318)*(1+SUM(Settings!$B$11:$B$12)))</x:f>
      </x:c>
      <x:c r="AQ318" s="23" t="str">
        <x:f>IF($A318="","",SUM(AO318:AP318))</x:f>
      </x:c>
      <x:c r="AR318" s="23" t="str">
        <x:f>IF($A318="","",AQ318-X318)</x:f>
      </x:c>
      <x:c r="AS318" s="22" t="str">
        <x:f>IF($A318="","",IF(W318=0,"n.a.",V318/W318))</x:f>
      </x:c>
      <x:c r="AT318" s="26" t="str">
        <x:f>IF($A318="",IF(COUNTA(B318:Y318)&gt;0,"Missing ID",""),IF(COUNTIFS($A$9:$A$508,A318)&gt;1,"Duplicate ID",IF(OR(B318="",C318="",D318="",E318="",COUNT(F318:X318)&lt;&gt;19),"Missing / text input",IF(OR(COUNTIFS(Settings!$A$59:$A$64,B318)&lt;&gt;1,COUNTIFS(Settings!$A$29:$A$33,E318)&lt;&gt;1),"Unknown department / grade",IF(OR(F318&lt;=0,F318&gt;1,G318&lt;=0,L318&lt;=0,H318&lt;0,I318&lt;0,J318&lt;0,K318&lt;0,K318&gt;1,MIN(M318:X318)&lt;0,W318=0,V318&gt;W318,M318&gt;W318-V318,P318&gt;8,Q318&gt;4,R318&gt;12,S318&gt;12,T318&gt;1,AB318&lt;0),"Review quantity / rate",IF(OR(N318&gt;Settings!$C$17,AK318&gt;Settings!$C$19),"Review benefit ceiling","OK"))))))</x:f>
      </x:c>
    </x:row>
    <x:row r="319" ht="23" customHeight="1">
      <x:c r="A319" s="8"/>
      <x:c r="B319" s="8"/>
      <x:c r="C319" s="8"/>
      <x:c r="D319" s="8"/>
      <x:c r="E319" s="8"/>
      <x:c r="F319" s="20"/>
      <x:c r="G319" s="12"/>
      <x:c r="H319" s="21"/>
      <x:c r="I319" s="20"/>
      <x:c r="J319" s="20"/>
      <x:c r="K319" s="20"/>
      <x:c r="L319" s="12"/>
      <x:c r="M319" s="8"/>
      <x:c r="N319" s="12"/>
      <x:c r="O319" s="8"/>
      <x:c r="P319" s="8"/>
      <x:c r="Q319" s="8"/>
      <x:c r="R319" s="8"/>
      <x:c r="S319" s="8"/>
      <x:c r="T319" s="8"/>
      <x:c r="U319" s="12"/>
      <x:c r="V319" s="8"/>
      <x:c r="W319" s="8"/>
      <x:c r="X319" s="12"/>
      <x:c r="Y319" s="21"/>
      <x:c r="Z319" s="24" t="str">
        <x:f>IF($A319="","",INDEX(Settings!$C$29:$C$33,MATCH(E319,Settings!$A$29:$A$33,0)))</x:f>
      </x:c>
      <x:c r="AA319" s="22" t="str">
        <x:f>IF($A319="","",G319/Z319)</x:f>
      </x:c>
      <x:c r="AB319" s="25" t="str">
        <x:f>IF($A319="","",IF(ISNUMBER(Y319),Y319,Settings!$B$10))</x:f>
      </x:c>
      <x:c r="AC319" s="23" t="str">
        <x:f>IF($A319="","",G319*(1+AB319))</x:f>
      </x:c>
      <x:c r="AD319" s="23" t="str">
        <x:f>IF($A319="","",G319*F319*12)</x:f>
      </x:c>
      <x:c r="AE319" s="23" t="str">
        <x:f>IF($A319="","",G319*F319*J319)</x:f>
      </x:c>
      <x:c r="AF319" s="24" t="str">
        <x:f>IF($A319="","",L319*F319*K319*Settings!$B$13)</x:f>
      </x:c>
      <x:c r="AG319" s="23" t="str">
        <x:f>IF($A319="","",AD319*H319*I319)</x:f>
      </x:c>
      <x:c r="AH319" s="24" t="str">
        <x:f>IF($A319="","",SUM(AD319:AE319,AG319)*SUM(Settings!$B$11:$B$12))</x:f>
      </x:c>
      <x:c r="AI319" s="24" t="str">
        <x:f>IF($A319="","",M319*Settings!$B$16)</x:f>
      </x:c>
      <x:c r="AJ319" s="24" t="str">
        <x:f>IF($A319="","",M319*Settings!$B$15)</x:f>
      </x:c>
      <x:c r="AK319" s="24" t="str">
        <x:f>IF($A319="","",O319*Settings!$B$18)</x:f>
      </x:c>
      <x:c r="AL319" s="24" t="str">
        <x:f>IF($A319="","",P319*Settings!$B$20+Q319*Settings!$B$21+R319*Settings!$B$22+S319*Settings!$B$23)</x:f>
      </x:c>
      <x:c r="AM319" s="24" t="str">
        <x:f>IF($A319="","",T319*Settings!$B$24)</x:f>
      </x:c>
      <x:c r="AN319" s="23" t="str">
        <x:f>IF($A319="","",SUM(AI319,N319,AK319:AM319,U319))</x:f>
      </x:c>
      <x:c r="AO319" s="23" t="str">
        <x:f>IF($A319="","",SUM(AD319:AI319,N319,AK319:AM319,U319))</x:f>
      </x:c>
      <x:c r="AP319" s="24" t="str">
        <x:f>IF($A319="","",G319*F319*AB319*((13-Settings!$B$9)*(1+H319*I319)+J319)*(1+SUM(Settings!$B$11:$B$12)))</x:f>
      </x:c>
      <x:c r="AQ319" s="23" t="str">
        <x:f>IF($A319="","",SUM(AO319:AP319))</x:f>
      </x:c>
      <x:c r="AR319" s="23" t="str">
        <x:f>IF($A319="","",AQ319-X319)</x:f>
      </x:c>
      <x:c r="AS319" s="22" t="str">
        <x:f>IF($A319="","",IF(W319=0,"n.a.",V319/W319))</x:f>
      </x:c>
      <x:c r="AT319" s="26" t="str">
        <x:f>IF($A319="",IF(COUNTA(B319:Y319)&gt;0,"Missing ID",""),IF(COUNTIFS($A$9:$A$508,A319)&gt;1,"Duplicate ID",IF(OR(B319="",C319="",D319="",E319="",COUNT(F319:X319)&lt;&gt;19),"Missing / text input",IF(OR(COUNTIFS(Settings!$A$59:$A$64,B319)&lt;&gt;1,COUNTIFS(Settings!$A$29:$A$33,E319)&lt;&gt;1),"Unknown department / grade",IF(OR(F319&lt;=0,F319&gt;1,G319&lt;=0,L319&lt;=0,H319&lt;0,I319&lt;0,J319&lt;0,K319&lt;0,K319&gt;1,MIN(M319:X319)&lt;0,W319=0,V319&gt;W319,M319&gt;W319-V319,P319&gt;8,Q319&gt;4,R319&gt;12,S319&gt;12,T319&gt;1,AB319&lt;0),"Review quantity / rate",IF(OR(N319&gt;Settings!$C$17,AK319&gt;Settings!$C$19),"Review benefit ceiling","OK"))))))</x:f>
      </x:c>
    </x:row>
    <x:row r="320" ht="23" customHeight="1">
      <x:c r="A320" s="8"/>
      <x:c r="B320" s="8"/>
      <x:c r="C320" s="8"/>
      <x:c r="D320" s="8"/>
      <x:c r="E320" s="8"/>
      <x:c r="F320" s="20"/>
      <x:c r="G320" s="12"/>
      <x:c r="H320" s="21"/>
      <x:c r="I320" s="20"/>
      <x:c r="J320" s="20"/>
      <x:c r="K320" s="20"/>
      <x:c r="L320" s="12"/>
      <x:c r="M320" s="8"/>
      <x:c r="N320" s="12"/>
      <x:c r="O320" s="8"/>
      <x:c r="P320" s="8"/>
      <x:c r="Q320" s="8"/>
      <x:c r="R320" s="8"/>
      <x:c r="S320" s="8"/>
      <x:c r="T320" s="8"/>
      <x:c r="U320" s="12"/>
      <x:c r="V320" s="8"/>
      <x:c r="W320" s="8"/>
      <x:c r="X320" s="12"/>
      <x:c r="Y320" s="21"/>
      <x:c r="Z320" s="24" t="str">
        <x:f>IF($A320="","",INDEX(Settings!$C$29:$C$33,MATCH(E320,Settings!$A$29:$A$33,0)))</x:f>
      </x:c>
      <x:c r="AA320" s="22" t="str">
        <x:f>IF($A320="","",G320/Z320)</x:f>
      </x:c>
      <x:c r="AB320" s="25" t="str">
        <x:f>IF($A320="","",IF(ISNUMBER(Y320),Y320,Settings!$B$10))</x:f>
      </x:c>
      <x:c r="AC320" s="23" t="str">
        <x:f>IF($A320="","",G320*(1+AB320))</x:f>
      </x:c>
      <x:c r="AD320" s="23" t="str">
        <x:f>IF($A320="","",G320*F320*12)</x:f>
      </x:c>
      <x:c r="AE320" s="23" t="str">
        <x:f>IF($A320="","",G320*F320*J320)</x:f>
      </x:c>
      <x:c r="AF320" s="24" t="str">
        <x:f>IF($A320="","",L320*F320*K320*Settings!$B$13)</x:f>
      </x:c>
      <x:c r="AG320" s="23" t="str">
        <x:f>IF($A320="","",AD320*H320*I320)</x:f>
      </x:c>
      <x:c r="AH320" s="24" t="str">
        <x:f>IF($A320="","",SUM(AD320:AE320,AG320)*SUM(Settings!$B$11:$B$12))</x:f>
      </x:c>
      <x:c r="AI320" s="24" t="str">
        <x:f>IF($A320="","",M320*Settings!$B$16)</x:f>
      </x:c>
      <x:c r="AJ320" s="24" t="str">
        <x:f>IF($A320="","",M320*Settings!$B$15)</x:f>
      </x:c>
      <x:c r="AK320" s="24" t="str">
        <x:f>IF($A320="","",O320*Settings!$B$18)</x:f>
      </x:c>
      <x:c r="AL320" s="24" t="str">
        <x:f>IF($A320="","",P320*Settings!$B$20+Q320*Settings!$B$21+R320*Settings!$B$22+S320*Settings!$B$23)</x:f>
      </x:c>
      <x:c r="AM320" s="24" t="str">
        <x:f>IF($A320="","",T320*Settings!$B$24)</x:f>
      </x:c>
      <x:c r="AN320" s="23" t="str">
        <x:f>IF($A320="","",SUM(AI320,N320,AK320:AM320,U320))</x:f>
      </x:c>
      <x:c r="AO320" s="23" t="str">
        <x:f>IF($A320="","",SUM(AD320:AI320,N320,AK320:AM320,U320))</x:f>
      </x:c>
      <x:c r="AP320" s="24" t="str">
        <x:f>IF($A320="","",G320*F320*AB320*((13-Settings!$B$9)*(1+H320*I320)+J320)*(1+SUM(Settings!$B$11:$B$12)))</x:f>
      </x:c>
      <x:c r="AQ320" s="23" t="str">
        <x:f>IF($A320="","",SUM(AO320:AP320))</x:f>
      </x:c>
      <x:c r="AR320" s="23" t="str">
        <x:f>IF($A320="","",AQ320-X320)</x:f>
      </x:c>
      <x:c r="AS320" s="22" t="str">
        <x:f>IF($A320="","",IF(W320=0,"n.a.",V320/W320))</x:f>
      </x:c>
      <x:c r="AT320" s="26" t="str">
        <x:f>IF($A320="",IF(COUNTA(B320:Y320)&gt;0,"Missing ID",""),IF(COUNTIFS($A$9:$A$508,A320)&gt;1,"Duplicate ID",IF(OR(B320="",C320="",D320="",E320="",COUNT(F320:X320)&lt;&gt;19),"Missing / text input",IF(OR(COUNTIFS(Settings!$A$59:$A$64,B320)&lt;&gt;1,COUNTIFS(Settings!$A$29:$A$33,E320)&lt;&gt;1),"Unknown department / grade",IF(OR(F320&lt;=0,F320&gt;1,G320&lt;=0,L320&lt;=0,H320&lt;0,I320&lt;0,J320&lt;0,K320&lt;0,K320&gt;1,MIN(M320:X320)&lt;0,W320=0,V320&gt;W320,M320&gt;W320-V320,P320&gt;8,Q320&gt;4,R320&gt;12,S320&gt;12,T320&gt;1,AB320&lt;0),"Review quantity / rate",IF(OR(N320&gt;Settings!$C$17,AK320&gt;Settings!$C$19),"Review benefit ceiling","OK"))))))</x:f>
      </x:c>
    </x:row>
    <x:row r="321" ht="23" customHeight="1">
      <x:c r="A321" s="8"/>
      <x:c r="B321" s="8"/>
      <x:c r="C321" s="8"/>
      <x:c r="D321" s="8"/>
      <x:c r="E321" s="8"/>
      <x:c r="F321" s="20"/>
      <x:c r="G321" s="12"/>
      <x:c r="H321" s="21"/>
      <x:c r="I321" s="20"/>
      <x:c r="J321" s="20"/>
      <x:c r="K321" s="20"/>
      <x:c r="L321" s="12"/>
      <x:c r="M321" s="8"/>
      <x:c r="N321" s="12"/>
      <x:c r="O321" s="8"/>
      <x:c r="P321" s="8"/>
      <x:c r="Q321" s="8"/>
      <x:c r="R321" s="8"/>
      <x:c r="S321" s="8"/>
      <x:c r="T321" s="8"/>
      <x:c r="U321" s="12"/>
      <x:c r="V321" s="8"/>
      <x:c r="W321" s="8"/>
      <x:c r="X321" s="12"/>
      <x:c r="Y321" s="21"/>
      <x:c r="Z321" s="24" t="str">
        <x:f>IF($A321="","",INDEX(Settings!$C$29:$C$33,MATCH(E321,Settings!$A$29:$A$33,0)))</x:f>
      </x:c>
      <x:c r="AA321" s="22" t="str">
        <x:f>IF($A321="","",G321/Z321)</x:f>
      </x:c>
      <x:c r="AB321" s="25" t="str">
        <x:f>IF($A321="","",IF(ISNUMBER(Y321),Y321,Settings!$B$10))</x:f>
      </x:c>
      <x:c r="AC321" s="23" t="str">
        <x:f>IF($A321="","",G321*(1+AB321))</x:f>
      </x:c>
      <x:c r="AD321" s="23" t="str">
        <x:f>IF($A321="","",G321*F321*12)</x:f>
      </x:c>
      <x:c r="AE321" s="23" t="str">
        <x:f>IF($A321="","",G321*F321*J321)</x:f>
      </x:c>
      <x:c r="AF321" s="24" t="str">
        <x:f>IF($A321="","",L321*F321*K321*Settings!$B$13)</x:f>
      </x:c>
      <x:c r="AG321" s="23" t="str">
        <x:f>IF($A321="","",AD321*H321*I321)</x:f>
      </x:c>
      <x:c r="AH321" s="24" t="str">
        <x:f>IF($A321="","",SUM(AD321:AE321,AG321)*SUM(Settings!$B$11:$B$12))</x:f>
      </x:c>
      <x:c r="AI321" s="24" t="str">
        <x:f>IF($A321="","",M321*Settings!$B$16)</x:f>
      </x:c>
      <x:c r="AJ321" s="24" t="str">
        <x:f>IF($A321="","",M321*Settings!$B$15)</x:f>
      </x:c>
      <x:c r="AK321" s="24" t="str">
        <x:f>IF($A321="","",O321*Settings!$B$18)</x:f>
      </x:c>
      <x:c r="AL321" s="24" t="str">
        <x:f>IF($A321="","",P321*Settings!$B$20+Q321*Settings!$B$21+R321*Settings!$B$22+S321*Settings!$B$23)</x:f>
      </x:c>
      <x:c r="AM321" s="24" t="str">
        <x:f>IF($A321="","",T321*Settings!$B$24)</x:f>
      </x:c>
      <x:c r="AN321" s="23" t="str">
        <x:f>IF($A321="","",SUM(AI321,N321,AK321:AM321,U321))</x:f>
      </x:c>
      <x:c r="AO321" s="23" t="str">
        <x:f>IF($A321="","",SUM(AD321:AI321,N321,AK321:AM321,U321))</x:f>
      </x:c>
      <x:c r="AP321" s="24" t="str">
        <x:f>IF($A321="","",G321*F321*AB321*((13-Settings!$B$9)*(1+H321*I321)+J321)*(1+SUM(Settings!$B$11:$B$12)))</x:f>
      </x:c>
      <x:c r="AQ321" s="23" t="str">
        <x:f>IF($A321="","",SUM(AO321:AP321))</x:f>
      </x:c>
      <x:c r="AR321" s="23" t="str">
        <x:f>IF($A321="","",AQ321-X321)</x:f>
      </x:c>
      <x:c r="AS321" s="22" t="str">
        <x:f>IF($A321="","",IF(W321=0,"n.a.",V321/W321))</x:f>
      </x:c>
      <x:c r="AT321" s="26" t="str">
        <x:f>IF($A321="",IF(COUNTA(B321:Y321)&gt;0,"Missing ID",""),IF(COUNTIFS($A$9:$A$508,A321)&gt;1,"Duplicate ID",IF(OR(B321="",C321="",D321="",E321="",COUNT(F321:X321)&lt;&gt;19),"Missing / text input",IF(OR(COUNTIFS(Settings!$A$59:$A$64,B321)&lt;&gt;1,COUNTIFS(Settings!$A$29:$A$33,E321)&lt;&gt;1),"Unknown department / grade",IF(OR(F321&lt;=0,F321&gt;1,G321&lt;=0,L321&lt;=0,H321&lt;0,I321&lt;0,J321&lt;0,K321&lt;0,K321&gt;1,MIN(M321:X321)&lt;0,W321=0,V321&gt;W321,M321&gt;W321-V321,P321&gt;8,Q321&gt;4,R321&gt;12,S321&gt;12,T321&gt;1,AB321&lt;0),"Review quantity / rate",IF(OR(N321&gt;Settings!$C$17,AK321&gt;Settings!$C$19),"Review benefit ceiling","OK"))))))</x:f>
      </x:c>
    </x:row>
    <x:row r="322" ht="23" customHeight="1">
      <x:c r="A322" s="8"/>
      <x:c r="B322" s="8"/>
      <x:c r="C322" s="8"/>
      <x:c r="D322" s="8"/>
      <x:c r="E322" s="8"/>
      <x:c r="F322" s="20"/>
      <x:c r="G322" s="12"/>
      <x:c r="H322" s="21"/>
      <x:c r="I322" s="20"/>
      <x:c r="J322" s="20"/>
      <x:c r="K322" s="20"/>
      <x:c r="L322" s="12"/>
      <x:c r="M322" s="8"/>
      <x:c r="N322" s="12"/>
      <x:c r="O322" s="8"/>
      <x:c r="P322" s="8"/>
      <x:c r="Q322" s="8"/>
      <x:c r="R322" s="8"/>
      <x:c r="S322" s="8"/>
      <x:c r="T322" s="8"/>
      <x:c r="U322" s="12"/>
      <x:c r="V322" s="8"/>
      <x:c r="W322" s="8"/>
      <x:c r="X322" s="12"/>
      <x:c r="Y322" s="21"/>
      <x:c r="Z322" s="24" t="str">
        <x:f>IF($A322="","",INDEX(Settings!$C$29:$C$33,MATCH(E322,Settings!$A$29:$A$33,0)))</x:f>
      </x:c>
      <x:c r="AA322" s="22" t="str">
        <x:f>IF($A322="","",G322/Z322)</x:f>
      </x:c>
      <x:c r="AB322" s="25" t="str">
        <x:f>IF($A322="","",IF(ISNUMBER(Y322),Y322,Settings!$B$10))</x:f>
      </x:c>
      <x:c r="AC322" s="23" t="str">
        <x:f>IF($A322="","",G322*(1+AB322))</x:f>
      </x:c>
      <x:c r="AD322" s="23" t="str">
        <x:f>IF($A322="","",G322*F322*12)</x:f>
      </x:c>
      <x:c r="AE322" s="23" t="str">
        <x:f>IF($A322="","",G322*F322*J322)</x:f>
      </x:c>
      <x:c r="AF322" s="24" t="str">
        <x:f>IF($A322="","",L322*F322*K322*Settings!$B$13)</x:f>
      </x:c>
      <x:c r="AG322" s="23" t="str">
        <x:f>IF($A322="","",AD322*H322*I322)</x:f>
      </x:c>
      <x:c r="AH322" s="24" t="str">
        <x:f>IF($A322="","",SUM(AD322:AE322,AG322)*SUM(Settings!$B$11:$B$12))</x:f>
      </x:c>
      <x:c r="AI322" s="24" t="str">
        <x:f>IF($A322="","",M322*Settings!$B$16)</x:f>
      </x:c>
      <x:c r="AJ322" s="24" t="str">
        <x:f>IF($A322="","",M322*Settings!$B$15)</x:f>
      </x:c>
      <x:c r="AK322" s="24" t="str">
        <x:f>IF($A322="","",O322*Settings!$B$18)</x:f>
      </x:c>
      <x:c r="AL322" s="24" t="str">
        <x:f>IF($A322="","",P322*Settings!$B$20+Q322*Settings!$B$21+R322*Settings!$B$22+S322*Settings!$B$23)</x:f>
      </x:c>
      <x:c r="AM322" s="24" t="str">
        <x:f>IF($A322="","",T322*Settings!$B$24)</x:f>
      </x:c>
      <x:c r="AN322" s="23" t="str">
        <x:f>IF($A322="","",SUM(AI322,N322,AK322:AM322,U322))</x:f>
      </x:c>
      <x:c r="AO322" s="23" t="str">
        <x:f>IF($A322="","",SUM(AD322:AI322,N322,AK322:AM322,U322))</x:f>
      </x:c>
      <x:c r="AP322" s="24" t="str">
        <x:f>IF($A322="","",G322*F322*AB322*((13-Settings!$B$9)*(1+H322*I322)+J322)*(1+SUM(Settings!$B$11:$B$12)))</x:f>
      </x:c>
      <x:c r="AQ322" s="23" t="str">
        <x:f>IF($A322="","",SUM(AO322:AP322))</x:f>
      </x:c>
      <x:c r="AR322" s="23" t="str">
        <x:f>IF($A322="","",AQ322-X322)</x:f>
      </x:c>
      <x:c r="AS322" s="22" t="str">
        <x:f>IF($A322="","",IF(W322=0,"n.a.",V322/W322))</x:f>
      </x:c>
      <x:c r="AT322" s="26" t="str">
        <x:f>IF($A322="",IF(COUNTA(B322:Y322)&gt;0,"Missing ID",""),IF(COUNTIFS($A$9:$A$508,A322)&gt;1,"Duplicate ID",IF(OR(B322="",C322="",D322="",E322="",COUNT(F322:X322)&lt;&gt;19),"Missing / text input",IF(OR(COUNTIFS(Settings!$A$59:$A$64,B322)&lt;&gt;1,COUNTIFS(Settings!$A$29:$A$33,E322)&lt;&gt;1),"Unknown department / grade",IF(OR(F322&lt;=0,F322&gt;1,G322&lt;=0,L322&lt;=0,H322&lt;0,I322&lt;0,J322&lt;0,K322&lt;0,K322&gt;1,MIN(M322:X322)&lt;0,W322=0,V322&gt;W322,M322&gt;W322-V322,P322&gt;8,Q322&gt;4,R322&gt;12,S322&gt;12,T322&gt;1,AB322&lt;0),"Review quantity / rate",IF(OR(N322&gt;Settings!$C$17,AK322&gt;Settings!$C$19),"Review benefit ceiling","OK"))))))</x:f>
      </x:c>
    </x:row>
    <x:row r="323" ht="23" customHeight="1">
      <x:c r="A323" s="8"/>
      <x:c r="B323" s="8"/>
      <x:c r="C323" s="8"/>
      <x:c r="D323" s="8"/>
      <x:c r="E323" s="8"/>
      <x:c r="F323" s="20"/>
      <x:c r="G323" s="12"/>
      <x:c r="H323" s="21"/>
      <x:c r="I323" s="20"/>
      <x:c r="J323" s="20"/>
      <x:c r="K323" s="20"/>
      <x:c r="L323" s="12"/>
      <x:c r="M323" s="8"/>
      <x:c r="N323" s="12"/>
      <x:c r="O323" s="8"/>
      <x:c r="P323" s="8"/>
      <x:c r="Q323" s="8"/>
      <x:c r="R323" s="8"/>
      <x:c r="S323" s="8"/>
      <x:c r="T323" s="8"/>
      <x:c r="U323" s="12"/>
      <x:c r="V323" s="8"/>
      <x:c r="W323" s="8"/>
      <x:c r="X323" s="12"/>
      <x:c r="Y323" s="21"/>
      <x:c r="Z323" s="24" t="str">
        <x:f>IF($A323="","",INDEX(Settings!$C$29:$C$33,MATCH(E323,Settings!$A$29:$A$33,0)))</x:f>
      </x:c>
      <x:c r="AA323" s="22" t="str">
        <x:f>IF($A323="","",G323/Z323)</x:f>
      </x:c>
      <x:c r="AB323" s="25" t="str">
        <x:f>IF($A323="","",IF(ISNUMBER(Y323),Y323,Settings!$B$10))</x:f>
      </x:c>
      <x:c r="AC323" s="23" t="str">
        <x:f>IF($A323="","",G323*(1+AB323))</x:f>
      </x:c>
      <x:c r="AD323" s="23" t="str">
        <x:f>IF($A323="","",G323*F323*12)</x:f>
      </x:c>
      <x:c r="AE323" s="23" t="str">
        <x:f>IF($A323="","",G323*F323*J323)</x:f>
      </x:c>
      <x:c r="AF323" s="24" t="str">
        <x:f>IF($A323="","",L323*F323*K323*Settings!$B$13)</x:f>
      </x:c>
      <x:c r="AG323" s="23" t="str">
        <x:f>IF($A323="","",AD323*H323*I323)</x:f>
      </x:c>
      <x:c r="AH323" s="24" t="str">
        <x:f>IF($A323="","",SUM(AD323:AE323,AG323)*SUM(Settings!$B$11:$B$12))</x:f>
      </x:c>
      <x:c r="AI323" s="24" t="str">
        <x:f>IF($A323="","",M323*Settings!$B$16)</x:f>
      </x:c>
      <x:c r="AJ323" s="24" t="str">
        <x:f>IF($A323="","",M323*Settings!$B$15)</x:f>
      </x:c>
      <x:c r="AK323" s="24" t="str">
        <x:f>IF($A323="","",O323*Settings!$B$18)</x:f>
      </x:c>
      <x:c r="AL323" s="24" t="str">
        <x:f>IF($A323="","",P323*Settings!$B$20+Q323*Settings!$B$21+R323*Settings!$B$22+S323*Settings!$B$23)</x:f>
      </x:c>
      <x:c r="AM323" s="24" t="str">
        <x:f>IF($A323="","",T323*Settings!$B$24)</x:f>
      </x:c>
      <x:c r="AN323" s="23" t="str">
        <x:f>IF($A323="","",SUM(AI323,N323,AK323:AM323,U323))</x:f>
      </x:c>
      <x:c r="AO323" s="23" t="str">
        <x:f>IF($A323="","",SUM(AD323:AI323,N323,AK323:AM323,U323))</x:f>
      </x:c>
      <x:c r="AP323" s="24" t="str">
        <x:f>IF($A323="","",G323*F323*AB323*((13-Settings!$B$9)*(1+H323*I323)+J323)*(1+SUM(Settings!$B$11:$B$12)))</x:f>
      </x:c>
      <x:c r="AQ323" s="23" t="str">
        <x:f>IF($A323="","",SUM(AO323:AP323))</x:f>
      </x:c>
      <x:c r="AR323" s="23" t="str">
        <x:f>IF($A323="","",AQ323-X323)</x:f>
      </x:c>
      <x:c r="AS323" s="22" t="str">
        <x:f>IF($A323="","",IF(W323=0,"n.a.",V323/W323))</x:f>
      </x:c>
      <x:c r="AT323" s="26" t="str">
        <x:f>IF($A323="",IF(COUNTA(B323:Y323)&gt;0,"Missing ID",""),IF(COUNTIFS($A$9:$A$508,A323)&gt;1,"Duplicate ID",IF(OR(B323="",C323="",D323="",E323="",COUNT(F323:X323)&lt;&gt;19),"Missing / text input",IF(OR(COUNTIFS(Settings!$A$59:$A$64,B323)&lt;&gt;1,COUNTIFS(Settings!$A$29:$A$33,E323)&lt;&gt;1),"Unknown department / grade",IF(OR(F323&lt;=0,F323&gt;1,G323&lt;=0,L323&lt;=0,H323&lt;0,I323&lt;0,J323&lt;0,K323&lt;0,K323&gt;1,MIN(M323:X323)&lt;0,W323=0,V323&gt;W323,M323&gt;W323-V323,P323&gt;8,Q323&gt;4,R323&gt;12,S323&gt;12,T323&gt;1,AB323&lt;0),"Review quantity / rate",IF(OR(N323&gt;Settings!$C$17,AK323&gt;Settings!$C$19),"Review benefit ceiling","OK"))))))</x:f>
      </x:c>
    </x:row>
    <x:row r="324" ht="23" customHeight="1">
      <x:c r="A324" s="8"/>
      <x:c r="B324" s="8"/>
      <x:c r="C324" s="8"/>
      <x:c r="D324" s="8"/>
      <x:c r="E324" s="8"/>
      <x:c r="F324" s="20"/>
      <x:c r="G324" s="12"/>
      <x:c r="H324" s="21"/>
      <x:c r="I324" s="20"/>
      <x:c r="J324" s="20"/>
      <x:c r="K324" s="20"/>
      <x:c r="L324" s="12"/>
      <x:c r="M324" s="8"/>
      <x:c r="N324" s="12"/>
      <x:c r="O324" s="8"/>
      <x:c r="P324" s="8"/>
      <x:c r="Q324" s="8"/>
      <x:c r="R324" s="8"/>
      <x:c r="S324" s="8"/>
      <x:c r="T324" s="8"/>
      <x:c r="U324" s="12"/>
      <x:c r="V324" s="8"/>
      <x:c r="W324" s="8"/>
      <x:c r="X324" s="12"/>
      <x:c r="Y324" s="21"/>
      <x:c r="Z324" s="24" t="str">
        <x:f>IF($A324="","",INDEX(Settings!$C$29:$C$33,MATCH(E324,Settings!$A$29:$A$33,0)))</x:f>
      </x:c>
      <x:c r="AA324" s="22" t="str">
        <x:f>IF($A324="","",G324/Z324)</x:f>
      </x:c>
      <x:c r="AB324" s="25" t="str">
        <x:f>IF($A324="","",IF(ISNUMBER(Y324),Y324,Settings!$B$10))</x:f>
      </x:c>
      <x:c r="AC324" s="23" t="str">
        <x:f>IF($A324="","",G324*(1+AB324))</x:f>
      </x:c>
      <x:c r="AD324" s="23" t="str">
        <x:f>IF($A324="","",G324*F324*12)</x:f>
      </x:c>
      <x:c r="AE324" s="23" t="str">
        <x:f>IF($A324="","",G324*F324*J324)</x:f>
      </x:c>
      <x:c r="AF324" s="24" t="str">
        <x:f>IF($A324="","",L324*F324*K324*Settings!$B$13)</x:f>
      </x:c>
      <x:c r="AG324" s="23" t="str">
        <x:f>IF($A324="","",AD324*H324*I324)</x:f>
      </x:c>
      <x:c r="AH324" s="24" t="str">
        <x:f>IF($A324="","",SUM(AD324:AE324,AG324)*SUM(Settings!$B$11:$B$12))</x:f>
      </x:c>
      <x:c r="AI324" s="24" t="str">
        <x:f>IF($A324="","",M324*Settings!$B$16)</x:f>
      </x:c>
      <x:c r="AJ324" s="24" t="str">
        <x:f>IF($A324="","",M324*Settings!$B$15)</x:f>
      </x:c>
      <x:c r="AK324" s="24" t="str">
        <x:f>IF($A324="","",O324*Settings!$B$18)</x:f>
      </x:c>
      <x:c r="AL324" s="24" t="str">
        <x:f>IF($A324="","",P324*Settings!$B$20+Q324*Settings!$B$21+R324*Settings!$B$22+S324*Settings!$B$23)</x:f>
      </x:c>
      <x:c r="AM324" s="24" t="str">
        <x:f>IF($A324="","",T324*Settings!$B$24)</x:f>
      </x:c>
      <x:c r="AN324" s="23" t="str">
        <x:f>IF($A324="","",SUM(AI324,N324,AK324:AM324,U324))</x:f>
      </x:c>
      <x:c r="AO324" s="23" t="str">
        <x:f>IF($A324="","",SUM(AD324:AI324,N324,AK324:AM324,U324))</x:f>
      </x:c>
      <x:c r="AP324" s="24" t="str">
        <x:f>IF($A324="","",G324*F324*AB324*((13-Settings!$B$9)*(1+H324*I324)+J324)*(1+SUM(Settings!$B$11:$B$12)))</x:f>
      </x:c>
      <x:c r="AQ324" s="23" t="str">
        <x:f>IF($A324="","",SUM(AO324:AP324))</x:f>
      </x:c>
      <x:c r="AR324" s="23" t="str">
        <x:f>IF($A324="","",AQ324-X324)</x:f>
      </x:c>
      <x:c r="AS324" s="22" t="str">
        <x:f>IF($A324="","",IF(W324=0,"n.a.",V324/W324))</x:f>
      </x:c>
      <x:c r="AT324" s="26" t="str">
        <x:f>IF($A324="",IF(COUNTA(B324:Y324)&gt;0,"Missing ID",""),IF(COUNTIFS($A$9:$A$508,A324)&gt;1,"Duplicate ID",IF(OR(B324="",C324="",D324="",E324="",COUNT(F324:X324)&lt;&gt;19),"Missing / text input",IF(OR(COUNTIFS(Settings!$A$59:$A$64,B324)&lt;&gt;1,COUNTIFS(Settings!$A$29:$A$33,E324)&lt;&gt;1),"Unknown department / grade",IF(OR(F324&lt;=0,F324&gt;1,G324&lt;=0,L324&lt;=0,H324&lt;0,I324&lt;0,J324&lt;0,K324&lt;0,K324&gt;1,MIN(M324:X324)&lt;0,W324=0,V324&gt;W324,M324&gt;W324-V324,P324&gt;8,Q324&gt;4,R324&gt;12,S324&gt;12,T324&gt;1,AB324&lt;0),"Review quantity / rate",IF(OR(N324&gt;Settings!$C$17,AK324&gt;Settings!$C$19),"Review benefit ceiling","OK"))))))</x:f>
      </x:c>
    </x:row>
    <x:row r="325" ht="23" customHeight="1">
      <x:c r="A325" s="8"/>
      <x:c r="B325" s="8"/>
      <x:c r="C325" s="8"/>
      <x:c r="D325" s="8"/>
      <x:c r="E325" s="8"/>
      <x:c r="F325" s="20"/>
      <x:c r="G325" s="12"/>
      <x:c r="H325" s="21"/>
      <x:c r="I325" s="20"/>
      <x:c r="J325" s="20"/>
      <x:c r="K325" s="20"/>
      <x:c r="L325" s="12"/>
      <x:c r="M325" s="8"/>
      <x:c r="N325" s="12"/>
      <x:c r="O325" s="8"/>
      <x:c r="P325" s="8"/>
      <x:c r="Q325" s="8"/>
      <x:c r="R325" s="8"/>
      <x:c r="S325" s="8"/>
      <x:c r="T325" s="8"/>
      <x:c r="U325" s="12"/>
      <x:c r="V325" s="8"/>
      <x:c r="W325" s="8"/>
      <x:c r="X325" s="12"/>
      <x:c r="Y325" s="21"/>
      <x:c r="Z325" s="24" t="str">
        <x:f>IF($A325="","",INDEX(Settings!$C$29:$C$33,MATCH(E325,Settings!$A$29:$A$33,0)))</x:f>
      </x:c>
      <x:c r="AA325" s="22" t="str">
        <x:f>IF($A325="","",G325/Z325)</x:f>
      </x:c>
      <x:c r="AB325" s="25" t="str">
        <x:f>IF($A325="","",IF(ISNUMBER(Y325),Y325,Settings!$B$10))</x:f>
      </x:c>
      <x:c r="AC325" s="23" t="str">
        <x:f>IF($A325="","",G325*(1+AB325))</x:f>
      </x:c>
      <x:c r="AD325" s="23" t="str">
        <x:f>IF($A325="","",G325*F325*12)</x:f>
      </x:c>
      <x:c r="AE325" s="23" t="str">
        <x:f>IF($A325="","",G325*F325*J325)</x:f>
      </x:c>
      <x:c r="AF325" s="24" t="str">
        <x:f>IF($A325="","",L325*F325*K325*Settings!$B$13)</x:f>
      </x:c>
      <x:c r="AG325" s="23" t="str">
        <x:f>IF($A325="","",AD325*H325*I325)</x:f>
      </x:c>
      <x:c r="AH325" s="24" t="str">
        <x:f>IF($A325="","",SUM(AD325:AE325,AG325)*SUM(Settings!$B$11:$B$12))</x:f>
      </x:c>
      <x:c r="AI325" s="24" t="str">
        <x:f>IF($A325="","",M325*Settings!$B$16)</x:f>
      </x:c>
      <x:c r="AJ325" s="24" t="str">
        <x:f>IF($A325="","",M325*Settings!$B$15)</x:f>
      </x:c>
      <x:c r="AK325" s="24" t="str">
        <x:f>IF($A325="","",O325*Settings!$B$18)</x:f>
      </x:c>
      <x:c r="AL325" s="24" t="str">
        <x:f>IF($A325="","",P325*Settings!$B$20+Q325*Settings!$B$21+R325*Settings!$B$22+S325*Settings!$B$23)</x:f>
      </x:c>
      <x:c r="AM325" s="24" t="str">
        <x:f>IF($A325="","",T325*Settings!$B$24)</x:f>
      </x:c>
      <x:c r="AN325" s="23" t="str">
        <x:f>IF($A325="","",SUM(AI325,N325,AK325:AM325,U325))</x:f>
      </x:c>
      <x:c r="AO325" s="23" t="str">
        <x:f>IF($A325="","",SUM(AD325:AI325,N325,AK325:AM325,U325))</x:f>
      </x:c>
      <x:c r="AP325" s="24" t="str">
        <x:f>IF($A325="","",G325*F325*AB325*((13-Settings!$B$9)*(1+H325*I325)+J325)*(1+SUM(Settings!$B$11:$B$12)))</x:f>
      </x:c>
      <x:c r="AQ325" s="23" t="str">
        <x:f>IF($A325="","",SUM(AO325:AP325))</x:f>
      </x:c>
      <x:c r="AR325" s="23" t="str">
        <x:f>IF($A325="","",AQ325-X325)</x:f>
      </x:c>
      <x:c r="AS325" s="22" t="str">
        <x:f>IF($A325="","",IF(W325=0,"n.a.",V325/W325))</x:f>
      </x:c>
      <x:c r="AT325" s="26" t="str">
        <x:f>IF($A325="",IF(COUNTA(B325:Y325)&gt;0,"Missing ID",""),IF(COUNTIFS($A$9:$A$508,A325)&gt;1,"Duplicate ID",IF(OR(B325="",C325="",D325="",E325="",COUNT(F325:X325)&lt;&gt;19),"Missing / text input",IF(OR(COUNTIFS(Settings!$A$59:$A$64,B325)&lt;&gt;1,COUNTIFS(Settings!$A$29:$A$33,E325)&lt;&gt;1),"Unknown department / grade",IF(OR(F325&lt;=0,F325&gt;1,G325&lt;=0,L325&lt;=0,H325&lt;0,I325&lt;0,J325&lt;0,K325&lt;0,K325&gt;1,MIN(M325:X325)&lt;0,W325=0,V325&gt;W325,M325&gt;W325-V325,P325&gt;8,Q325&gt;4,R325&gt;12,S325&gt;12,T325&gt;1,AB325&lt;0),"Review quantity / rate",IF(OR(N325&gt;Settings!$C$17,AK325&gt;Settings!$C$19),"Review benefit ceiling","OK"))))))</x:f>
      </x:c>
    </x:row>
    <x:row r="326" ht="23" customHeight="1">
      <x:c r="A326" s="8"/>
      <x:c r="B326" s="8"/>
      <x:c r="C326" s="8"/>
      <x:c r="D326" s="8"/>
      <x:c r="E326" s="8"/>
      <x:c r="F326" s="20"/>
      <x:c r="G326" s="12"/>
      <x:c r="H326" s="21"/>
      <x:c r="I326" s="20"/>
      <x:c r="J326" s="20"/>
      <x:c r="K326" s="20"/>
      <x:c r="L326" s="12"/>
      <x:c r="M326" s="8"/>
      <x:c r="N326" s="12"/>
      <x:c r="O326" s="8"/>
      <x:c r="P326" s="8"/>
      <x:c r="Q326" s="8"/>
      <x:c r="R326" s="8"/>
      <x:c r="S326" s="8"/>
      <x:c r="T326" s="8"/>
      <x:c r="U326" s="12"/>
      <x:c r="V326" s="8"/>
      <x:c r="W326" s="8"/>
      <x:c r="X326" s="12"/>
      <x:c r="Y326" s="21"/>
      <x:c r="Z326" s="24" t="str">
        <x:f>IF($A326="","",INDEX(Settings!$C$29:$C$33,MATCH(E326,Settings!$A$29:$A$33,0)))</x:f>
      </x:c>
      <x:c r="AA326" s="22" t="str">
        <x:f>IF($A326="","",G326/Z326)</x:f>
      </x:c>
      <x:c r="AB326" s="25" t="str">
        <x:f>IF($A326="","",IF(ISNUMBER(Y326),Y326,Settings!$B$10))</x:f>
      </x:c>
      <x:c r="AC326" s="23" t="str">
        <x:f>IF($A326="","",G326*(1+AB326))</x:f>
      </x:c>
      <x:c r="AD326" s="23" t="str">
        <x:f>IF($A326="","",G326*F326*12)</x:f>
      </x:c>
      <x:c r="AE326" s="23" t="str">
        <x:f>IF($A326="","",G326*F326*J326)</x:f>
      </x:c>
      <x:c r="AF326" s="24" t="str">
        <x:f>IF($A326="","",L326*F326*K326*Settings!$B$13)</x:f>
      </x:c>
      <x:c r="AG326" s="23" t="str">
        <x:f>IF($A326="","",AD326*H326*I326)</x:f>
      </x:c>
      <x:c r="AH326" s="24" t="str">
        <x:f>IF($A326="","",SUM(AD326:AE326,AG326)*SUM(Settings!$B$11:$B$12))</x:f>
      </x:c>
      <x:c r="AI326" s="24" t="str">
        <x:f>IF($A326="","",M326*Settings!$B$16)</x:f>
      </x:c>
      <x:c r="AJ326" s="24" t="str">
        <x:f>IF($A326="","",M326*Settings!$B$15)</x:f>
      </x:c>
      <x:c r="AK326" s="24" t="str">
        <x:f>IF($A326="","",O326*Settings!$B$18)</x:f>
      </x:c>
      <x:c r="AL326" s="24" t="str">
        <x:f>IF($A326="","",P326*Settings!$B$20+Q326*Settings!$B$21+R326*Settings!$B$22+S326*Settings!$B$23)</x:f>
      </x:c>
      <x:c r="AM326" s="24" t="str">
        <x:f>IF($A326="","",T326*Settings!$B$24)</x:f>
      </x:c>
      <x:c r="AN326" s="23" t="str">
        <x:f>IF($A326="","",SUM(AI326,N326,AK326:AM326,U326))</x:f>
      </x:c>
      <x:c r="AO326" s="23" t="str">
        <x:f>IF($A326="","",SUM(AD326:AI326,N326,AK326:AM326,U326))</x:f>
      </x:c>
      <x:c r="AP326" s="24" t="str">
        <x:f>IF($A326="","",G326*F326*AB326*((13-Settings!$B$9)*(1+H326*I326)+J326)*(1+SUM(Settings!$B$11:$B$12)))</x:f>
      </x:c>
      <x:c r="AQ326" s="23" t="str">
        <x:f>IF($A326="","",SUM(AO326:AP326))</x:f>
      </x:c>
      <x:c r="AR326" s="23" t="str">
        <x:f>IF($A326="","",AQ326-X326)</x:f>
      </x:c>
      <x:c r="AS326" s="22" t="str">
        <x:f>IF($A326="","",IF(W326=0,"n.a.",V326/W326))</x:f>
      </x:c>
      <x:c r="AT326" s="26" t="str">
        <x:f>IF($A326="",IF(COUNTA(B326:Y326)&gt;0,"Missing ID",""),IF(COUNTIFS($A$9:$A$508,A326)&gt;1,"Duplicate ID",IF(OR(B326="",C326="",D326="",E326="",COUNT(F326:X326)&lt;&gt;19),"Missing / text input",IF(OR(COUNTIFS(Settings!$A$59:$A$64,B326)&lt;&gt;1,COUNTIFS(Settings!$A$29:$A$33,E326)&lt;&gt;1),"Unknown department / grade",IF(OR(F326&lt;=0,F326&gt;1,G326&lt;=0,L326&lt;=0,H326&lt;0,I326&lt;0,J326&lt;0,K326&lt;0,K326&gt;1,MIN(M326:X326)&lt;0,W326=0,V326&gt;W326,M326&gt;W326-V326,P326&gt;8,Q326&gt;4,R326&gt;12,S326&gt;12,T326&gt;1,AB326&lt;0),"Review quantity / rate",IF(OR(N326&gt;Settings!$C$17,AK326&gt;Settings!$C$19),"Review benefit ceiling","OK"))))))</x:f>
      </x:c>
    </x:row>
    <x:row r="327" ht="23" customHeight="1">
      <x:c r="A327" s="8"/>
      <x:c r="B327" s="8"/>
      <x:c r="C327" s="8"/>
      <x:c r="D327" s="8"/>
      <x:c r="E327" s="8"/>
      <x:c r="F327" s="20"/>
      <x:c r="G327" s="12"/>
      <x:c r="H327" s="21"/>
      <x:c r="I327" s="20"/>
      <x:c r="J327" s="20"/>
      <x:c r="K327" s="20"/>
      <x:c r="L327" s="12"/>
      <x:c r="M327" s="8"/>
      <x:c r="N327" s="12"/>
      <x:c r="O327" s="8"/>
      <x:c r="P327" s="8"/>
      <x:c r="Q327" s="8"/>
      <x:c r="R327" s="8"/>
      <x:c r="S327" s="8"/>
      <x:c r="T327" s="8"/>
      <x:c r="U327" s="12"/>
      <x:c r="V327" s="8"/>
      <x:c r="W327" s="8"/>
      <x:c r="X327" s="12"/>
      <x:c r="Y327" s="21"/>
      <x:c r="Z327" s="24" t="str">
        <x:f>IF($A327="","",INDEX(Settings!$C$29:$C$33,MATCH(E327,Settings!$A$29:$A$33,0)))</x:f>
      </x:c>
      <x:c r="AA327" s="22" t="str">
        <x:f>IF($A327="","",G327/Z327)</x:f>
      </x:c>
      <x:c r="AB327" s="25" t="str">
        <x:f>IF($A327="","",IF(ISNUMBER(Y327),Y327,Settings!$B$10))</x:f>
      </x:c>
      <x:c r="AC327" s="23" t="str">
        <x:f>IF($A327="","",G327*(1+AB327))</x:f>
      </x:c>
      <x:c r="AD327" s="23" t="str">
        <x:f>IF($A327="","",G327*F327*12)</x:f>
      </x:c>
      <x:c r="AE327" s="23" t="str">
        <x:f>IF($A327="","",G327*F327*J327)</x:f>
      </x:c>
      <x:c r="AF327" s="24" t="str">
        <x:f>IF($A327="","",L327*F327*K327*Settings!$B$13)</x:f>
      </x:c>
      <x:c r="AG327" s="23" t="str">
        <x:f>IF($A327="","",AD327*H327*I327)</x:f>
      </x:c>
      <x:c r="AH327" s="24" t="str">
        <x:f>IF($A327="","",SUM(AD327:AE327,AG327)*SUM(Settings!$B$11:$B$12))</x:f>
      </x:c>
      <x:c r="AI327" s="24" t="str">
        <x:f>IF($A327="","",M327*Settings!$B$16)</x:f>
      </x:c>
      <x:c r="AJ327" s="24" t="str">
        <x:f>IF($A327="","",M327*Settings!$B$15)</x:f>
      </x:c>
      <x:c r="AK327" s="24" t="str">
        <x:f>IF($A327="","",O327*Settings!$B$18)</x:f>
      </x:c>
      <x:c r="AL327" s="24" t="str">
        <x:f>IF($A327="","",P327*Settings!$B$20+Q327*Settings!$B$21+R327*Settings!$B$22+S327*Settings!$B$23)</x:f>
      </x:c>
      <x:c r="AM327" s="24" t="str">
        <x:f>IF($A327="","",T327*Settings!$B$24)</x:f>
      </x:c>
      <x:c r="AN327" s="23" t="str">
        <x:f>IF($A327="","",SUM(AI327,N327,AK327:AM327,U327))</x:f>
      </x:c>
      <x:c r="AO327" s="23" t="str">
        <x:f>IF($A327="","",SUM(AD327:AI327,N327,AK327:AM327,U327))</x:f>
      </x:c>
      <x:c r="AP327" s="24" t="str">
        <x:f>IF($A327="","",G327*F327*AB327*((13-Settings!$B$9)*(1+H327*I327)+J327)*(1+SUM(Settings!$B$11:$B$12)))</x:f>
      </x:c>
      <x:c r="AQ327" s="23" t="str">
        <x:f>IF($A327="","",SUM(AO327:AP327))</x:f>
      </x:c>
      <x:c r="AR327" s="23" t="str">
        <x:f>IF($A327="","",AQ327-X327)</x:f>
      </x:c>
      <x:c r="AS327" s="22" t="str">
        <x:f>IF($A327="","",IF(W327=0,"n.a.",V327/W327))</x:f>
      </x:c>
      <x:c r="AT327" s="26" t="str">
        <x:f>IF($A327="",IF(COUNTA(B327:Y327)&gt;0,"Missing ID",""),IF(COUNTIFS($A$9:$A$508,A327)&gt;1,"Duplicate ID",IF(OR(B327="",C327="",D327="",E327="",COUNT(F327:X327)&lt;&gt;19),"Missing / text input",IF(OR(COUNTIFS(Settings!$A$59:$A$64,B327)&lt;&gt;1,COUNTIFS(Settings!$A$29:$A$33,E327)&lt;&gt;1),"Unknown department / grade",IF(OR(F327&lt;=0,F327&gt;1,G327&lt;=0,L327&lt;=0,H327&lt;0,I327&lt;0,J327&lt;0,K327&lt;0,K327&gt;1,MIN(M327:X327)&lt;0,W327=0,V327&gt;W327,M327&gt;W327-V327,P327&gt;8,Q327&gt;4,R327&gt;12,S327&gt;12,T327&gt;1,AB327&lt;0),"Review quantity / rate",IF(OR(N327&gt;Settings!$C$17,AK327&gt;Settings!$C$19),"Review benefit ceiling","OK"))))))</x:f>
      </x:c>
    </x:row>
    <x:row r="328" ht="23" customHeight="1">
      <x:c r="A328" s="8"/>
      <x:c r="B328" s="8"/>
      <x:c r="C328" s="8"/>
      <x:c r="D328" s="8"/>
      <x:c r="E328" s="8"/>
      <x:c r="F328" s="20"/>
      <x:c r="G328" s="12"/>
      <x:c r="H328" s="21"/>
      <x:c r="I328" s="20"/>
      <x:c r="J328" s="20"/>
      <x:c r="K328" s="20"/>
      <x:c r="L328" s="12"/>
      <x:c r="M328" s="8"/>
      <x:c r="N328" s="12"/>
      <x:c r="O328" s="8"/>
      <x:c r="P328" s="8"/>
      <x:c r="Q328" s="8"/>
      <x:c r="R328" s="8"/>
      <x:c r="S328" s="8"/>
      <x:c r="T328" s="8"/>
      <x:c r="U328" s="12"/>
      <x:c r="V328" s="8"/>
      <x:c r="W328" s="8"/>
      <x:c r="X328" s="12"/>
      <x:c r="Y328" s="21"/>
      <x:c r="Z328" s="24" t="str">
        <x:f>IF($A328="","",INDEX(Settings!$C$29:$C$33,MATCH(E328,Settings!$A$29:$A$33,0)))</x:f>
      </x:c>
      <x:c r="AA328" s="22" t="str">
        <x:f>IF($A328="","",G328/Z328)</x:f>
      </x:c>
      <x:c r="AB328" s="25" t="str">
        <x:f>IF($A328="","",IF(ISNUMBER(Y328),Y328,Settings!$B$10))</x:f>
      </x:c>
      <x:c r="AC328" s="23" t="str">
        <x:f>IF($A328="","",G328*(1+AB328))</x:f>
      </x:c>
      <x:c r="AD328" s="23" t="str">
        <x:f>IF($A328="","",G328*F328*12)</x:f>
      </x:c>
      <x:c r="AE328" s="23" t="str">
        <x:f>IF($A328="","",G328*F328*J328)</x:f>
      </x:c>
      <x:c r="AF328" s="24" t="str">
        <x:f>IF($A328="","",L328*F328*K328*Settings!$B$13)</x:f>
      </x:c>
      <x:c r="AG328" s="23" t="str">
        <x:f>IF($A328="","",AD328*H328*I328)</x:f>
      </x:c>
      <x:c r="AH328" s="24" t="str">
        <x:f>IF($A328="","",SUM(AD328:AE328,AG328)*SUM(Settings!$B$11:$B$12))</x:f>
      </x:c>
      <x:c r="AI328" s="24" t="str">
        <x:f>IF($A328="","",M328*Settings!$B$16)</x:f>
      </x:c>
      <x:c r="AJ328" s="24" t="str">
        <x:f>IF($A328="","",M328*Settings!$B$15)</x:f>
      </x:c>
      <x:c r="AK328" s="24" t="str">
        <x:f>IF($A328="","",O328*Settings!$B$18)</x:f>
      </x:c>
      <x:c r="AL328" s="24" t="str">
        <x:f>IF($A328="","",P328*Settings!$B$20+Q328*Settings!$B$21+R328*Settings!$B$22+S328*Settings!$B$23)</x:f>
      </x:c>
      <x:c r="AM328" s="24" t="str">
        <x:f>IF($A328="","",T328*Settings!$B$24)</x:f>
      </x:c>
      <x:c r="AN328" s="23" t="str">
        <x:f>IF($A328="","",SUM(AI328,N328,AK328:AM328,U328))</x:f>
      </x:c>
      <x:c r="AO328" s="23" t="str">
        <x:f>IF($A328="","",SUM(AD328:AI328,N328,AK328:AM328,U328))</x:f>
      </x:c>
      <x:c r="AP328" s="24" t="str">
        <x:f>IF($A328="","",G328*F328*AB328*((13-Settings!$B$9)*(1+H328*I328)+J328)*(1+SUM(Settings!$B$11:$B$12)))</x:f>
      </x:c>
      <x:c r="AQ328" s="23" t="str">
        <x:f>IF($A328="","",SUM(AO328:AP328))</x:f>
      </x:c>
      <x:c r="AR328" s="23" t="str">
        <x:f>IF($A328="","",AQ328-X328)</x:f>
      </x:c>
      <x:c r="AS328" s="22" t="str">
        <x:f>IF($A328="","",IF(W328=0,"n.a.",V328/W328))</x:f>
      </x:c>
      <x:c r="AT328" s="26" t="str">
        <x:f>IF($A328="",IF(COUNTA(B328:Y328)&gt;0,"Missing ID",""),IF(COUNTIFS($A$9:$A$508,A328)&gt;1,"Duplicate ID",IF(OR(B328="",C328="",D328="",E328="",COUNT(F328:X328)&lt;&gt;19),"Missing / text input",IF(OR(COUNTIFS(Settings!$A$59:$A$64,B328)&lt;&gt;1,COUNTIFS(Settings!$A$29:$A$33,E328)&lt;&gt;1),"Unknown department / grade",IF(OR(F328&lt;=0,F328&gt;1,G328&lt;=0,L328&lt;=0,H328&lt;0,I328&lt;0,J328&lt;0,K328&lt;0,K328&gt;1,MIN(M328:X328)&lt;0,W328=0,V328&gt;W328,M328&gt;W328-V328,P328&gt;8,Q328&gt;4,R328&gt;12,S328&gt;12,T328&gt;1,AB328&lt;0),"Review quantity / rate",IF(OR(N328&gt;Settings!$C$17,AK328&gt;Settings!$C$19),"Review benefit ceiling","OK"))))))</x:f>
      </x:c>
    </x:row>
    <x:row r="329" ht="23" customHeight="1">
      <x:c r="A329" s="8"/>
      <x:c r="B329" s="8"/>
      <x:c r="C329" s="8"/>
      <x:c r="D329" s="8"/>
      <x:c r="E329" s="8"/>
      <x:c r="F329" s="20"/>
      <x:c r="G329" s="12"/>
      <x:c r="H329" s="21"/>
      <x:c r="I329" s="20"/>
      <x:c r="J329" s="20"/>
      <x:c r="K329" s="20"/>
      <x:c r="L329" s="12"/>
      <x:c r="M329" s="8"/>
      <x:c r="N329" s="12"/>
      <x:c r="O329" s="8"/>
      <x:c r="P329" s="8"/>
      <x:c r="Q329" s="8"/>
      <x:c r="R329" s="8"/>
      <x:c r="S329" s="8"/>
      <x:c r="T329" s="8"/>
      <x:c r="U329" s="12"/>
      <x:c r="V329" s="8"/>
      <x:c r="W329" s="8"/>
      <x:c r="X329" s="12"/>
      <x:c r="Y329" s="21"/>
      <x:c r="Z329" s="24" t="str">
        <x:f>IF($A329="","",INDEX(Settings!$C$29:$C$33,MATCH(E329,Settings!$A$29:$A$33,0)))</x:f>
      </x:c>
      <x:c r="AA329" s="22" t="str">
        <x:f>IF($A329="","",G329/Z329)</x:f>
      </x:c>
      <x:c r="AB329" s="25" t="str">
        <x:f>IF($A329="","",IF(ISNUMBER(Y329),Y329,Settings!$B$10))</x:f>
      </x:c>
      <x:c r="AC329" s="23" t="str">
        <x:f>IF($A329="","",G329*(1+AB329))</x:f>
      </x:c>
      <x:c r="AD329" s="23" t="str">
        <x:f>IF($A329="","",G329*F329*12)</x:f>
      </x:c>
      <x:c r="AE329" s="23" t="str">
        <x:f>IF($A329="","",G329*F329*J329)</x:f>
      </x:c>
      <x:c r="AF329" s="24" t="str">
        <x:f>IF($A329="","",L329*F329*K329*Settings!$B$13)</x:f>
      </x:c>
      <x:c r="AG329" s="23" t="str">
        <x:f>IF($A329="","",AD329*H329*I329)</x:f>
      </x:c>
      <x:c r="AH329" s="24" t="str">
        <x:f>IF($A329="","",SUM(AD329:AE329,AG329)*SUM(Settings!$B$11:$B$12))</x:f>
      </x:c>
      <x:c r="AI329" s="24" t="str">
        <x:f>IF($A329="","",M329*Settings!$B$16)</x:f>
      </x:c>
      <x:c r="AJ329" s="24" t="str">
        <x:f>IF($A329="","",M329*Settings!$B$15)</x:f>
      </x:c>
      <x:c r="AK329" s="24" t="str">
        <x:f>IF($A329="","",O329*Settings!$B$18)</x:f>
      </x:c>
      <x:c r="AL329" s="24" t="str">
        <x:f>IF($A329="","",P329*Settings!$B$20+Q329*Settings!$B$21+R329*Settings!$B$22+S329*Settings!$B$23)</x:f>
      </x:c>
      <x:c r="AM329" s="24" t="str">
        <x:f>IF($A329="","",T329*Settings!$B$24)</x:f>
      </x:c>
      <x:c r="AN329" s="23" t="str">
        <x:f>IF($A329="","",SUM(AI329,N329,AK329:AM329,U329))</x:f>
      </x:c>
      <x:c r="AO329" s="23" t="str">
        <x:f>IF($A329="","",SUM(AD329:AI329,N329,AK329:AM329,U329))</x:f>
      </x:c>
      <x:c r="AP329" s="24" t="str">
        <x:f>IF($A329="","",G329*F329*AB329*((13-Settings!$B$9)*(1+H329*I329)+J329)*(1+SUM(Settings!$B$11:$B$12)))</x:f>
      </x:c>
      <x:c r="AQ329" s="23" t="str">
        <x:f>IF($A329="","",SUM(AO329:AP329))</x:f>
      </x:c>
      <x:c r="AR329" s="23" t="str">
        <x:f>IF($A329="","",AQ329-X329)</x:f>
      </x:c>
      <x:c r="AS329" s="22" t="str">
        <x:f>IF($A329="","",IF(W329=0,"n.a.",V329/W329))</x:f>
      </x:c>
      <x:c r="AT329" s="26" t="str">
        <x:f>IF($A329="",IF(COUNTA(B329:Y329)&gt;0,"Missing ID",""),IF(COUNTIFS($A$9:$A$508,A329)&gt;1,"Duplicate ID",IF(OR(B329="",C329="",D329="",E329="",COUNT(F329:X329)&lt;&gt;19),"Missing / text input",IF(OR(COUNTIFS(Settings!$A$59:$A$64,B329)&lt;&gt;1,COUNTIFS(Settings!$A$29:$A$33,E329)&lt;&gt;1),"Unknown department / grade",IF(OR(F329&lt;=0,F329&gt;1,G329&lt;=0,L329&lt;=0,H329&lt;0,I329&lt;0,J329&lt;0,K329&lt;0,K329&gt;1,MIN(M329:X329)&lt;0,W329=0,V329&gt;W329,M329&gt;W329-V329,P329&gt;8,Q329&gt;4,R329&gt;12,S329&gt;12,T329&gt;1,AB329&lt;0),"Review quantity / rate",IF(OR(N329&gt;Settings!$C$17,AK329&gt;Settings!$C$19),"Review benefit ceiling","OK"))))))</x:f>
      </x:c>
    </x:row>
    <x:row r="330" ht="23" customHeight="1">
      <x:c r="A330" s="8"/>
      <x:c r="B330" s="8"/>
      <x:c r="C330" s="8"/>
      <x:c r="D330" s="8"/>
      <x:c r="E330" s="8"/>
      <x:c r="F330" s="20"/>
      <x:c r="G330" s="12"/>
      <x:c r="H330" s="21"/>
      <x:c r="I330" s="20"/>
      <x:c r="J330" s="20"/>
      <x:c r="K330" s="20"/>
      <x:c r="L330" s="12"/>
      <x:c r="M330" s="8"/>
      <x:c r="N330" s="12"/>
      <x:c r="O330" s="8"/>
      <x:c r="P330" s="8"/>
      <x:c r="Q330" s="8"/>
      <x:c r="R330" s="8"/>
      <x:c r="S330" s="8"/>
      <x:c r="T330" s="8"/>
      <x:c r="U330" s="12"/>
      <x:c r="V330" s="8"/>
      <x:c r="W330" s="8"/>
      <x:c r="X330" s="12"/>
      <x:c r="Y330" s="21"/>
      <x:c r="Z330" s="24" t="str">
        <x:f>IF($A330="","",INDEX(Settings!$C$29:$C$33,MATCH(E330,Settings!$A$29:$A$33,0)))</x:f>
      </x:c>
      <x:c r="AA330" s="22" t="str">
        <x:f>IF($A330="","",G330/Z330)</x:f>
      </x:c>
      <x:c r="AB330" s="25" t="str">
        <x:f>IF($A330="","",IF(ISNUMBER(Y330),Y330,Settings!$B$10))</x:f>
      </x:c>
      <x:c r="AC330" s="23" t="str">
        <x:f>IF($A330="","",G330*(1+AB330))</x:f>
      </x:c>
      <x:c r="AD330" s="23" t="str">
        <x:f>IF($A330="","",G330*F330*12)</x:f>
      </x:c>
      <x:c r="AE330" s="23" t="str">
        <x:f>IF($A330="","",G330*F330*J330)</x:f>
      </x:c>
      <x:c r="AF330" s="24" t="str">
        <x:f>IF($A330="","",L330*F330*K330*Settings!$B$13)</x:f>
      </x:c>
      <x:c r="AG330" s="23" t="str">
        <x:f>IF($A330="","",AD330*H330*I330)</x:f>
      </x:c>
      <x:c r="AH330" s="24" t="str">
        <x:f>IF($A330="","",SUM(AD330:AE330,AG330)*SUM(Settings!$B$11:$B$12))</x:f>
      </x:c>
      <x:c r="AI330" s="24" t="str">
        <x:f>IF($A330="","",M330*Settings!$B$16)</x:f>
      </x:c>
      <x:c r="AJ330" s="24" t="str">
        <x:f>IF($A330="","",M330*Settings!$B$15)</x:f>
      </x:c>
      <x:c r="AK330" s="24" t="str">
        <x:f>IF($A330="","",O330*Settings!$B$18)</x:f>
      </x:c>
      <x:c r="AL330" s="24" t="str">
        <x:f>IF($A330="","",P330*Settings!$B$20+Q330*Settings!$B$21+R330*Settings!$B$22+S330*Settings!$B$23)</x:f>
      </x:c>
      <x:c r="AM330" s="24" t="str">
        <x:f>IF($A330="","",T330*Settings!$B$24)</x:f>
      </x:c>
      <x:c r="AN330" s="23" t="str">
        <x:f>IF($A330="","",SUM(AI330,N330,AK330:AM330,U330))</x:f>
      </x:c>
      <x:c r="AO330" s="23" t="str">
        <x:f>IF($A330="","",SUM(AD330:AI330,N330,AK330:AM330,U330))</x:f>
      </x:c>
      <x:c r="AP330" s="24" t="str">
        <x:f>IF($A330="","",G330*F330*AB330*((13-Settings!$B$9)*(1+H330*I330)+J330)*(1+SUM(Settings!$B$11:$B$12)))</x:f>
      </x:c>
      <x:c r="AQ330" s="23" t="str">
        <x:f>IF($A330="","",SUM(AO330:AP330))</x:f>
      </x:c>
      <x:c r="AR330" s="23" t="str">
        <x:f>IF($A330="","",AQ330-X330)</x:f>
      </x:c>
      <x:c r="AS330" s="22" t="str">
        <x:f>IF($A330="","",IF(W330=0,"n.a.",V330/W330))</x:f>
      </x:c>
      <x:c r="AT330" s="26" t="str">
        <x:f>IF($A330="",IF(COUNTA(B330:Y330)&gt;0,"Missing ID",""),IF(COUNTIFS($A$9:$A$508,A330)&gt;1,"Duplicate ID",IF(OR(B330="",C330="",D330="",E330="",COUNT(F330:X330)&lt;&gt;19),"Missing / text input",IF(OR(COUNTIFS(Settings!$A$59:$A$64,B330)&lt;&gt;1,COUNTIFS(Settings!$A$29:$A$33,E330)&lt;&gt;1),"Unknown department / grade",IF(OR(F330&lt;=0,F330&gt;1,G330&lt;=0,L330&lt;=0,H330&lt;0,I330&lt;0,J330&lt;0,K330&lt;0,K330&gt;1,MIN(M330:X330)&lt;0,W330=0,V330&gt;W330,M330&gt;W330-V330,P330&gt;8,Q330&gt;4,R330&gt;12,S330&gt;12,T330&gt;1,AB330&lt;0),"Review quantity / rate",IF(OR(N330&gt;Settings!$C$17,AK330&gt;Settings!$C$19),"Review benefit ceiling","OK"))))))</x:f>
      </x:c>
    </x:row>
    <x:row r="331" ht="23" customHeight="1">
      <x:c r="A331" s="8"/>
      <x:c r="B331" s="8"/>
      <x:c r="C331" s="8"/>
      <x:c r="D331" s="8"/>
      <x:c r="E331" s="8"/>
      <x:c r="F331" s="20"/>
      <x:c r="G331" s="12"/>
      <x:c r="H331" s="21"/>
      <x:c r="I331" s="20"/>
      <x:c r="J331" s="20"/>
      <x:c r="K331" s="20"/>
      <x:c r="L331" s="12"/>
      <x:c r="M331" s="8"/>
      <x:c r="N331" s="12"/>
      <x:c r="O331" s="8"/>
      <x:c r="P331" s="8"/>
      <x:c r="Q331" s="8"/>
      <x:c r="R331" s="8"/>
      <x:c r="S331" s="8"/>
      <x:c r="T331" s="8"/>
      <x:c r="U331" s="12"/>
      <x:c r="V331" s="8"/>
      <x:c r="W331" s="8"/>
      <x:c r="X331" s="12"/>
      <x:c r="Y331" s="21"/>
      <x:c r="Z331" s="24" t="str">
        <x:f>IF($A331="","",INDEX(Settings!$C$29:$C$33,MATCH(E331,Settings!$A$29:$A$33,0)))</x:f>
      </x:c>
      <x:c r="AA331" s="22" t="str">
        <x:f>IF($A331="","",G331/Z331)</x:f>
      </x:c>
      <x:c r="AB331" s="25" t="str">
        <x:f>IF($A331="","",IF(ISNUMBER(Y331),Y331,Settings!$B$10))</x:f>
      </x:c>
      <x:c r="AC331" s="23" t="str">
        <x:f>IF($A331="","",G331*(1+AB331))</x:f>
      </x:c>
      <x:c r="AD331" s="23" t="str">
        <x:f>IF($A331="","",G331*F331*12)</x:f>
      </x:c>
      <x:c r="AE331" s="23" t="str">
        <x:f>IF($A331="","",G331*F331*J331)</x:f>
      </x:c>
      <x:c r="AF331" s="24" t="str">
        <x:f>IF($A331="","",L331*F331*K331*Settings!$B$13)</x:f>
      </x:c>
      <x:c r="AG331" s="23" t="str">
        <x:f>IF($A331="","",AD331*H331*I331)</x:f>
      </x:c>
      <x:c r="AH331" s="24" t="str">
        <x:f>IF($A331="","",SUM(AD331:AE331,AG331)*SUM(Settings!$B$11:$B$12))</x:f>
      </x:c>
      <x:c r="AI331" s="24" t="str">
        <x:f>IF($A331="","",M331*Settings!$B$16)</x:f>
      </x:c>
      <x:c r="AJ331" s="24" t="str">
        <x:f>IF($A331="","",M331*Settings!$B$15)</x:f>
      </x:c>
      <x:c r="AK331" s="24" t="str">
        <x:f>IF($A331="","",O331*Settings!$B$18)</x:f>
      </x:c>
      <x:c r="AL331" s="24" t="str">
        <x:f>IF($A331="","",P331*Settings!$B$20+Q331*Settings!$B$21+R331*Settings!$B$22+S331*Settings!$B$23)</x:f>
      </x:c>
      <x:c r="AM331" s="24" t="str">
        <x:f>IF($A331="","",T331*Settings!$B$24)</x:f>
      </x:c>
      <x:c r="AN331" s="23" t="str">
        <x:f>IF($A331="","",SUM(AI331,N331,AK331:AM331,U331))</x:f>
      </x:c>
      <x:c r="AO331" s="23" t="str">
        <x:f>IF($A331="","",SUM(AD331:AI331,N331,AK331:AM331,U331))</x:f>
      </x:c>
      <x:c r="AP331" s="24" t="str">
        <x:f>IF($A331="","",G331*F331*AB331*((13-Settings!$B$9)*(1+H331*I331)+J331)*(1+SUM(Settings!$B$11:$B$12)))</x:f>
      </x:c>
      <x:c r="AQ331" s="23" t="str">
        <x:f>IF($A331="","",SUM(AO331:AP331))</x:f>
      </x:c>
      <x:c r="AR331" s="23" t="str">
        <x:f>IF($A331="","",AQ331-X331)</x:f>
      </x:c>
      <x:c r="AS331" s="22" t="str">
        <x:f>IF($A331="","",IF(W331=0,"n.a.",V331/W331))</x:f>
      </x:c>
      <x:c r="AT331" s="26" t="str">
        <x:f>IF($A331="",IF(COUNTA(B331:Y331)&gt;0,"Missing ID",""),IF(COUNTIFS($A$9:$A$508,A331)&gt;1,"Duplicate ID",IF(OR(B331="",C331="",D331="",E331="",COUNT(F331:X331)&lt;&gt;19),"Missing / text input",IF(OR(COUNTIFS(Settings!$A$59:$A$64,B331)&lt;&gt;1,COUNTIFS(Settings!$A$29:$A$33,E331)&lt;&gt;1),"Unknown department / grade",IF(OR(F331&lt;=0,F331&gt;1,G331&lt;=0,L331&lt;=0,H331&lt;0,I331&lt;0,J331&lt;0,K331&lt;0,K331&gt;1,MIN(M331:X331)&lt;0,W331=0,V331&gt;W331,M331&gt;W331-V331,P331&gt;8,Q331&gt;4,R331&gt;12,S331&gt;12,T331&gt;1,AB331&lt;0),"Review quantity / rate",IF(OR(N331&gt;Settings!$C$17,AK331&gt;Settings!$C$19),"Review benefit ceiling","OK"))))))</x:f>
      </x:c>
    </x:row>
    <x:row r="332" ht="23" customHeight="1">
      <x:c r="A332" s="8"/>
      <x:c r="B332" s="8"/>
      <x:c r="C332" s="8"/>
      <x:c r="D332" s="8"/>
      <x:c r="E332" s="8"/>
      <x:c r="F332" s="20"/>
      <x:c r="G332" s="12"/>
      <x:c r="H332" s="21"/>
      <x:c r="I332" s="20"/>
      <x:c r="J332" s="20"/>
      <x:c r="K332" s="20"/>
      <x:c r="L332" s="12"/>
      <x:c r="M332" s="8"/>
      <x:c r="N332" s="12"/>
      <x:c r="O332" s="8"/>
      <x:c r="P332" s="8"/>
      <x:c r="Q332" s="8"/>
      <x:c r="R332" s="8"/>
      <x:c r="S332" s="8"/>
      <x:c r="T332" s="8"/>
      <x:c r="U332" s="12"/>
      <x:c r="V332" s="8"/>
      <x:c r="W332" s="8"/>
      <x:c r="X332" s="12"/>
      <x:c r="Y332" s="21"/>
      <x:c r="Z332" s="24" t="str">
        <x:f>IF($A332="","",INDEX(Settings!$C$29:$C$33,MATCH(E332,Settings!$A$29:$A$33,0)))</x:f>
      </x:c>
      <x:c r="AA332" s="22" t="str">
        <x:f>IF($A332="","",G332/Z332)</x:f>
      </x:c>
      <x:c r="AB332" s="25" t="str">
        <x:f>IF($A332="","",IF(ISNUMBER(Y332),Y332,Settings!$B$10))</x:f>
      </x:c>
      <x:c r="AC332" s="23" t="str">
        <x:f>IF($A332="","",G332*(1+AB332))</x:f>
      </x:c>
      <x:c r="AD332" s="23" t="str">
        <x:f>IF($A332="","",G332*F332*12)</x:f>
      </x:c>
      <x:c r="AE332" s="23" t="str">
        <x:f>IF($A332="","",G332*F332*J332)</x:f>
      </x:c>
      <x:c r="AF332" s="24" t="str">
        <x:f>IF($A332="","",L332*F332*K332*Settings!$B$13)</x:f>
      </x:c>
      <x:c r="AG332" s="23" t="str">
        <x:f>IF($A332="","",AD332*H332*I332)</x:f>
      </x:c>
      <x:c r="AH332" s="24" t="str">
        <x:f>IF($A332="","",SUM(AD332:AE332,AG332)*SUM(Settings!$B$11:$B$12))</x:f>
      </x:c>
      <x:c r="AI332" s="24" t="str">
        <x:f>IF($A332="","",M332*Settings!$B$16)</x:f>
      </x:c>
      <x:c r="AJ332" s="24" t="str">
        <x:f>IF($A332="","",M332*Settings!$B$15)</x:f>
      </x:c>
      <x:c r="AK332" s="24" t="str">
        <x:f>IF($A332="","",O332*Settings!$B$18)</x:f>
      </x:c>
      <x:c r="AL332" s="24" t="str">
        <x:f>IF($A332="","",P332*Settings!$B$20+Q332*Settings!$B$21+R332*Settings!$B$22+S332*Settings!$B$23)</x:f>
      </x:c>
      <x:c r="AM332" s="24" t="str">
        <x:f>IF($A332="","",T332*Settings!$B$24)</x:f>
      </x:c>
      <x:c r="AN332" s="23" t="str">
        <x:f>IF($A332="","",SUM(AI332,N332,AK332:AM332,U332))</x:f>
      </x:c>
      <x:c r="AO332" s="23" t="str">
        <x:f>IF($A332="","",SUM(AD332:AI332,N332,AK332:AM332,U332))</x:f>
      </x:c>
      <x:c r="AP332" s="24" t="str">
        <x:f>IF($A332="","",G332*F332*AB332*((13-Settings!$B$9)*(1+H332*I332)+J332)*(1+SUM(Settings!$B$11:$B$12)))</x:f>
      </x:c>
      <x:c r="AQ332" s="23" t="str">
        <x:f>IF($A332="","",SUM(AO332:AP332))</x:f>
      </x:c>
      <x:c r="AR332" s="23" t="str">
        <x:f>IF($A332="","",AQ332-X332)</x:f>
      </x:c>
      <x:c r="AS332" s="22" t="str">
        <x:f>IF($A332="","",IF(W332=0,"n.a.",V332/W332))</x:f>
      </x:c>
      <x:c r="AT332" s="26" t="str">
        <x:f>IF($A332="",IF(COUNTA(B332:Y332)&gt;0,"Missing ID",""),IF(COUNTIFS($A$9:$A$508,A332)&gt;1,"Duplicate ID",IF(OR(B332="",C332="",D332="",E332="",COUNT(F332:X332)&lt;&gt;19),"Missing / text input",IF(OR(COUNTIFS(Settings!$A$59:$A$64,B332)&lt;&gt;1,COUNTIFS(Settings!$A$29:$A$33,E332)&lt;&gt;1),"Unknown department / grade",IF(OR(F332&lt;=0,F332&gt;1,G332&lt;=0,L332&lt;=0,H332&lt;0,I332&lt;0,J332&lt;0,K332&lt;0,K332&gt;1,MIN(M332:X332)&lt;0,W332=0,V332&gt;W332,M332&gt;W332-V332,P332&gt;8,Q332&gt;4,R332&gt;12,S332&gt;12,T332&gt;1,AB332&lt;0),"Review quantity / rate",IF(OR(N332&gt;Settings!$C$17,AK332&gt;Settings!$C$19),"Review benefit ceiling","OK"))))))</x:f>
      </x:c>
    </x:row>
    <x:row r="333" ht="23" customHeight="1">
      <x:c r="A333" s="8"/>
      <x:c r="B333" s="8"/>
      <x:c r="C333" s="8"/>
      <x:c r="D333" s="8"/>
      <x:c r="E333" s="8"/>
      <x:c r="F333" s="20"/>
      <x:c r="G333" s="12"/>
      <x:c r="H333" s="21"/>
      <x:c r="I333" s="20"/>
      <x:c r="J333" s="20"/>
      <x:c r="K333" s="20"/>
      <x:c r="L333" s="12"/>
      <x:c r="M333" s="8"/>
      <x:c r="N333" s="12"/>
      <x:c r="O333" s="8"/>
      <x:c r="P333" s="8"/>
      <x:c r="Q333" s="8"/>
      <x:c r="R333" s="8"/>
      <x:c r="S333" s="8"/>
      <x:c r="T333" s="8"/>
      <x:c r="U333" s="12"/>
      <x:c r="V333" s="8"/>
      <x:c r="W333" s="8"/>
      <x:c r="X333" s="12"/>
      <x:c r="Y333" s="21"/>
      <x:c r="Z333" s="24" t="str">
        <x:f>IF($A333="","",INDEX(Settings!$C$29:$C$33,MATCH(E333,Settings!$A$29:$A$33,0)))</x:f>
      </x:c>
      <x:c r="AA333" s="22" t="str">
        <x:f>IF($A333="","",G333/Z333)</x:f>
      </x:c>
      <x:c r="AB333" s="25" t="str">
        <x:f>IF($A333="","",IF(ISNUMBER(Y333),Y333,Settings!$B$10))</x:f>
      </x:c>
      <x:c r="AC333" s="23" t="str">
        <x:f>IF($A333="","",G333*(1+AB333))</x:f>
      </x:c>
      <x:c r="AD333" s="23" t="str">
        <x:f>IF($A333="","",G333*F333*12)</x:f>
      </x:c>
      <x:c r="AE333" s="23" t="str">
        <x:f>IF($A333="","",G333*F333*J333)</x:f>
      </x:c>
      <x:c r="AF333" s="24" t="str">
        <x:f>IF($A333="","",L333*F333*K333*Settings!$B$13)</x:f>
      </x:c>
      <x:c r="AG333" s="23" t="str">
        <x:f>IF($A333="","",AD333*H333*I333)</x:f>
      </x:c>
      <x:c r="AH333" s="24" t="str">
        <x:f>IF($A333="","",SUM(AD333:AE333,AG333)*SUM(Settings!$B$11:$B$12))</x:f>
      </x:c>
      <x:c r="AI333" s="24" t="str">
        <x:f>IF($A333="","",M333*Settings!$B$16)</x:f>
      </x:c>
      <x:c r="AJ333" s="24" t="str">
        <x:f>IF($A333="","",M333*Settings!$B$15)</x:f>
      </x:c>
      <x:c r="AK333" s="24" t="str">
        <x:f>IF($A333="","",O333*Settings!$B$18)</x:f>
      </x:c>
      <x:c r="AL333" s="24" t="str">
        <x:f>IF($A333="","",P333*Settings!$B$20+Q333*Settings!$B$21+R333*Settings!$B$22+S333*Settings!$B$23)</x:f>
      </x:c>
      <x:c r="AM333" s="24" t="str">
        <x:f>IF($A333="","",T333*Settings!$B$24)</x:f>
      </x:c>
      <x:c r="AN333" s="23" t="str">
        <x:f>IF($A333="","",SUM(AI333,N333,AK333:AM333,U333))</x:f>
      </x:c>
      <x:c r="AO333" s="23" t="str">
        <x:f>IF($A333="","",SUM(AD333:AI333,N333,AK333:AM333,U333))</x:f>
      </x:c>
      <x:c r="AP333" s="24" t="str">
        <x:f>IF($A333="","",G333*F333*AB333*((13-Settings!$B$9)*(1+H333*I333)+J333)*(1+SUM(Settings!$B$11:$B$12)))</x:f>
      </x:c>
      <x:c r="AQ333" s="23" t="str">
        <x:f>IF($A333="","",SUM(AO333:AP333))</x:f>
      </x:c>
      <x:c r="AR333" s="23" t="str">
        <x:f>IF($A333="","",AQ333-X333)</x:f>
      </x:c>
      <x:c r="AS333" s="22" t="str">
        <x:f>IF($A333="","",IF(W333=0,"n.a.",V333/W333))</x:f>
      </x:c>
      <x:c r="AT333" s="26" t="str">
        <x:f>IF($A333="",IF(COUNTA(B333:Y333)&gt;0,"Missing ID",""),IF(COUNTIFS($A$9:$A$508,A333)&gt;1,"Duplicate ID",IF(OR(B333="",C333="",D333="",E333="",COUNT(F333:X333)&lt;&gt;19),"Missing / text input",IF(OR(COUNTIFS(Settings!$A$59:$A$64,B333)&lt;&gt;1,COUNTIFS(Settings!$A$29:$A$33,E333)&lt;&gt;1),"Unknown department / grade",IF(OR(F333&lt;=0,F333&gt;1,G333&lt;=0,L333&lt;=0,H333&lt;0,I333&lt;0,J333&lt;0,K333&lt;0,K333&gt;1,MIN(M333:X333)&lt;0,W333=0,V333&gt;W333,M333&gt;W333-V333,P333&gt;8,Q333&gt;4,R333&gt;12,S333&gt;12,T333&gt;1,AB333&lt;0),"Review quantity / rate",IF(OR(N333&gt;Settings!$C$17,AK333&gt;Settings!$C$19),"Review benefit ceiling","OK"))))))</x:f>
      </x:c>
    </x:row>
    <x:row r="334" ht="23" customHeight="1">
      <x:c r="A334" s="8"/>
      <x:c r="B334" s="8"/>
      <x:c r="C334" s="8"/>
      <x:c r="D334" s="8"/>
      <x:c r="E334" s="8"/>
      <x:c r="F334" s="20"/>
      <x:c r="G334" s="12"/>
      <x:c r="H334" s="21"/>
      <x:c r="I334" s="20"/>
      <x:c r="J334" s="20"/>
      <x:c r="K334" s="20"/>
      <x:c r="L334" s="12"/>
      <x:c r="M334" s="8"/>
      <x:c r="N334" s="12"/>
      <x:c r="O334" s="8"/>
      <x:c r="P334" s="8"/>
      <x:c r="Q334" s="8"/>
      <x:c r="R334" s="8"/>
      <x:c r="S334" s="8"/>
      <x:c r="T334" s="8"/>
      <x:c r="U334" s="12"/>
      <x:c r="V334" s="8"/>
      <x:c r="W334" s="8"/>
      <x:c r="X334" s="12"/>
      <x:c r="Y334" s="21"/>
      <x:c r="Z334" s="24" t="str">
        <x:f>IF($A334="","",INDEX(Settings!$C$29:$C$33,MATCH(E334,Settings!$A$29:$A$33,0)))</x:f>
      </x:c>
      <x:c r="AA334" s="22" t="str">
        <x:f>IF($A334="","",G334/Z334)</x:f>
      </x:c>
      <x:c r="AB334" s="25" t="str">
        <x:f>IF($A334="","",IF(ISNUMBER(Y334),Y334,Settings!$B$10))</x:f>
      </x:c>
      <x:c r="AC334" s="23" t="str">
        <x:f>IF($A334="","",G334*(1+AB334))</x:f>
      </x:c>
      <x:c r="AD334" s="23" t="str">
        <x:f>IF($A334="","",G334*F334*12)</x:f>
      </x:c>
      <x:c r="AE334" s="23" t="str">
        <x:f>IF($A334="","",G334*F334*J334)</x:f>
      </x:c>
      <x:c r="AF334" s="24" t="str">
        <x:f>IF($A334="","",L334*F334*K334*Settings!$B$13)</x:f>
      </x:c>
      <x:c r="AG334" s="23" t="str">
        <x:f>IF($A334="","",AD334*H334*I334)</x:f>
      </x:c>
      <x:c r="AH334" s="24" t="str">
        <x:f>IF($A334="","",SUM(AD334:AE334,AG334)*SUM(Settings!$B$11:$B$12))</x:f>
      </x:c>
      <x:c r="AI334" s="24" t="str">
        <x:f>IF($A334="","",M334*Settings!$B$16)</x:f>
      </x:c>
      <x:c r="AJ334" s="24" t="str">
        <x:f>IF($A334="","",M334*Settings!$B$15)</x:f>
      </x:c>
      <x:c r="AK334" s="24" t="str">
        <x:f>IF($A334="","",O334*Settings!$B$18)</x:f>
      </x:c>
      <x:c r="AL334" s="24" t="str">
        <x:f>IF($A334="","",P334*Settings!$B$20+Q334*Settings!$B$21+R334*Settings!$B$22+S334*Settings!$B$23)</x:f>
      </x:c>
      <x:c r="AM334" s="24" t="str">
        <x:f>IF($A334="","",T334*Settings!$B$24)</x:f>
      </x:c>
      <x:c r="AN334" s="23" t="str">
        <x:f>IF($A334="","",SUM(AI334,N334,AK334:AM334,U334))</x:f>
      </x:c>
      <x:c r="AO334" s="23" t="str">
        <x:f>IF($A334="","",SUM(AD334:AI334,N334,AK334:AM334,U334))</x:f>
      </x:c>
      <x:c r="AP334" s="24" t="str">
        <x:f>IF($A334="","",G334*F334*AB334*((13-Settings!$B$9)*(1+H334*I334)+J334)*(1+SUM(Settings!$B$11:$B$12)))</x:f>
      </x:c>
      <x:c r="AQ334" s="23" t="str">
        <x:f>IF($A334="","",SUM(AO334:AP334))</x:f>
      </x:c>
      <x:c r="AR334" s="23" t="str">
        <x:f>IF($A334="","",AQ334-X334)</x:f>
      </x:c>
      <x:c r="AS334" s="22" t="str">
        <x:f>IF($A334="","",IF(W334=0,"n.a.",V334/W334))</x:f>
      </x:c>
      <x:c r="AT334" s="26" t="str">
        <x:f>IF($A334="",IF(COUNTA(B334:Y334)&gt;0,"Missing ID",""),IF(COUNTIFS($A$9:$A$508,A334)&gt;1,"Duplicate ID",IF(OR(B334="",C334="",D334="",E334="",COUNT(F334:X334)&lt;&gt;19),"Missing / text input",IF(OR(COUNTIFS(Settings!$A$59:$A$64,B334)&lt;&gt;1,COUNTIFS(Settings!$A$29:$A$33,E334)&lt;&gt;1),"Unknown department / grade",IF(OR(F334&lt;=0,F334&gt;1,G334&lt;=0,L334&lt;=0,H334&lt;0,I334&lt;0,J334&lt;0,K334&lt;0,K334&gt;1,MIN(M334:X334)&lt;0,W334=0,V334&gt;W334,M334&gt;W334-V334,P334&gt;8,Q334&gt;4,R334&gt;12,S334&gt;12,T334&gt;1,AB334&lt;0),"Review quantity / rate",IF(OR(N334&gt;Settings!$C$17,AK334&gt;Settings!$C$19),"Review benefit ceiling","OK"))))))</x:f>
      </x:c>
    </x:row>
    <x:row r="335" ht="23" customHeight="1">
      <x:c r="A335" s="8"/>
      <x:c r="B335" s="8"/>
      <x:c r="C335" s="8"/>
      <x:c r="D335" s="8"/>
      <x:c r="E335" s="8"/>
      <x:c r="F335" s="20"/>
      <x:c r="G335" s="12"/>
      <x:c r="H335" s="21"/>
      <x:c r="I335" s="20"/>
      <x:c r="J335" s="20"/>
      <x:c r="K335" s="20"/>
      <x:c r="L335" s="12"/>
      <x:c r="M335" s="8"/>
      <x:c r="N335" s="12"/>
      <x:c r="O335" s="8"/>
      <x:c r="P335" s="8"/>
      <x:c r="Q335" s="8"/>
      <x:c r="R335" s="8"/>
      <x:c r="S335" s="8"/>
      <x:c r="T335" s="8"/>
      <x:c r="U335" s="12"/>
      <x:c r="V335" s="8"/>
      <x:c r="W335" s="8"/>
      <x:c r="X335" s="12"/>
      <x:c r="Y335" s="21"/>
      <x:c r="Z335" s="24" t="str">
        <x:f>IF($A335="","",INDEX(Settings!$C$29:$C$33,MATCH(E335,Settings!$A$29:$A$33,0)))</x:f>
      </x:c>
      <x:c r="AA335" s="22" t="str">
        <x:f>IF($A335="","",G335/Z335)</x:f>
      </x:c>
      <x:c r="AB335" s="25" t="str">
        <x:f>IF($A335="","",IF(ISNUMBER(Y335),Y335,Settings!$B$10))</x:f>
      </x:c>
      <x:c r="AC335" s="23" t="str">
        <x:f>IF($A335="","",G335*(1+AB335))</x:f>
      </x:c>
      <x:c r="AD335" s="23" t="str">
        <x:f>IF($A335="","",G335*F335*12)</x:f>
      </x:c>
      <x:c r="AE335" s="23" t="str">
        <x:f>IF($A335="","",G335*F335*J335)</x:f>
      </x:c>
      <x:c r="AF335" s="24" t="str">
        <x:f>IF($A335="","",L335*F335*K335*Settings!$B$13)</x:f>
      </x:c>
      <x:c r="AG335" s="23" t="str">
        <x:f>IF($A335="","",AD335*H335*I335)</x:f>
      </x:c>
      <x:c r="AH335" s="24" t="str">
        <x:f>IF($A335="","",SUM(AD335:AE335,AG335)*SUM(Settings!$B$11:$B$12))</x:f>
      </x:c>
      <x:c r="AI335" s="24" t="str">
        <x:f>IF($A335="","",M335*Settings!$B$16)</x:f>
      </x:c>
      <x:c r="AJ335" s="24" t="str">
        <x:f>IF($A335="","",M335*Settings!$B$15)</x:f>
      </x:c>
      <x:c r="AK335" s="24" t="str">
        <x:f>IF($A335="","",O335*Settings!$B$18)</x:f>
      </x:c>
      <x:c r="AL335" s="24" t="str">
        <x:f>IF($A335="","",P335*Settings!$B$20+Q335*Settings!$B$21+R335*Settings!$B$22+S335*Settings!$B$23)</x:f>
      </x:c>
      <x:c r="AM335" s="24" t="str">
        <x:f>IF($A335="","",T335*Settings!$B$24)</x:f>
      </x:c>
      <x:c r="AN335" s="23" t="str">
        <x:f>IF($A335="","",SUM(AI335,N335,AK335:AM335,U335))</x:f>
      </x:c>
      <x:c r="AO335" s="23" t="str">
        <x:f>IF($A335="","",SUM(AD335:AI335,N335,AK335:AM335,U335))</x:f>
      </x:c>
      <x:c r="AP335" s="24" t="str">
        <x:f>IF($A335="","",G335*F335*AB335*((13-Settings!$B$9)*(1+H335*I335)+J335)*(1+SUM(Settings!$B$11:$B$12)))</x:f>
      </x:c>
      <x:c r="AQ335" s="23" t="str">
        <x:f>IF($A335="","",SUM(AO335:AP335))</x:f>
      </x:c>
      <x:c r="AR335" s="23" t="str">
        <x:f>IF($A335="","",AQ335-X335)</x:f>
      </x:c>
      <x:c r="AS335" s="22" t="str">
        <x:f>IF($A335="","",IF(W335=0,"n.a.",V335/W335))</x:f>
      </x:c>
      <x:c r="AT335" s="26" t="str">
        <x:f>IF($A335="",IF(COUNTA(B335:Y335)&gt;0,"Missing ID",""),IF(COUNTIFS($A$9:$A$508,A335)&gt;1,"Duplicate ID",IF(OR(B335="",C335="",D335="",E335="",COUNT(F335:X335)&lt;&gt;19),"Missing / text input",IF(OR(COUNTIFS(Settings!$A$59:$A$64,B335)&lt;&gt;1,COUNTIFS(Settings!$A$29:$A$33,E335)&lt;&gt;1),"Unknown department / grade",IF(OR(F335&lt;=0,F335&gt;1,G335&lt;=0,L335&lt;=0,H335&lt;0,I335&lt;0,J335&lt;0,K335&lt;0,K335&gt;1,MIN(M335:X335)&lt;0,W335=0,V335&gt;W335,M335&gt;W335-V335,P335&gt;8,Q335&gt;4,R335&gt;12,S335&gt;12,T335&gt;1,AB335&lt;0),"Review quantity / rate",IF(OR(N335&gt;Settings!$C$17,AK335&gt;Settings!$C$19),"Review benefit ceiling","OK"))))))</x:f>
      </x:c>
    </x:row>
    <x:row r="336" ht="23" customHeight="1">
      <x:c r="A336" s="8"/>
      <x:c r="B336" s="8"/>
      <x:c r="C336" s="8"/>
      <x:c r="D336" s="8"/>
      <x:c r="E336" s="8"/>
      <x:c r="F336" s="20"/>
      <x:c r="G336" s="12"/>
      <x:c r="H336" s="21"/>
      <x:c r="I336" s="20"/>
      <x:c r="J336" s="20"/>
      <x:c r="K336" s="20"/>
      <x:c r="L336" s="12"/>
      <x:c r="M336" s="8"/>
      <x:c r="N336" s="12"/>
      <x:c r="O336" s="8"/>
      <x:c r="P336" s="8"/>
      <x:c r="Q336" s="8"/>
      <x:c r="R336" s="8"/>
      <x:c r="S336" s="8"/>
      <x:c r="T336" s="8"/>
      <x:c r="U336" s="12"/>
      <x:c r="V336" s="8"/>
      <x:c r="W336" s="8"/>
      <x:c r="X336" s="12"/>
      <x:c r="Y336" s="21"/>
      <x:c r="Z336" s="24" t="str">
        <x:f>IF($A336="","",INDEX(Settings!$C$29:$C$33,MATCH(E336,Settings!$A$29:$A$33,0)))</x:f>
      </x:c>
      <x:c r="AA336" s="22" t="str">
        <x:f>IF($A336="","",G336/Z336)</x:f>
      </x:c>
      <x:c r="AB336" s="25" t="str">
        <x:f>IF($A336="","",IF(ISNUMBER(Y336),Y336,Settings!$B$10))</x:f>
      </x:c>
      <x:c r="AC336" s="23" t="str">
        <x:f>IF($A336="","",G336*(1+AB336))</x:f>
      </x:c>
      <x:c r="AD336" s="23" t="str">
        <x:f>IF($A336="","",G336*F336*12)</x:f>
      </x:c>
      <x:c r="AE336" s="23" t="str">
        <x:f>IF($A336="","",G336*F336*J336)</x:f>
      </x:c>
      <x:c r="AF336" s="24" t="str">
        <x:f>IF($A336="","",L336*F336*K336*Settings!$B$13)</x:f>
      </x:c>
      <x:c r="AG336" s="23" t="str">
        <x:f>IF($A336="","",AD336*H336*I336)</x:f>
      </x:c>
      <x:c r="AH336" s="24" t="str">
        <x:f>IF($A336="","",SUM(AD336:AE336,AG336)*SUM(Settings!$B$11:$B$12))</x:f>
      </x:c>
      <x:c r="AI336" s="24" t="str">
        <x:f>IF($A336="","",M336*Settings!$B$16)</x:f>
      </x:c>
      <x:c r="AJ336" s="24" t="str">
        <x:f>IF($A336="","",M336*Settings!$B$15)</x:f>
      </x:c>
      <x:c r="AK336" s="24" t="str">
        <x:f>IF($A336="","",O336*Settings!$B$18)</x:f>
      </x:c>
      <x:c r="AL336" s="24" t="str">
        <x:f>IF($A336="","",P336*Settings!$B$20+Q336*Settings!$B$21+R336*Settings!$B$22+S336*Settings!$B$23)</x:f>
      </x:c>
      <x:c r="AM336" s="24" t="str">
        <x:f>IF($A336="","",T336*Settings!$B$24)</x:f>
      </x:c>
      <x:c r="AN336" s="23" t="str">
        <x:f>IF($A336="","",SUM(AI336,N336,AK336:AM336,U336))</x:f>
      </x:c>
      <x:c r="AO336" s="23" t="str">
        <x:f>IF($A336="","",SUM(AD336:AI336,N336,AK336:AM336,U336))</x:f>
      </x:c>
      <x:c r="AP336" s="24" t="str">
        <x:f>IF($A336="","",G336*F336*AB336*((13-Settings!$B$9)*(1+H336*I336)+J336)*(1+SUM(Settings!$B$11:$B$12)))</x:f>
      </x:c>
      <x:c r="AQ336" s="23" t="str">
        <x:f>IF($A336="","",SUM(AO336:AP336))</x:f>
      </x:c>
      <x:c r="AR336" s="23" t="str">
        <x:f>IF($A336="","",AQ336-X336)</x:f>
      </x:c>
      <x:c r="AS336" s="22" t="str">
        <x:f>IF($A336="","",IF(W336=0,"n.a.",V336/W336))</x:f>
      </x:c>
      <x:c r="AT336" s="26" t="str">
        <x:f>IF($A336="",IF(COUNTA(B336:Y336)&gt;0,"Missing ID",""),IF(COUNTIFS($A$9:$A$508,A336)&gt;1,"Duplicate ID",IF(OR(B336="",C336="",D336="",E336="",COUNT(F336:X336)&lt;&gt;19),"Missing / text input",IF(OR(COUNTIFS(Settings!$A$59:$A$64,B336)&lt;&gt;1,COUNTIFS(Settings!$A$29:$A$33,E336)&lt;&gt;1),"Unknown department / grade",IF(OR(F336&lt;=0,F336&gt;1,G336&lt;=0,L336&lt;=0,H336&lt;0,I336&lt;0,J336&lt;0,K336&lt;0,K336&gt;1,MIN(M336:X336)&lt;0,W336=0,V336&gt;W336,M336&gt;W336-V336,P336&gt;8,Q336&gt;4,R336&gt;12,S336&gt;12,T336&gt;1,AB336&lt;0),"Review quantity / rate",IF(OR(N336&gt;Settings!$C$17,AK336&gt;Settings!$C$19),"Review benefit ceiling","OK"))))))</x:f>
      </x:c>
    </x:row>
    <x:row r="337" ht="23" customHeight="1">
      <x:c r="A337" s="8"/>
      <x:c r="B337" s="8"/>
      <x:c r="C337" s="8"/>
      <x:c r="D337" s="8"/>
      <x:c r="E337" s="8"/>
      <x:c r="F337" s="20"/>
      <x:c r="G337" s="12"/>
      <x:c r="H337" s="21"/>
      <x:c r="I337" s="20"/>
      <x:c r="J337" s="20"/>
      <x:c r="K337" s="20"/>
      <x:c r="L337" s="12"/>
      <x:c r="M337" s="8"/>
      <x:c r="N337" s="12"/>
      <x:c r="O337" s="8"/>
      <x:c r="P337" s="8"/>
      <x:c r="Q337" s="8"/>
      <x:c r="R337" s="8"/>
      <x:c r="S337" s="8"/>
      <x:c r="T337" s="8"/>
      <x:c r="U337" s="12"/>
      <x:c r="V337" s="8"/>
      <x:c r="W337" s="8"/>
      <x:c r="X337" s="12"/>
      <x:c r="Y337" s="21"/>
      <x:c r="Z337" s="24" t="str">
        <x:f>IF($A337="","",INDEX(Settings!$C$29:$C$33,MATCH(E337,Settings!$A$29:$A$33,0)))</x:f>
      </x:c>
      <x:c r="AA337" s="22" t="str">
        <x:f>IF($A337="","",G337/Z337)</x:f>
      </x:c>
      <x:c r="AB337" s="25" t="str">
        <x:f>IF($A337="","",IF(ISNUMBER(Y337),Y337,Settings!$B$10))</x:f>
      </x:c>
      <x:c r="AC337" s="23" t="str">
        <x:f>IF($A337="","",G337*(1+AB337))</x:f>
      </x:c>
      <x:c r="AD337" s="23" t="str">
        <x:f>IF($A337="","",G337*F337*12)</x:f>
      </x:c>
      <x:c r="AE337" s="23" t="str">
        <x:f>IF($A337="","",G337*F337*J337)</x:f>
      </x:c>
      <x:c r="AF337" s="24" t="str">
        <x:f>IF($A337="","",L337*F337*K337*Settings!$B$13)</x:f>
      </x:c>
      <x:c r="AG337" s="23" t="str">
        <x:f>IF($A337="","",AD337*H337*I337)</x:f>
      </x:c>
      <x:c r="AH337" s="24" t="str">
        <x:f>IF($A337="","",SUM(AD337:AE337,AG337)*SUM(Settings!$B$11:$B$12))</x:f>
      </x:c>
      <x:c r="AI337" s="24" t="str">
        <x:f>IF($A337="","",M337*Settings!$B$16)</x:f>
      </x:c>
      <x:c r="AJ337" s="24" t="str">
        <x:f>IF($A337="","",M337*Settings!$B$15)</x:f>
      </x:c>
      <x:c r="AK337" s="24" t="str">
        <x:f>IF($A337="","",O337*Settings!$B$18)</x:f>
      </x:c>
      <x:c r="AL337" s="24" t="str">
        <x:f>IF($A337="","",P337*Settings!$B$20+Q337*Settings!$B$21+R337*Settings!$B$22+S337*Settings!$B$23)</x:f>
      </x:c>
      <x:c r="AM337" s="24" t="str">
        <x:f>IF($A337="","",T337*Settings!$B$24)</x:f>
      </x:c>
      <x:c r="AN337" s="23" t="str">
        <x:f>IF($A337="","",SUM(AI337,N337,AK337:AM337,U337))</x:f>
      </x:c>
      <x:c r="AO337" s="23" t="str">
        <x:f>IF($A337="","",SUM(AD337:AI337,N337,AK337:AM337,U337))</x:f>
      </x:c>
      <x:c r="AP337" s="24" t="str">
        <x:f>IF($A337="","",G337*F337*AB337*((13-Settings!$B$9)*(1+H337*I337)+J337)*(1+SUM(Settings!$B$11:$B$12)))</x:f>
      </x:c>
      <x:c r="AQ337" s="23" t="str">
        <x:f>IF($A337="","",SUM(AO337:AP337))</x:f>
      </x:c>
      <x:c r="AR337" s="23" t="str">
        <x:f>IF($A337="","",AQ337-X337)</x:f>
      </x:c>
      <x:c r="AS337" s="22" t="str">
        <x:f>IF($A337="","",IF(W337=0,"n.a.",V337/W337))</x:f>
      </x:c>
      <x:c r="AT337" s="26" t="str">
        <x:f>IF($A337="",IF(COUNTA(B337:Y337)&gt;0,"Missing ID",""),IF(COUNTIFS($A$9:$A$508,A337)&gt;1,"Duplicate ID",IF(OR(B337="",C337="",D337="",E337="",COUNT(F337:X337)&lt;&gt;19),"Missing / text input",IF(OR(COUNTIFS(Settings!$A$59:$A$64,B337)&lt;&gt;1,COUNTIFS(Settings!$A$29:$A$33,E337)&lt;&gt;1),"Unknown department / grade",IF(OR(F337&lt;=0,F337&gt;1,G337&lt;=0,L337&lt;=0,H337&lt;0,I337&lt;0,J337&lt;0,K337&lt;0,K337&gt;1,MIN(M337:X337)&lt;0,W337=0,V337&gt;W337,M337&gt;W337-V337,P337&gt;8,Q337&gt;4,R337&gt;12,S337&gt;12,T337&gt;1,AB337&lt;0),"Review quantity / rate",IF(OR(N337&gt;Settings!$C$17,AK337&gt;Settings!$C$19),"Review benefit ceiling","OK"))))))</x:f>
      </x:c>
    </x:row>
    <x:row r="338" ht="23" customHeight="1">
      <x:c r="A338" s="8"/>
      <x:c r="B338" s="8"/>
      <x:c r="C338" s="8"/>
      <x:c r="D338" s="8"/>
      <x:c r="E338" s="8"/>
      <x:c r="F338" s="20"/>
      <x:c r="G338" s="12"/>
      <x:c r="H338" s="21"/>
      <x:c r="I338" s="20"/>
      <x:c r="J338" s="20"/>
      <x:c r="K338" s="20"/>
      <x:c r="L338" s="12"/>
      <x:c r="M338" s="8"/>
      <x:c r="N338" s="12"/>
      <x:c r="O338" s="8"/>
      <x:c r="P338" s="8"/>
      <x:c r="Q338" s="8"/>
      <x:c r="R338" s="8"/>
      <x:c r="S338" s="8"/>
      <x:c r="T338" s="8"/>
      <x:c r="U338" s="12"/>
      <x:c r="V338" s="8"/>
      <x:c r="W338" s="8"/>
      <x:c r="X338" s="12"/>
      <x:c r="Y338" s="21"/>
      <x:c r="Z338" s="24" t="str">
        <x:f>IF($A338="","",INDEX(Settings!$C$29:$C$33,MATCH(E338,Settings!$A$29:$A$33,0)))</x:f>
      </x:c>
      <x:c r="AA338" s="22" t="str">
        <x:f>IF($A338="","",G338/Z338)</x:f>
      </x:c>
      <x:c r="AB338" s="25" t="str">
        <x:f>IF($A338="","",IF(ISNUMBER(Y338),Y338,Settings!$B$10))</x:f>
      </x:c>
      <x:c r="AC338" s="23" t="str">
        <x:f>IF($A338="","",G338*(1+AB338))</x:f>
      </x:c>
      <x:c r="AD338" s="23" t="str">
        <x:f>IF($A338="","",G338*F338*12)</x:f>
      </x:c>
      <x:c r="AE338" s="23" t="str">
        <x:f>IF($A338="","",G338*F338*J338)</x:f>
      </x:c>
      <x:c r="AF338" s="24" t="str">
        <x:f>IF($A338="","",L338*F338*K338*Settings!$B$13)</x:f>
      </x:c>
      <x:c r="AG338" s="23" t="str">
        <x:f>IF($A338="","",AD338*H338*I338)</x:f>
      </x:c>
      <x:c r="AH338" s="24" t="str">
        <x:f>IF($A338="","",SUM(AD338:AE338,AG338)*SUM(Settings!$B$11:$B$12))</x:f>
      </x:c>
      <x:c r="AI338" s="24" t="str">
        <x:f>IF($A338="","",M338*Settings!$B$16)</x:f>
      </x:c>
      <x:c r="AJ338" s="24" t="str">
        <x:f>IF($A338="","",M338*Settings!$B$15)</x:f>
      </x:c>
      <x:c r="AK338" s="24" t="str">
        <x:f>IF($A338="","",O338*Settings!$B$18)</x:f>
      </x:c>
      <x:c r="AL338" s="24" t="str">
        <x:f>IF($A338="","",P338*Settings!$B$20+Q338*Settings!$B$21+R338*Settings!$B$22+S338*Settings!$B$23)</x:f>
      </x:c>
      <x:c r="AM338" s="24" t="str">
        <x:f>IF($A338="","",T338*Settings!$B$24)</x:f>
      </x:c>
      <x:c r="AN338" s="23" t="str">
        <x:f>IF($A338="","",SUM(AI338,N338,AK338:AM338,U338))</x:f>
      </x:c>
      <x:c r="AO338" s="23" t="str">
        <x:f>IF($A338="","",SUM(AD338:AI338,N338,AK338:AM338,U338))</x:f>
      </x:c>
      <x:c r="AP338" s="24" t="str">
        <x:f>IF($A338="","",G338*F338*AB338*((13-Settings!$B$9)*(1+H338*I338)+J338)*(1+SUM(Settings!$B$11:$B$12)))</x:f>
      </x:c>
      <x:c r="AQ338" s="23" t="str">
        <x:f>IF($A338="","",SUM(AO338:AP338))</x:f>
      </x:c>
      <x:c r="AR338" s="23" t="str">
        <x:f>IF($A338="","",AQ338-X338)</x:f>
      </x:c>
      <x:c r="AS338" s="22" t="str">
        <x:f>IF($A338="","",IF(W338=0,"n.a.",V338/W338))</x:f>
      </x:c>
      <x:c r="AT338" s="26" t="str">
        <x:f>IF($A338="",IF(COUNTA(B338:Y338)&gt;0,"Missing ID",""),IF(COUNTIFS($A$9:$A$508,A338)&gt;1,"Duplicate ID",IF(OR(B338="",C338="",D338="",E338="",COUNT(F338:X338)&lt;&gt;19),"Missing / text input",IF(OR(COUNTIFS(Settings!$A$59:$A$64,B338)&lt;&gt;1,COUNTIFS(Settings!$A$29:$A$33,E338)&lt;&gt;1),"Unknown department / grade",IF(OR(F338&lt;=0,F338&gt;1,G338&lt;=0,L338&lt;=0,H338&lt;0,I338&lt;0,J338&lt;0,K338&lt;0,K338&gt;1,MIN(M338:X338)&lt;0,W338=0,V338&gt;W338,M338&gt;W338-V338,P338&gt;8,Q338&gt;4,R338&gt;12,S338&gt;12,T338&gt;1,AB338&lt;0),"Review quantity / rate",IF(OR(N338&gt;Settings!$C$17,AK338&gt;Settings!$C$19),"Review benefit ceiling","OK"))))))</x:f>
      </x:c>
    </x:row>
    <x:row r="339" ht="23" customHeight="1">
      <x:c r="A339" s="8"/>
      <x:c r="B339" s="8"/>
      <x:c r="C339" s="8"/>
      <x:c r="D339" s="8"/>
      <x:c r="E339" s="8"/>
      <x:c r="F339" s="20"/>
      <x:c r="G339" s="12"/>
      <x:c r="H339" s="21"/>
      <x:c r="I339" s="20"/>
      <x:c r="J339" s="20"/>
      <x:c r="K339" s="20"/>
      <x:c r="L339" s="12"/>
      <x:c r="M339" s="8"/>
      <x:c r="N339" s="12"/>
      <x:c r="O339" s="8"/>
      <x:c r="P339" s="8"/>
      <x:c r="Q339" s="8"/>
      <x:c r="R339" s="8"/>
      <x:c r="S339" s="8"/>
      <x:c r="T339" s="8"/>
      <x:c r="U339" s="12"/>
      <x:c r="V339" s="8"/>
      <x:c r="W339" s="8"/>
      <x:c r="X339" s="12"/>
      <x:c r="Y339" s="21"/>
      <x:c r="Z339" s="24" t="str">
        <x:f>IF($A339="","",INDEX(Settings!$C$29:$C$33,MATCH(E339,Settings!$A$29:$A$33,0)))</x:f>
      </x:c>
      <x:c r="AA339" s="22" t="str">
        <x:f>IF($A339="","",G339/Z339)</x:f>
      </x:c>
      <x:c r="AB339" s="25" t="str">
        <x:f>IF($A339="","",IF(ISNUMBER(Y339),Y339,Settings!$B$10))</x:f>
      </x:c>
      <x:c r="AC339" s="23" t="str">
        <x:f>IF($A339="","",G339*(1+AB339))</x:f>
      </x:c>
      <x:c r="AD339" s="23" t="str">
        <x:f>IF($A339="","",G339*F339*12)</x:f>
      </x:c>
      <x:c r="AE339" s="23" t="str">
        <x:f>IF($A339="","",G339*F339*J339)</x:f>
      </x:c>
      <x:c r="AF339" s="24" t="str">
        <x:f>IF($A339="","",L339*F339*K339*Settings!$B$13)</x:f>
      </x:c>
      <x:c r="AG339" s="23" t="str">
        <x:f>IF($A339="","",AD339*H339*I339)</x:f>
      </x:c>
      <x:c r="AH339" s="24" t="str">
        <x:f>IF($A339="","",SUM(AD339:AE339,AG339)*SUM(Settings!$B$11:$B$12))</x:f>
      </x:c>
      <x:c r="AI339" s="24" t="str">
        <x:f>IF($A339="","",M339*Settings!$B$16)</x:f>
      </x:c>
      <x:c r="AJ339" s="24" t="str">
        <x:f>IF($A339="","",M339*Settings!$B$15)</x:f>
      </x:c>
      <x:c r="AK339" s="24" t="str">
        <x:f>IF($A339="","",O339*Settings!$B$18)</x:f>
      </x:c>
      <x:c r="AL339" s="24" t="str">
        <x:f>IF($A339="","",P339*Settings!$B$20+Q339*Settings!$B$21+R339*Settings!$B$22+S339*Settings!$B$23)</x:f>
      </x:c>
      <x:c r="AM339" s="24" t="str">
        <x:f>IF($A339="","",T339*Settings!$B$24)</x:f>
      </x:c>
      <x:c r="AN339" s="23" t="str">
        <x:f>IF($A339="","",SUM(AI339,N339,AK339:AM339,U339))</x:f>
      </x:c>
      <x:c r="AO339" s="23" t="str">
        <x:f>IF($A339="","",SUM(AD339:AI339,N339,AK339:AM339,U339))</x:f>
      </x:c>
      <x:c r="AP339" s="24" t="str">
        <x:f>IF($A339="","",G339*F339*AB339*((13-Settings!$B$9)*(1+H339*I339)+J339)*(1+SUM(Settings!$B$11:$B$12)))</x:f>
      </x:c>
      <x:c r="AQ339" s="23" t="str">
        <x:f>IF($A339="","",SUM(AO339:AP339))</x:f>
      </x:c>
      <x:c r="AR339" s="23" t="str">
        <x:f>IF($A339="","",AQ339-X339)</x:f>
      </x:c>
      <x:c r="AS339" s="22" t="str">
        <x:f>IF($A339="","",IF(W339=0,"n.a.",V339/W339))</x:f>
      </x:c>
      <x:c r="AT339" s="26" t="str">
        <x:f>IF($A339="",IF(COUNTA(B339:Y339)&gt;0,"Missing ID",""),IF(COUNTIFS($A$9:$A$508,A339)&gt;1,"Duplicate ID",IF(OR(B339="",C339="",D339="",E339="",COUNT(F339:X339)&lt;&gt;19),"Missing / text input",IF(OR(COUNTIFS(Settings!$A$59:$A$64,B339)&lt;&gt;1,COUNTIFS(Settings!$A$29:$A$33,E339)&lt;&gt;1),"Unknown department / grade",IF(OR(F339&lt;=0,F339&gt;1,G339&lt;=0,L339&lt;=0,H339&lt;0,I339&lt;0,J339&lt;0,K339&lt;0,K339&gt;1,MIN(M339:X339)&lt;0,W339=0,V339&gt;W339,M339&gt;W339-V339,P339&gt;8,Q339&gt;4,R339&gt;12,S339&gt;12,T339&gt;1,AB339&lt;0),"Review quantity / rate",IF(OR(N339&gt;Settings!$C$17,AK339&gt;Settings!$C$19),"Review benefit ceiling","OK"))))))</x:f>
      </x:c>
    </x:row>
    <x:row r="340" ht="23" customHeight="1">
      <x:c r="A340" s="8"/>
      <x:c r="B340" s="8"/>
      <x:c r="C340" s="8"/>
      <x:c r="D340" s="8"/>
      <x:c r="E340" s="8"/>
      <x:c r="F340" s="20"/>
      <x:c r="G340" s="12"/>
      <x:c r="H340" s="21"/>
      <x:c r="I340" s="20"/>
      <x:c r="J340" s="20"/>
      <x:c r="K340" s="20"/>
      <x:c r="L340" s="12"/>
      <x:c r="M340" s="8"/>
      <x:c r="N340" s="12"/>
      <x:c r="O340" s="8"/>
      <x:c r="P340" s="8"/>
      <x:c r="Q340" s="8"/>
      <x:c r="R340" s="8"/>
      <x:c r="S340" s="8"/>
      <x:c r="T340" s="8"/>
      <x:c r="U340" s="12"/>
      <x:c r="V340" s="8"/>
      <x:c r="W340" s="8"/>
      <x:c r="X340" s="12"/>
      <x:c r="Y340" s="21"/>
      <x:c r="Z340" s="24" t="str">
        <x:f>IF($A340="","",INDEX(Settings!$C$29:$C$33,MATCH(E340,Settings!$A$29:$A$33,0)))</x:f>
      </x:c>
      <x:c r="AA340" s="22" t="str">
        <x:f>IF($A340="","",G340/Z340)</x:f>
      </x:c>
      <x:c r="AB340" s="25" t="str">
        <x:f>IF($A340="","",IF(ISNUMBER(Y340),Y340,Settings!$B$10))</x:f>
      </x:c>
      <x:c r="AC340" s="23" t="str">
        <x:f>IF($A340="","",G340*(1+AB340))</x:f>
      </x:c>
      <x:c r="AD340" s="23" t="str">
        <x:f>IF($A340="","",G340*F340*12)</x:f>
      </x:c>
      <x:c r="AE340" s="23" t="str">
        <x:f>IF($A340="","",G340*F340*J340)</x:f>
      </x:c>
      <x:c r="AF340" s="24" t="str">
        <x:f>IF($A340="","",L340*F340*K340*Settings!$B$13)</x:f>
      </x:c>
      <x:c r="AG340" s="23" t="str">
        <x:f>IF($A340="","",AD340*H340*I340)</x:f>
      </x:c>
      <x:c r="AH340" s="24" t="str">
        <x:f>IF($A340="","",SUM(AD340:AE340,AG340)*SUM(Settings!$B$11:$B$12))</x:f>
      </x:c>
      <x:c r="AI340" s="24" t="str">
        <x:f>IF($A340="","",M340*Settings!$B$16)</x:f>
      </x:c>
      <x:c r="AJ340" s="24" t="str">
        <x:f>IF($A340="","",M340*Settings!$B$15)</x:f>
      </x:c>
      <x:c r="AK340" s="24" t="str">
        <x:f>IF($A340="","",O340*Settings!$B$18)</x:f>
      </x:c>
      <x:c r="AL340" s="24" t="str">
        <x:f>IF($A340="","",P340*Settings!$B$20+Q340*Settings!$B$21+R340*Settings!$B$22+S340*Settings!$B$23)</x:f>
      </x:c>
      <x:c r="AM340" s="24" t="str">
        <x:f>IF($A340="","",T340*Settings!$B$24)</x:f>
      </x:c>
      <x:c r="AN340" s="23" t="str">
        <x:f>IF($A340="","",SUM(AI340,N340,AK340:AM340,U340))</x:f>
      </x:c>
      <x:c r="AO340" s="23" t="str">
        <x:f>IF($A340="","",SUM(AD340:AI340,N340,AK340:AM340,U340))</x:f>
      </x:c>
      <x:c r="AP340" s="24" t="str">
        <x:f>IF($A340="","",G340*F340*AB340*((13-Settings!$B$9)*(1+H340*I340)+J340)*(1+SUM(Settings!$B$11:$B$12)))</x:f>
      </x:c>
      <x:c r="AQ340" s="23" t="str">
        <x:f>IF($A340="","",SUM(AO340:AP340))</x:f>
      </x:c>
      <x:c r="AR340" s="23" t="str">
        <x:f>IF($A340="","",AQ340-X340)</x:f>
      </x:c>
      <x:c r="AS340" s="22" t="str">
        <x:f>IF($A340="","",IF(W340=0,"n.a.",V340/W340))</x:f>
      </x:c>
      <x:c r="AT340" s="26" t="str">
        <x:f>IF($A340="",IF(COUNTA(B340:Y340)&gt;0,"Missing ID",""),IF(COUNTIFS($A$9:$A$508,A340)&gt;1,"Duplicate ID",IF(OR(B340="",C340="",D340="",E340="",COUNT(F340:X340)&lt;&gt;19),"Missing / text input",IF(OR(COUNTIFS(Settings!$A$59:$A$64,B340)&lt;&gt;1,COUNTIFS(Settings!$A$29:$A$33,E340)&lt;&gt;1),"Unknown department / grade",IF(OR(F340&lt;=0,F340&gt;1,G340&lt;=0,L340&lt;=0,H340&lt;0,I340&lt;0,J340&lt;0,K340&lt;0,K340&gt;1,MIN(M340:X340)&lt;0,W340=0,V340&gt;W340,M340&gt;W340-V340,P340&gt;8,Q340&gt;4,R340&gt;12,S340&gt;12,T340&gt;1,AB340&lt;0),"Review quantity / rate",IF(OR(N340&gt;Settings!$C$17,AK340&gt;Settings!$C$19),"Review benefit ceiling","OK"))))))</x:f>
      </x:c>
    </x:row>
    <x:row r="341" ht="23" customHeight="1">
      <x:c r="A341" s="8"/>
      <x:c r="B341" s="8"/>
      <x:c r="C341" s="8"/>
      <x:c r="D341" s="8"/>
      <x:c r="E341" s="8"/>
      <x:c r="F341" s="20"/>
      <x:c r="G341" s="12"/>
      <x:c r="H341" s="21"/>
      <x:c r="I341" s="20"/>
      <x:c r="J341" s="20"/>
      <x:c r="K341" s="20"/>
      <x:c r="L341" s="12"/>
      <x:c r="M341" s="8"/>
      <x:c r="N341" s="12"/>
      <x:c r="O341" s="8"/>
      <x:c r="P341" s="8"/>
      <x:c r="Q341" s="8"/>
      <x:c r="R341" s="8"/>
      <x:c r="S341" s="8"/>
      <x:c r="T341" s="8"/>
      <x:c r="U341" s="12"/>
      <x:c r="V341" s="8"/>
      <x:c r="W341" s="8"/>
      <x:c r="X341" s="12"/>
      <x:c r="Y341" s="21"/>
      <x:c r="Z341" s="24" t="str">
        <x:f>IF($A341="","",INDEX(Settings!$C$29:$C$33,MATCH(E341,Settings!$A$29:$A$33,0)))</x:f>
      </x:c>
      <x:c r="AA341" s="22" t="str">
        <x:f>IF($A341="","",G341/Z341)</x:f>
      </x:c>
      <x:c r="AB341" s="25" t="str">
        <x:f>IF($A341="","",IF(ISNUMBER(Y341),Y341,Settings!$B$10))</x:f>
      </x:c>
      <x:c r="AC341" s="23" t="str">
        <x:f>IF($A341="","",G341*(1+AB341))</x:f>
      </x:c>
      <x:c r="AD341" s="23" t="str">
        <x:f>IF($A341="","",G341*F341*12)</x:f>
      </x:c>
      <x:c r="AE341" s="23" t="str">
        <x:f>IF($A341="","",G341*F341*J341)</x:f>
      </x:c>
      <x:c r="AF341" s="24" t="str">
        <x:f>IF($A341="","",L341*F341*K341*Settings!$B$13)</x:f>
      </x:c>
      <x:c r="AG341" s="23" t="str">
        <x:f>IF($A341="","",AD341*H341*I341)</x:f>
      </x:c>
      <x:c r="AH341" s="24" t="str">
        <x:f>IF($A341="","",SUM(AD341:AE341,AG341)*SUM(Settings!$B$11:$B$12))</x:f>
      </x:c>
      <x:c r="AI341" s="24" t="str">
        <x:f>IF($A341="","",M341*Settings!$B$16)</x:f>
      </x:c>
      <x:c r="AJ341" s="24" t="str">
        <x:f>IF($A341="","",M341*Settings!$B$15)</x:f>
      </x:c>
      <x:c r="AK341" s="24" t="str">
        <x:f>IF($A341="","",O341*Settings!$B$18)</x:f>
      </x:c>
      <x:c r="AL341" s="24" t="str">
        <x:f>IF($A341="","",P341*Settings!$B$20+Q341*Settings!$B$21+R341*Settings!$B$22+S341*Settings!$B$23)</x:f>
      </x:c>
      <x:c r="AM341" s="24" t="str">
        <x:f>IF($A341="","",T341*Settings!$B$24)</x:f>
      </x:c>
      <x:c r="AN341" s="23" t="str">
        <x:f>IF($A341="","",SUM(AI341,N341,AK341:AM341,U341))</x:f>
      </x:c>
      <x:c r="AO341" s="23" t="str">
        <x:f>IF($A341="","",SUM(AD341:AI341,N341,AK341:AM341,U341))</x:f>
      </x:c>
      <x:c r="AP341" s="24" t="str">
        <x:f>IF($A341="","",G341*F341*AB341*((13-Settings!$B$9)*(1+H341*I341)+J341)*(1+SUM(Settings!$B$11:$B$12)))</x:f>
      </x:c>
      <x:c r="AQ341" s="23" t="str">
        <x:f>IF($A341="","",SUM(AO341:AP341))</x:f>
      </x:c>
      <x:c r="AR341" s="23" t="str">
        <x:f>IF($A341="","",AQ341-X341)</x:f>
      </x:c>
      <x:c r="AS341" s="22" t="str">
        <x:f>IF($A341="","",IF(W341=0,"n.a.",V341/W341))</x:f>
      </x:c>
      <x:c r="AT341" s="26" t="str">
        <x:f>IF($A341="",IF(COUNTA(B341:Y341)&gt;0,"Missing ID",""),IF(COUNTIFS($A$9:$A$508,A341)&gt;1,"Duplicate ID",IF(OR(B341="",C341="",D341="",E341="",COUNT(F341:X341)&lt;&gt;19),"Missing / text input",IF(OR(COUNTIFS(Settings!$A$59:$A$64,B341)&lt;&gt;1,COUNTIFS(Settings!$A$29:$A$33,E341)&lt;&gt;1),"Unknown department / grade",IF(OR(F341&lt;=0,F341&gt;1,G341&lt;=0,L341&lt;=0,H341&lt;0,I341&lt;0,J341&lt;0,K341&lt;0,K341&gt;1,MIN(M341:X341)&lt;0,W341=0,V341&gt;W341,M341&gt;W341-V341,P341&gt;8,Q341&gt;4,R341&gt;12,S341&gt;12,T341&gt;1,AB341&lt;0),"Review quantity / rate",IF(OR(N341&gt;Settings!$C$17,AK341&gt;Settings!$C$19),"Review benefit ceiling","OK"))))))</x:f>
      </x:c>
    </x:row>
    <x:row r="342" ht="23" customHeight="1">
      <x:c r="A342" s="8"/>
      <x:c r="B342" s="8"/>
      <x:c r="C342" s="8"/>
      <x:c r="D342" s="8"/>
      <x:c r="E342" s="8"/>
      <x:c r="F342" s="20"/>
      <x:c r="G342" s="12"/>
      <x:c r="H342" s="21"/>
      <x:c r="I342" s="20"/>
      <x:c r="J342" s="20"/>
      <x:c r="K342" s="20"/>
      <x:c r="L342" s="12"/>
      <x:c r="M342" s="8"/>
      <x:c r="N342" s="12"/>
      <x:c r="O342" s="8"/>
      <x:c r="P342" s="8"/>
      <x:c r="Q342" s="8"/>
      <x:c r="R342" s="8"/>
      <x:c r="S342" s="8"/>
      <x:c r="T342" s="8"/>
      <x:c r="U342" s="12"/>
      <x:c r="V342" s="8"/>
      <x:c r="W342" s="8"/>
      <x:c r="X342" s="12"/>
      <x:c r="Y342" s="21"/>
      <x:c r="Z342" s="24" t="str">
        <x:f>IF($A342="","",INDEX(Settings!$C$29:$C$33,MATCH(E342,Settings!$A$29:$A$33,0)))</x:f>
      </x:c>
      <x:c r="AA342" s="22" t="str">
        <x:f>IF($A342="","",G342/Z342)</x:f>
      </x:c>
      <x:c r="AB342" s="25" t="str">
        <x:f>IF($A342="","",IF(ISNUMBER(Y342),Y342,Settings!$B$10))</x:f>
      </x:c>
      <x:c r="AC342" s="23" t="str">
        <x:f>IF($A342="","",G342*(1+AB342))</x:f>
      </x:c>
      <x:c r="AD342" s="23" t="str">
        <x:f>IF($A342="","",G342*F342*12)</x:f>
      </x:c>
      <x:c r="AE342" s="23" t="str">
        <x:f>IF($A342="","",G342*F342*J342)</x:f>
      </x:c>
      <x:c r="AF342" s="24" t="str">
        <x:f>IF($A342="","",L342*F342*K342*Settings!$B$13)</x:f>
      </x:c>
      <x:c r="AG342" s="23" t="str">
        <x:f>IF($A342="","",AD342*H342*I342)</x:f>
      </x:c>
      <x:c r="AH342" s="24" t="str">
        <x:f>IF($A342="","",SUM(AD342:AE342,AG342)*SUM(Settings!$B$11:$B$12))</x:f>
      </x:c>
      <x:c r="AI342" s="24" t="str">
        <x:f>IF($A342="","",M342*Settings!$B$16)</x:f>
      </x:c>
      <x:c r="AJ342" s="24" t="str">
        <x:f>IF($A342="","",M342*Settings!$B$15)</x:f>
      </x:c>
      <x:c r="AK342" s="24" t="str">
        <x:f>IF($A342="","",O342*Settings!$B$18)</x:f>
      </x:c>
      <x:c r="AL342" s="24" t="str">
        <x:f>IF($A342="","",P342*Settings!$B$20+Q342*Settings!$B$21+R342*Settings!$B$22+S342*Settings!$B$23)</x:f>
      </x:c>
      <x:c r="AM342" s="24" t="str">
        <x:f>IF($A342="","",T342*Settings!$B$24)</x:f>
      </x:c>
      <x:c r="AN342" s="23" t="str">
        <x:f>IF($A342="","",SUM(AI342,N342,AK342:AM342,U342))</x:f>
      </x:c>
      <x:c r="AO342" s="23" t="str">
        <x:f>IF($A342="","",SUM(AD342:AI342,N342,AK342:AM342,U342))</x:f>
      </x:c>
      <x:c r="AP342" s="24" t="str">
        <x:f>IF($A342="","",G342*F342*AB342*((13-Settings!$B$9)*(1+H342*I342)+J342)*(1+SUM(Settings!$B$11:$B$12)))</x:f>
      </x:c>
      <x:c r="AQ342" s="23" t="str">
        <x:f>IF($A342="","",SUM(AO342:AP342))</x:f>
      </x:c>
      <x:c r="AR342" s="23" t="str">
        <x:f>IF($A342="","",AQ342-X342)</x:f>
      </x:c>
      <x:c r="AS342" s="22" t="str">
        <x:f>IF($A342="","",IF(W342=0,"n.a.",V342/W342))</x:f>
      </x:c>
      <x:c r="AT342" s="26" t="str">
        <x:f>IF($A342="",IF(COUNTA(B342:Y342)&gt;0,"Missing ID",""),IF(COUNTIFS($A$9:$A$508,A342)&gt;1,"Duplicate ID",IF(OR(B342="",C342="",D342="",E342="",COUNT(F342:X342)&lt;&gt;19),"Missing / text input",IF(OR(COUNTIFS(Settings!$A$59:$A$64,B342)&lt;&gt;1,COUNTIFS(Settings!$A$29:$A$33,E342)&lt;&gt;1),"Unknown department / grade",IF(OR(F342&lt;=0,F342&gt;1,G342&lt;=0,L342&lt;=0,H342&lt;0,I342&lt;0,J342&lt;0,K342&lt;0,K342&gt;1,MIN(M342:X342)&lt;0,W342=0,V342&gt;W342,M342&gt;W342-V342,P342&gt;8,Q342&gt;4,R342&gt;12,S342&gt;12,T342&gt;1,AB342&lt;0),"Review quantity / rate",IF(OR(N342&gt;Settings!$C$17,AK342&gt;Settings!$C$19),"Review benefit ceiling","OK"))))))</x:f>
      </x:c>
    </x:row>
    <x:row r="343" ht="23" customHeight="1">
      <x:c r="A343" s="8"/>
      <x:c r="B343" s="8"/>
      <x:c r="C343" s="8"/>
      <x:c r="D343" s="8"/>
      <x:c r="E343" s="8"/>
      <x:c r="F343" s="20"/>
      <x:c r="G343" s="12"/>
      <x:c r="H343" s="21"/>
      <x:c r="I343" s="20"/>
      <x:c r="J343" s="20"/>
      <x:c r="K343" s="20"/>
      <x:c r="L343" s="12"/>
      <x:c r="M343" s="8"/>
      <x:c r="N343" s="12"/>
      <x:c r="O343" s="8"/>
      <x:c r="P343" s="8"/>
      <x:c r="Q343" s="8"/>
      <x:c r="R343" s="8"/>
      <x:c r="S343" s="8"/>
      <x:c r="T343" s="8"/>
      <x:c r="U343" s="12"/>
      <x:c r="V343" s="8"/>
      <x:c r="W343" s="8"/>
      <x:c r="X343" s="12"/>
      <x:c r="Y343" s="21"/>
      <x:c r="Z343" s="24" t="str">
        <x:f>IF($A343="","",INDEX(Settings!$C$29:$C$33,MATCH(E343,Settings!$A$29:$A$33,0)))</x:f>
      </x:c>
      <x:c r="AA343" s="22" t="str">
        <x:f>IF($A343="","",G343/Z343)</x:f>
      </x:c>
      <x:c r="AB343" s="25" t="str">
        <x:f>IF($A343="","",IF(ISNUMBER(Y343),Y343,Settings!$B$10))</x:f>
      </x:c>
      <x:c r="AC343" s="23" t="str">
        <x:f>IF($A343="","",G343*(1+AB343))</x:f>
      </x:c>
      <x:c r="AD343" s="23" t="str">
        <x:f>IF($A343="","",G343*F343*12)</x:f>
      </x:c>
      <x:c r="AE343" s="23" t="str">
        <x:f>IF($A343="","",G343*F343*J343)</x:f>
      </x:c>
      <x:c r="AF343" s="24" t="str">
        <x:f>IF($A343="","",L343*F343*K343*Settings!$B$13)</x:f>
      </x:c>
      <x:c r="AG343" s="23" t="str">
        <x:f>IF($A343="","",AD343*H343*I343)</x:f>
      </x:c>
      <x:c r="AH343" s="24" t="str">
        <x:f>IF($A343="","",SUM(AD343:AE343,AG343)*SUM(Settings!$B$11:$B$12))</x:f>
      </x:c>
      <x:c r="AI343" s="24" t="str">
        <x:f>IF($A343="","",M343*Settings!$B$16)</x:f>
      </x:c>
      <x:c r="AJ343" s="24" t="str">
        <x:f>IF($A343="","",M343*Settings!$B$15)</x:f>
      </x:c>
      <x:c r="AK343" s="24" t="str">
        <x:f>IF($A343="","",O343*Settings!$B$18)</x:f>
      </x:c>
      <x:c r="AL343" s="24" t="str">
        <x:f>IF($A343="","",P343*Settings!$B$20+Q343*Settings!$B$21+R343*Settings!$B$22+S343*Settings!$B$23)</x:f>
      </x:c>
      <x:c r="AM343" s="24" t="str">
        <x:f>IF($A343="","",T343*Settings!$B$24)</x:f>
      </x:c>
      <x:c r="AN343" s="23" t="str">
        <x:f>IF($A343="","",SUM(AI343,N343,AK343:AM343,U343))</x:f>
      </x:c>
      <x:c r="AO343" s="23" t="str">
        <x:f>IF($A343="","",SUM(AD343:AI343,N343,AK343:AM343,U343))</x:f>
      </x:c>
      <x:c r="AP343" s="24" t="str">
        <x:f>IF($A343="","",G343*F343*AB343*((13-Settings!$B$9)*(1+H343*I343)+J343)*(1+SUM(Settings!$B$11:$B$12)))</x:f>
      </x:c>
      <x:c r="AQ343" s="23" t="str">
        <x:f>IF($A343="","",SUM(AO343:AP343))</x:f>
      </x:c>
      <x:c r="AR343" s="23" t="str">
        <x:f>IF($A343="","",AQ343-X343)</x:f>
      </x:c>
      <x:c r="AS343" s="22" t="str">
        <x:f>IF($A343="","",IF(W343=0,"n.a.",V343/W343))</x:f>
      </x:c>
      <x:c r="AT343" s="26" t="str">
        <x:f>IF($A343="",IF(COUNTA(B343:Y343)&gt;0,"Missing ID",""),IF(COUNTIFS($A$9:$A$508,A343)&gt;1,"Duplicate ID",IF(OR(B343="",C343="",D343="",E343="",COUNT(F343:X343)&lt;&gt;19),"Missing / text input",IF(OR(COUNTIFS(Settings!$A$59:$A$64,B343)&lt;&gt;1,COUNTIFS(Settings!$A$29:$A$33,E343)&lt;&gt;1),"Unknown department / grade",IF(OR(F343&lt;=0,F343&gt;1,G343&lt;=0,L343&lt;=0,H343&lt;0,I343&lt;0,J343&lt;0,K343&lt;0,K343&gt;1,MIN(M343:X343)&lt;0,W343=0,V343&gt;W343,M343&gt;W343-V343,P343&gt;8,Q343&gt;4,R343&gt;12,S343&gt;12,T343&gt;1,AB343&lt;0),"Review quantity / rate",IF(OR(N343&gt;Settings!$C$17,AK343&gt;Settings!$C$19),"Review benefit ceiling","OK"))))))</x:f>
      </x:c>
    </x:row>
    <x:row r="344" ht="23" customHeight="1">
      <x:c r="A344" s="8"/>
      <x:c r="B344" s="8"/>
      <x:c r="C344" s="8"/>
      <x:c r="D344" s="8"/>
      <x:c r="E344" s="8"/>
      <x:c r="F344" s="20"/>
      <x:c r="G344" s="12"/>
      <x:c r="H344" s="21"/>
      <x:c r="I344" s="20"/>
      <x:c r="J344" s="20"/>
      <x:c r="K344" s="20"/>
      <x:c r="L344" s="12"/>
      <x:c r="M344" s="8"/>
      <x:c r="N344" s="12"/>
      <x:c r="O344" s="8"/>
      <x:c r="P344" s="8"/>
      <x:c r="Q344" s="8"/>
      <x:c r="R344" s="8"/>
      <x:c r="S344" s="8"/>
      <x:c r="T344" s="8"/>
      <x:c r="U344" s="12"/>
      <x:c r="V344" s="8"/>
      <x:c r="W344" s="8"/>
      <x:c r="X344" s="12"/>
      <x:c r="Y344" s="21"/>
      <x:c r="Z344" s="24" t="str">
        <x:f>IF($A344="","",INDEX(Settings!$C$29:$C$33,MATCH(E344,Settings!$A$29:$A$33,0)))</x:f>
      </x:c>
      <x:c r="AA344" s="22" t="str">
        <x:f>IF($A344="","",G344/Z344)</x:f>
      </x:c>
      <x:c r="AB344" s="25" t="str">
        <x:f>IF($A344="","",IF(ISNUMBER(Y344),Y344,Settings!$B$10))</x:f>
      </x:c>
      <x:c r="AC344" s="23" t="str">
        <x:f>IF($A344="","",G344*(1+AB344))</x:f>
      </x:c>
      <x:c r="AD344" s="23" t="str">
        <x:f>IF($A344="","",G344*F344*12)</x:f>
      </x:c>
      <x:c r="AE344" s="23" t="str">
        <x:f>IF($A344="","",G344*F344*J344)</x:f>
      </x:c>
      <x:c r="AF344" s="24" t="str">
        <x:f>IF($A344="","",L344*F344*K344*Settings!$B$13)</x:f>
      </x:c>
      <x:c r="AG344" s="23" t="str">
        <x:f>IF($A344="","",AD344*H344*I344)</x:f>
      </x:c>
      <x:c r="AH344" s="24" t="str">
        <x:f>IF($A344="","",SUM(AD344:AE344,AG344)*SUM(Settings!$B$11:$B$12))</x:f>
      </x:c>
      <x:c r="AI344" s="24" t="str">
        <x:f>IF($A344="","",M344*Settings!$B$16)</x:f>
      </x:c>
      <x:c r="AJ344" s="24" t="str">
        <x:f>IF($A344="","",M344*Settings!$B$15)</x:f>
      </x:c>
      <x:c r="AK344" s="24" t="str">
        <x:f>IF($A344="","",O344*Settings!$B$18)</x:f>
      </x:c>
      <x:c r="AL344" s="24" t="str">
        <x:f>IF($A344="","",P344*Settings!$B$20+Q344*Settings!$B$21+R344*Settings!$B$22+S344*Settings!$B$23)</x:f>
      </x:c>
      <x:c r="AM344" s="24" t="str">
        <x:f>IF($A344="","",T344*Settings!$B$24)</x:f>
      </x:c>
      <x:c r="AN344" s="23" t="str">
        <x:f>IF($A344="","",SUM(AI344,N344,AK344:AM344,U344))</x:f>
      </x:c>
      <x:c r="AO344" s="23" t="str">
        <x:f>IF($A344="","",SUM(AD344:AI344,N344,AK344:AM344,U344))</x:f>
      </x:c>
      <x:c r="AP344" s="24" t="str">
        <x:f>IF($A344="","",G344*F344*AB344*((13-Settings!$B$9)*(1+H344*I344)+J344)*(1+SUM(Settings!$B$11:$B$12)))</x:f>
      </x:c>
      <x:c r="AQ344" s="23" t="str">
        <x:f>IF($A344="","",SUM(AO344:AP344))</x:f>
      </x:c>
      <x:c r="AR344" s="23" t="str">
        <x:f>IF($A344="","",AQ344-X344)</x:f>
      </x:c>
      <x:c r="AS344" s="22" t="str">
        <x:f>IF($A344="","",IF(W344=0,"n.a.",V344/W344))</x:f>
      </x:c>
      <x:c r="AT344" s="26" t="str">
        <x:f>IF($A344="",IF(COUNTA(B344:Y344)&gt;0,"Missing ID",""),IF(COUNTIFS($A$9:$A$508,A344)&gt;1,"Duplicate ID",IF(OR(B344="",C344="",D344="",E344="",COUNT(F344:X344)&lt;&gt;19),"Missing / text input",IF(OR(COUNTIFS(Settings!$A$59:$A$64,B344)&lt;&gt;1,COUNTIFS(Settings!$A$29:$A$33,E344)&lt;&gt;1),"Unknown department / grade",IF(OR(F344&lt;=0,F344&gt;1,G344&lt;=0,L344&lt;=0,H344&lt;0,I344&lt;0,J344&lt;0,K344&lt;0,K344&gt;1,MIN(M344:X344)&lt;0,W344=0,V344&gt;W344,M344&gt;W344-V344,P344&gt;8,Q344&gt;4,R344&gt;12,S344&gt;12,T344&gt;1,AB344&lt;0),"Review quantity / rate",IF(OR(N344&gt;Settings!$C$17,AK344&gt;Settings!$C$19),"Review benefit ceiling","OK"))))))</x:f>
      </x:c>
    </x:row>
    <x:row r="345" ht="23" customHeight="1">
      <x:c r="A345" s="8"/>
      <x:c r="B345" s="8"/>
      <x:c r="C345" s="8"/>
      <x:c r="D345" s="8"/>
      <x:c r="E345" s="8"/>
      <x:c r="F345" s="20"/>
      <x:c r="G345" s="12"/>
      <x:c r="H345" s="21"/>
      <x:c r="I345" s="20"/>
      <x:c r="J345" s="20"/>
      <x:c r="K345" s="20"/>
      <x:c r="L345" s="12"/>
      <x:c r="M345" s="8"/>
      <x:c r="N345" s="12"/>
      <x:c r="O345" s="8"/>
      <x:c r="P345" s="8"/>
      <x:c r="Q345" s="8"/>
      <x:c r="R345" s="8"/>
      <x:c r="S345" s="8"/>
      <x:c r="T345" s="8"/>
      <x:c r="U345" s="12"/>
      <x:c r="V345" s="8"/>
      <x:c r="W345" s="8"/>
      <x:c r="X345" s="12"/>
      <x:c r="Y345" s="21"/>
      <x:c r="Z345" s="24" t="str">
        <x:f>IF($A345="","",INDEX(Settings!$C$29:$C$33,MATCH(E345,Settings!$A$29:$A$33,0)))</x:f>
      </x:c>
      <x:c r="AA345" s="22" t="str">
        <x:f>IF($A345="","",G345/Z345)</x:f>
      </x:c>
      <x:c r="AB345" s="25" t="str">
        <x:f>IF($A345="","",IF(ISNUMBER(Y345),Y345,Settings!$B$10))</x:f>
      </x:c>
      <x:c r="AC345" s="23" t="str">
        <x:f>IF($A345="","",G345*(1+AB345))</x:f>
      </x:c>
      <x:c r="AD345" s="23" t="str">
        <x:f>IF($A345="","",G345*F345*12)</x:f>
      </x:c>
      <x:c r="AE345" s="23" t="str">
        <x:f>IF($A345="","",G345*F345*J345)</x:f>
      </x:c>
      <x:c r="AF345" s="24" t="str">
        <x:f>IF($A345="","",L345*F345*K345*Settings!$B$13)</x:f>
      </x:c>
      <x:c r="AG345" s="23" t="str">
        <x:f>IF($A345="","",AD345*H345*I345)</x:f>
      </x:c>
      <x:c r="AH345" s="24" t="str">
        <x:f>IF($A345="","",SUM(AD345:AE345,AG345)*SUM(Settings!$B$11:$B$12))</x:f>
      </x:c>
      <x:c r="AI345" s="24" t="str">
        <x:f>IF($A345="","",M345*Settings!$B$16)</x:f>
      </x:c>
      <x:c r="AJ345" s="24" t="str">
        <x:f>IF($A345="","",M345*Settings!$B$15)</x:f>
      </x:c>
      <x:c r="AK345" s="24" t="str">
        <x:f>IF($A345="","",O345*Settings!$B$18)</x:f>
      </x:c>
      <x:c r="AL345" s="24" t="str">
        <x:f>IF($A345="","",P345*Settings!$B$20+Q345*Settings!$B$21+R345*Settings!$B$22+S345*Settings!$B$23)</x:f>
      </x:c>
      <x:c r="AM345" s="24" t="str">
        <x:f>IF($A345="","",T345*Settings!$B$24)</x:f>
      </x:c>
      <x:c r="AN345" s="23" t="str">
        <x:f>IF($A345="","",SUM(AI345,N345,AK345:AM345,U345))</x:f>
      </x:c>
      <x:c r="AO345" s="23" t="str">
        <x:f>IF($A345="","",SUM(AD345:AI345,N345,AK345:AM345,U345))</x:f>
      </x:c>
      <x:c r="AP345" s="24" t="str">
        <x:f>IF($A345="","",G345*F345*AB345*((13-Settings!$B$9)*(1+H345*I345)+J345)*(1+SUM(Settings!$B$11:$B$12)))</x:f>
      </x:c>
      <x:c r="AQ345" s="23" t="str">
        <x:f>IF($A345="","",SUM(AO345:AP345))</x:f>
      </x:c>
      <x:c r="AR345" s="23" t="str">
        <x:f>IF($A345="","",AQ345-X345)</x:f>
      </x:c>
      <x:c r="AS345" s="22" t="str">
        <x:f>IF($A345="","",IF(W345=0,"n.a.",V345/W345))</x:f>
      </x:c>
      <x:c r="AT345" s="26" t="str">
        <x:f>IF($A345="",IF(COUNTA(B345:Y345)&gt;0,"Missing ID",""),IF(COUNTIFS($A$9:$A$508,A345)&gt;1,"Duplicate ID",IF(OR(B345="",C345="",D345="",E345="",COUNT(F345:X345)&lt;&gt;19),"Missing / text input",IF(OR(COUNTIFS(Settings!$A$59:$A$64,B345)&lt;&gt;1,COUNTIFS(Settings!$A$29:$A$33,E345)&lt;&gt;1),"Unknown department / grade",IF(OR(F345&lt;=0,F345&gt;1,G345&lt;=0,L345&lt;=0,H345&lt;0,I345&lt;0,J345&lt;0,K345&lt;0,K345&gt;1,MIN(M345:X345)&lt;0,W345=0,V345&gt;W345,M345&gt;W345-V345,P345&gt;8,Q345&gt;4,R345&gt;12,S345&gt;12,T345&gt;1,AB345&lt;0),"Review quantity / rate",IF(OR(N345&gt;Settings!$C$17,AK345&gt;Settings!$C$19),"Review benefit ceiling","OK"))))))</x:f>
      </x:c>
    </x:row>
    <x:row r="346" ht="23" customHeight="1">
      <x:c r="A346" s="8"/>
      <x:c r="B346" s="8"/>
      <x:c r="C346" s="8"/>
      <x:c r="D346" s="8"/>
      <x:c r="E346" s="8"/>
      <x:c r="F346" s="20"/>
      <x:c r="G346" s="12"/>
      <x:c r="H346" s="21"/>
      <x:c r="I346" s="20"/>
      <x:c r="J346" s="20"/>
      <x:c r="K346" s="20"/>
      <x:c r="L346" s="12"/>
      <x:c r="M346" s="8"/>
      <x:c r="N346" s="12"/>
      <x:c r="O346" s="8"/>
      <x:c r="P346" s="8"/>
      <x:c r="Q346" s="8"/>
      <x:c r="R346" s="8"/>
      <x:c r="S346" s="8"/>
      <x:c r="T346" s="8"/>
      <x:c r="U346" s="12"/>
      <x:c r="V346" s="8"/>
      <x:c r="W346" s="8"/>
      <x:c r="X346" s="12"/>
      <x:c r="Y346" s="21"/>
      <x:c r="Z346" s="24" t="str">
        <x:f>IF($A346="","",INDEX(Settings!$C$29:$C$33,MATCH(E346,Settings!$A$29:$A$33,0)))</x:f>
      </x:c>
      <x:c r="AA346" s="22" t="str">
        <x:f>IF($A346="","",G346/Z346)</x:f>
      </x:c>
      <x:c r="AB346" s="25" t="str">
        <x:f>IF($A346="","",IF(ISNUMBER(Y346),Y346,Settings!$B$10))</x:f>
      </x:c>
      <x:c r="AC346" s="23" t="str">
        <x:f>IF($A346="","",G346*(1+AB346))</x:f>
      </x:c>
      <x:c r="AD346" s="23" t="str">
        <x:f>IF($A346="","",G346*F346*12)</x:f>
      </x:c>
      <x:c r="AE346" s="23" t="str">
        <x:f>IF($A346="","",G346*F346*J346)</x:f>
      </x:c>
      <x:c r="AF346" s="24" t="str">
        <x:f>IF($A346="","",L346*F346*K346*Settings!$B$13)</x:f>
      </x:c>
      <x:c r="AG346" s="23" t="str">
        <x:f>IF($A346="","",AD346*H346*I346)</x:f>
      </x:c>
      <x:c r="AH346" s="24" t="str">
        <x:f>IF($A346="","",SUM(AD346:AE346,AG346)*SUM(Settings!$B$11:$B$12))</x:f>
      </x:c>
      <x:c r="AI346" s="24" t="str">
        <x:f>IF($A346="","",M346*Settings!$B$16)</x:f>
      </x:c>
      <x:c r="AJ346" s="24" t="str">
        <x:f>IF($A346="","",M346*Settings!$B$15)</x:f>
      </x:c>
      <x:c r="AK346" s="24" t="str">
        <x:f>IF($A346="","",O346*Settings!$B$18)</x:f>
      </x:c>
      <x:c r="AL346" s="24" t="str">
        <x:f>IF($A346="","",P346*Settings!$B$20+Q346*Settings!$B$21+R346*Settings!$B$22+S346*Settings!$B$23)</x:f>
      </x:c>
      <x:c r="AM346" s="24" t="str">
        <x:f>IF($A346="","",T346*Settings!$B$24)</x:f>
      </x:c>
      <x:c r="AN346" s="23" t="str">
        <x:f>IF($A346="","",SUM(AI346,N346,AK346:AM346,U346))</x:f>
      </x:c>
      <x:c r="AO346" s="23" t="str">
        <x:f>IF($A346="","",SUM(AD346:AI346,N346,AK346:AM346,U346))</x:f>
      </x:c>
      <x:c r="AP346" s="24" t="str">
        <x:f>IF($A346="","",G346*F346*AB346*((13-Settings!$B$9)*(1+H346*I346)+J346)*(1+SUM(Settings!$B$11:$B$12)))</x:f>
      </x:c>
      <x:c r="AQ346" s="23" t="str">
        <x:f>IF($A346="","",SUM(AO346:AP346))</x:f>
      </x:c>
      <x:c r="AR346" s="23" t="str">
        <x:f>IF($A346="","",AQ346-X346)</x:f>
      </x:c>
      <x:c r="AS346" s="22" t="str">
        <x:f>IF($A346="","",IF(W346=0,"n.a.",V346/W346))</x:f>
      </x:c>
      <x:c r="AT346" s="26" t="str">
        <x:f>IF($A346="",IF(COUNTA(B346:Y346)&gt;0,"Missing ID",""),IF(COUNTIFS($A$9:$A$508,A346)&gt;1,"Duplicate ID",IF(OR(B346="",C346="",D346="",E346="",COUNT(F346:X346)&lt;&gt;19),"Missing / text input",IF(OR(COUNTIFS(Settings!$A$59:$A$64,B346)&lt;&gt;1,COUNTIFS(Settings!$A$29:$A$33,E346)&lt;&gt;1),"Unknown department / grade",IF(OR(F346&lt;=0,F346&gt;1,G346&lt;=0,L346&lt;=0,H346&lt;0,I346&lt;0,J346&lt;0,K346&lt;0,K346&gt;1,MIN(M346:X346)&lt;0,W346=0,V346&gt;W346,M346&gt;W346-V346,P346&gt;8,Q346&gt;4,R346&gt;12,S346&gt;12,T346&gt;1,AB346&lt;0),"Review quantity / rate",IF(OR(N346&gt;Settings!$C$17,AK346&gt;Settings!$C$19),"Review benefit ceiling","OK"))))))</x:f>
      </x:c>
    </x:row>
    <x:row r="347" ht="23" customHeight="1">
      <x:c r="A347" s="8"/>
      <x:c r="B347" s="8"/>
      <x:c r="C347" s="8"/>
      <x:c r="D347" s="8"/>
      <x:c r="E347" s="8"/>
      <x:c r="F347" s="20"/>
      <x:c r="G347" s="12"/>
      <x:c r="H347" s="21"/>
      <x:c r="I347" s="20"/>
      <x:c r="J347" s="20"/>
      <x:c r="K347" s="20"/>
      <x:c r="L347" s="12"/>
      <x:c r="M347" s="8"/>
      <x:c r="N347" s="12"/>
      <x:c r="O347" s="8"/>
      <x:c r="P347" s="8"/>
      <x:c r="Q347" s="8"/>
      <x:c r="R347" s="8"/>
      <x:c r="S347" s="8"/>
      <x:c r="T347" s="8"/>
      <x:c r="U347" s="12"/>
      <x:c r="V347" s="8"/>
      <x:c r="W347" s="8"/>
      <x:c r="X347" s="12"/>
      <x:c r="Y347" s="21"/>
      <x:c r="Z347" s="24" t="str">
        <x:f>IF($A347="","",INDEX(Settings!$C$29:$C$33,MATCH(E347,Settings!$A$29:$A$33,0)))</x:f>
      </x:c>
      <x:c r="AA347" s="22" t="str">
        <x:f>IF($A347="","",G347/Z347)</x:f>
      </x:c>
      <x:c r="AB347" s="25" t="str">
        <x:f>IF($A347="","",IF(ISNUMBER(Y347),Y347,Settings!$B$10))</x:f>
      </x:c>
      <x:c r="AC347" s="23" t="str">
        <x:f>IF($A347="","",G347*(1+AB347))</x:f>
      </x:c>
      <x:c r="AD347" s="23" t="str">
        <x:f>IF($A347="","",G347*F347*12)</x:f>
      </x:c>
      <x:c r="AE347" s="23" t="str">
        <x:f>IF($A347="","",G347*F347*J347)</x:f>
      </x:c>
      <x:c r="AF347" s="24" t="str">
        <x:f>IF($A347="","",L347*F347*K347*Settings!$B$13)</x:f>
      </x:c>
      <x:c r="AG347" s="23" t="str">
        <x:f>IF($A347="","",AD347*H347*I347)</x:f>
      </x:c>
      <x:c r="AH347" s="24" t="str">
        <x:f>IF($A347="","",SUM(AD347:AE347,AG347)*SUM(Settings!$B$11:$B$12))</x:f>
      </x:c>
      <x:c r="AI347" s="24" t="str">
        <x:f>IF($A347="","",M347*Settings!$B$16)</x:f>
      </x:c>
      <x:c r="AJ347" s="24" t="str">
        <x:f>IF($A347="","",M347*Settings!$B$15)</x:f>
      </x:c>
      <x:c r="AK347" s="24" t="str">
        <x:f>IF($A347="","",O347*Settings!$B$18)</x:f>
      </x:c>
      <x:c r="AL347" s="24" t="str">
        <x:f>IF($A347="","",P347*Settings!$B$20+Q347*Settings!$B$21+R347*Settings!$B$22+S347*Settings!$B$23)</x:f>
      </x:c>
      <x:c r="AM347" s="24" t="str">
        <x:f>IF($A347="","",T347*Settings!$B$24)</x:f>
      </x:c>
      <x:c r="AN347" s="23" t="str">
        <x:f>IF($A347="","",SUM(AI347,N347,AK347:AM347,U347))</x:f>
      </x:c>
      <x:c r="AO347" s="23" t="str">
        <x:f>IF($A347="","",SUM(AD347:AI347,N347,AK347:AM347,U347))</x:f>
      </x:c>
      <x:c r="AP347" s="24" t="str">
        <x:f>IF($A347="","",G347*F347*AB347*((13-Settings!$B$9)*(1+H347*I347)+J347)*(1+SUM(Settings!$B$11:$B$12)))</x:f>
      </x:c>
      <x:c r="AQ347" s="23" t="str">
        <x:f>IF($A347="","",SUM(AO347:AP347))</x:f>
      </x:c>
      <x:c r="AR347" s="23" t="str">
        <x:f>IF($A347="","",AQ347-X347)</x:f>
      </x:c>
      <x:c r="AS347" s="22" t="str">
        <x:f>IF($A347="","",IF(W347=0,"n.a.",V347/W347))</x:f>
      </x:c>
      <x:c r="AT347" s="26" t="str">
        <x:f>IF($A347="",IF(COUNTA(B347:Y347)&gt;0,"Missing ID",""),IF(COUNTIFS($A$9:$A$508,A347)&gt;1,"Duplicate ID",IF(OR(B347="",C347="",D347="",E347="",COUNT(F347:X347)&lt;&gt;19),"Missing / text input",IF(OR(COUNTIFS(Settings!$A$59:$A$64,B347)&lt;&gt;1,COUNTIFS(Settings!$A$29:$A$33,E347)&lt;&gt;1),"Unknown department / grade",IF(OR(F347&lt;=0,F347&gt;1,G347&lt;=0,L347&lt;=0,H347&lt;0,I347&lt;0,J347&lt;0,K347&lt;0,K347&gt;1,MIN(M347:X347)&lt;0,W347=0,V347&gt;W347,M347&gt;W347-V347,P347&gt;8,Q347&gt;4,R347&gt;12,S347&gt;12,T347&gt;1,AB347&lt;0),"Review quantity / rate",IF(OR(N347&gt;Settings!$C$17,AK347&gt;Settings!$C$19),"Review benefit ceiling","OK"))))))</x:f>
      </x:c>
    </x:row>
    <x:row r="348" ht="23" customHeight="1">
      <x:c r="A348" s="8"/>
      <x:c r="B348" s="8"/>
      <x:c r="C348" s="8"/>
      <x:c r="D348" s="8"/>
      <x:c r="E348" s="8"/>
      <x:c r="F348" s="20"/>
      <x:c r="G348" s="12"/>
      <x:c r="H348" s="21"/>
      <x:c r="I348" s="20"/>
      <x:c r="J348" s="20"/>
      <x:c r="K348" s="20"/>
      <x:c r="L348" s="12"/>
      <x:c r="M348" s="8"/>
      <x:c r="N348" s="12"/>
      <x:c r="O348" s="8"/>
      <x:c r="P348" s="8"/>
      <x:c r="Q348" s="8"/>
      <x:c r="R348" s="8"/>
      <x:c r="S348" s="8"/>
      <x:c r="T348" s="8"/>
      <x:c r="U348" s="12"/>
      <x:c r="V348" s="8"/>
      <x:c r="W348" s="8"/>
      <x:c r="X348" s="12"/>
      <x:c r="Y348" s="21"/>
      <x:c r="Z348" s="24" t="str">
        <x:f>IF($A348="","",INDEX(Settings!$C$29:$C$33,MATCH(E348,Settings!$A$29:$A$33,0)))</x:f>
      </x:c>
      <x:c r="AA348" s="22" t="str">
        <x:f>IF($A348="","",G348/Z348)</x:f>
      </x:c>
      <x:c r="AB348" s="25" t="str">
        <x:f>IF($A348="","",IF(ISNUMBER(Y348),Y348,Settings!$B$10))</x:f>
      </x:c>
      <x:c r="AC348" s="23" t="str">
        <x:f>IF($A348="","",G348*(1+AB348))</x:f>
      </x:c>
      <x:c r="AD348" s="23" t="str">
        <x:f>IF($A348="","",G348*F348*12)</x:f>
      </x:c>
      <x:c r="AE348" s="23" t="str">
        <x:f>IF($A348="","",G348*F348*J348)</x:f>
      </x:c>
      <x:c r="AF348" s="24" t="str">
        <x:f>IF($A348="","",L348*F348*K348*Settings!$B$13)</x:f>
      </x:c>
      <x:c r="AG348" s="23" t="str">
        <x:f>IF($A348="","",AD348*H348*I348)</x:f>
      </x:c>
      <x:c r="AH348" s="24" t="str">
        <x:f>IF($A348="","",SUM(AD348:AE348,AG348)*SUM(Settings!$B$11:$B$12))</x:f>
      </x:c>
      <x:c r="AI348" s="24" t="str">
        <x:f>IF($A348="","",M348*Settings!$B$16)</x:f>
      </x:c>
      <x:c r="AJ348" s="24" t="str">
        <x:f>IF($A348="","",M348*Settings!$B$15)</x:f>
      </x:c>
      <x:c r="AK348" s="24" t="str">
        <x:f>IF($A348="","",O348*Settings!$B$18)</x:f>
      </x:c>
      <x:c r="AL348" s="24" t="str">
        <x:f>IF($A348="","",P348*Settings!$B$20+Q348*Settings!$B$21+R348*Settings!$B$22+S348*Settings!$B$23)</x:f>
      </x:c>
      <x:c r="AM348" s="24" t="str">
        <x:f>IF($A348="","",T348*Settings!$B$24)</x:f>
      </x:c>
      <x:c r="AN348" s="23" t="str">
        <x:f>IF($A348="","",SUM(AI348,N348,AK348:AM348,U348))</x:f>
      </x:c>
      <x:c r="AO348" s="23" t="str">
        <x:f>IF($A348="","",SUM(AD348:AI348,N348,AK348:AM348,U348))</x:f>
      </x:c>
      <x:c r="AP348" s="24" t="str">
        <x:f>IF($A348="","",G348*F348*AB348*((13-Settings!$B$9)*(1+H348*I348)+J348)*(1+SUM(Settings!$B$11:$B$12)))</x:f>
      </x:c>
      <x:c r="AQ348" s="23" t="str">
        <x:f>IF($A348="","",SUM(AO348:AP348))</x:f>
      </x:c>
      <x:c r="AR348" s="23" t="str">
        <x:f>IF($A348="","",AQ348-X348)</x:f>
      </x:c>
      <x:c r="AS348" s="22" t="str">
        <x:f>IF($A348="","",IF(W348=0,"n.a.",V348/W348))</x:f>
      </x:c>
      <x:c r="AT348" s="26" t="str">
        <x:f>IF($A348="",IF(COUNTA(B348:Y348)&gt;0,"Missing ID",""),IF(COUNTIFS($A$9:$A$508,A348)&gt;1,"Duplicate ID",IF(OR(B348="",C348="",D348="",E348="",COUNT(F348:X348)&lt;&gt;19),"Missing / text input",IF(OR(COUNTIFS(Settings!$A$59:$A$64,B348)&lt;&gt;1,COUNTIFS(Settings!$A$29:$A$33,E348)&lt;&gt;1),"Unknown department / grade",IF(OR(F348&lt;=0,F348&gt;1,G348&lt;=0,L348&lt;=0,H348&lt;0,I348&lt;0,J348&lt;0,K348&lt;0,K348&gt;1,MIN(M348:X348)&lt;0,W348=0,V348&gt;W348,M348&gt;W348-V348,P348&gt;8,Q348&gt;4,R348&gt;12,S348&gt;12,T348&gt;1,AB348&lt;0),"Review quantity / rate",IF(OR(N348&gt;Settings!$C$17,AK348&gt;Settings!$C$19),"Review benefit ceiling","OK"))))))</x:f>
      </x:c>
    </x:row>
    <x:row r="349" ht="23" customHeight="1">
      <x:c r="A349" s="8"/>
      <x:c r="B349" s="8"/>
      <x:c r="C349" s="8"/>
      <x:c r="D349" s="8"/>
      <x:c r="E349" s="8"/>
      <x:c r="F349" s="20"/>
      <x:c r="G349" s="12"/>
      <x:c r="H349" s="21"/>
      <x:c r="I349" s="20"/>
      <x:c r="J349" s="20"/>
      <x:c r="K349" s="20"/>
      <x:c r="L349" s="12"/>
      <x:c r="M349" s="8"/>
      <x:c r="N349" s="12"/>
      <x:c r="O349" s="8"/>
      <x:c r="P349" s="8"/>
      <x:c r="Q349" s="8"/>
      <x:c r="R349" s="8"/>
      <x:c r="S349" s="8"/>
      <x:c r="T349" s="8"/>
      <x:c r="U349" s="12"/>
      <x:c r="V349" s="8"/>
      <x:c r="W349" s="8"/>
      <x:c r="X349" s="12"/>
      <x:c r="Y349" s="21"/>
      <x:c r="Z349" s="24" t="str">
        <x:f>IF($A349="","",INDEX(Settings!$C$29:$C$33,MATCH(E349,Settings!$A$29:$A$33,0)))</x:f>
      </x:c>
      <x:c r="AA349" s="22" t="str">
        <x:f>IF($A349="","",G349/Z349)</x:f>
      </x:c>
      <x:c r="AB349" s="25" t="str">
        <x:f>IF($A349="","",IF(ISNUMBER(Y349),Y349,Settings!$B$10))</x:f>
      </x:c>
      <x:c r="AC349" s="23" t="str">
        <x:f>IF($A349="","",G349*(1+AB349))</x:f>
      </x:c>
      <x:c r="AD349" s="23" t="str">
        <x:f>IF($A349="","",G349*F349*12)</x:f>
      </x:c>
      <x:c r="AE349" s="23" t="str">
        <x:f>IF($A349="","",G349*F349*J349)</x:f>
      </x:c>
      <x:c r="AF349" s="24" t="str">
        <x:f>IF($A349="","",L349*F349*K349*Settings!$B$13)</x:f>
      </x:c>
      <x:c r="AG349" s="23" t="str">
        <x:f>IF($A349="","",AD349*H349*I349)</x:f>
      </x:c>
      <x:c r="AH349" s="24" t="str">
        <x:f>IF($A349="","",SUM(AD349:AE349,AG349)*SUM(Settings!$B$11:$B$12))</x:f>
      </x:c>
      <x:c r="AI349" s="24" t="str">
        <x:f>IF($A349="","",M349*Settings!$B$16)</x:f>
      </x:c>
      <x:c r="AJ349" s="24" t="str">
        <x:f>IF($A349="","",M349*Settings!$B$15)</x:f>
      </x:c>
      <x:c r="AK349" s="24" t="str">
        <x:f>IF($A349="","",O349*Settings!$B$18)</x:f>
      </x:c>
      <x:c r="AL349" s="24" t="str">
        <x:f>IF($A349="","",P349*Settings!$B$20+Q349*Settings!$B$21+R349*Settings!$B$22+S349*Settings!$B$23)</x:f>
      </x:c>
      <x:c r="AM349" s="24" t="str">
        <x:f>IF($A349="","",T349*Settings!$B$24)</x:f>
      </x:c>
      <x:c r="AN349" s="23" t="str">
        <x:f>IF($A349="","",SUM(AI349,N349,AK349:AM349,U349))</x:f>
      </x:c>
      <x:c r="AO349" s="23" t="str">
        <x:f>IF($A349="","",SUM(AD349:AI349,N349,AK349:AM349,U349))</x:f>
      </x:c>
      <x:c r="AP349" s="24" t="str">
        <x:f>IF($A349="","",G349*F349*AB349*((13-Settings!$B$9)*(1+H349*I349)+J349)*(1+SUM(Settings!$B$11:$B$12)))</x:f>
      </x:c>
      <x:c r="AQ349" s="23" t="str">
        <x:f>IF($A349="","",SUM(AO349:AP349))</x:f>
      </x:c>
      <x:c r="AR349" s="23" t="str">
        <x:f>IF($A349="","",AQ349-X349)</x:f>
      </x:c>
      <x:c r="AS349" s="22" t="str">
        <x:f>IF($A349="","",IF(W349=0,"n.a.",V349/W349))</x:f>
      </x:c>
      <x:c r="AT349" s="26" t="str">
        <x:f>IF($A349="",IF(COUNTA(B349:Y349)&gt;0,"Missing ID",""),IF(COUNTIFS($A$9:$A$508,A349)&gt;1,"Duplicate ID",IF(OR(B349="",C349="",D349="",E349="",COUNT(F349:X349)&lt;&gt;19),"Missing / text input",IF(OR(COUNTIFS(Settings!$A$59:$A$64,B349)&lt;&gt;1,COUNTIFS(Settings!$A$29:$A$33,E349)&lt;&gt;1),"Unknown department / grade",IF(OR(F349&lt;=0,F349&gt;1,G349&lt;=0,L349&lt;=0,H349&lt;0,I349&lt;0,J349&lt;0,K349&lt;0,K349&gt;1,MIN(M349:X349)&lt;0,W349=0,V349&gt;W349,M349&gt;W349-V349,P349&gt;8,Q349&gt;4,R349&gt;12,S349&gt;12,T349&gt;1,AB349&lt;0),"Review quantity / rate",IF(OR(N349&gt;Settings!$C$17,AK349&gt;Settings!$C$19),"Review benefit ceiling","OK"))))))</x:f>
      </x:c>
    </x:row>
    <x:row r="350" ht="23" customHeight="1">
      <x:c r="A350" s="8"/>
      <x:c r="B350" s="8"/>
      <x:c r="C350" s="8"/>
      <x:c r="D350" s="8"/>
      <x:c r="E350" s="8"/>
      <x:c r="F350" s="20"/>
      <x:c r="G350" s="12"/>
      <x:c r="H350" s="21"/>
      <x:c r="I350" s="20"/>
      <x:c r="J350" s="20"/>
      <x:c r="K350" s="20"/>
      <x:c r="L350" s="12"/>
      <x:c r="M350" s="8"/>
      <x:c r="N350" s="12"/>
      <x:c r="O350" s="8"/>
      <x:c r="P350" s="8"/>
      <x:c r="Q350" s="8"/>
      <x:c r="R350" s="8"/>
      <x:c r="S350" s="8"/>
      <x:c r="T350" s="8"/>
      <x:c r="U350" s="12"/>
      <x:c r="V350" s="8"/>
      <x:c r="W350" s="8"/>
      <x:c r="X350" s="12"/>
      <x:c r="Y350" s="21"/>
      <x:c r="Z350" s="24" t="str">
        <x:f>IF($A350="","",INDEX(Settings!$C$29:$C$33,MATCH(E350,Settings!$A$29:$A$33,0)))</x:f>
      </x:c>
      <x:c r="AA350" s="22" t="str">
        <x:f>IF($A350="","",G350/Z350)</x:f>
      </x:c>
      <x:c r="AB350" s="25" t="str">
        <x:f>IF($A350="","",IF(ISNUMBER(Y350),Y350,Settings!$B$10))</x:f>
      </x:c>
      <x:c r="AC350" s="23" t="str">
        <x:f>IF($A350="","",G350*(1+AB350))</x:f>
      </x:c>
      <x:c r="AD350" s="23" t="str">
        <x:f>IF($A350="","",G350*F350*12)</x:f>
      </x:c>
      <x:c r="AE350" s="23" t="str">
        <x:f>IF($A350="","",G350*F350*J350)</x:f>
      </x:c>
      <x:c r="AF350" s="24" t="str">
        <x:f>IF($A350="","",L350*F350*K350*Settings!$B$13)</x:f>
      </x:c>
      <x:c r="AG350" s="23" t="str">
        <x:f>IF($A350="","",AD350*H350*I350)</x:f>
      </x:c>
      <x:c r="AH350" s="24" t="str">
        <x:f>IF($A350="","",SUM(AD350:AE350,AG350)*SUM(Settings!$B$11:$B$12))</x:f>
      </x:c>
      <x:c r="AI350" s="24" t="str">
        <x:f>IF($A350="","",M350*Settings!$B$16)</x:f>
      </x:c>
      <x:c r="AJ350" s="24" t="str">
        <x:f>IF($A350="","",M350*Settings!$B$15)</x:f>
      </x:c>
      <x:c r="AK350" s="24" t="str">
        <x:f>IF($A350="","",O350*Settings!$B$18)</x:f>
      </x:c>
      <x:c r="AL350" s="24" t="str">
        <x:f>IF($A350="","",P350*Settings!$B$20+Q350*Settings!$B$21+R350*Settings!$B$22+S350*Settings!$B$23)</x:f>
      </x:c>
      <x:c r="AM350" s="24" t="str">
        <x:f>IF($A350="","",T350*Settings!$B$24)</x:f>
      </x:c>
      <x:c r="AN350" s="23" t="str">
        <x:f>IF($A350="","",SUM(AI350,N350,AK350:AM350,U350))</x:f>
      </x:c>
      <x:c r="AO350" s="23" t="str">
        <x:f>IF($A350="","",SUM(AD350:AI350,N350,AK350:AM350,U350))</x:f>
      </x:c>
      <x:c r="AP350" s="24" t="str">
        <x:f>IF($A350="","",G350*F350*AB350*((13-Settings!$B$9)*(1+H350*I350)+J350)*(1+SUM(Settings!$B$11:$B$12)))</x:f>
      </x:c>
      <x:c r="AQ350" s="23" t="str">
        <x:f>IF($A350="","",SUM(AO350:AP350))</x:f>
      </x:c>
      <x:c r="AR350" s="23" t="str">
        <x:f>IF($A350="","",AQ350-X350)</x:f>
      </x:c>
      <x:c r="AS350" s="22" t="str">
        <x:f>IF($A350="","",IF(W350=0,"n.a.",V350/W350))</x:f>
      </x:c>
      <x:c r="AT350" s="26" t="str">
        <x:f>IF($A350="",IF(COUNTA(B350:Y350)&gt;0,"Missing ID",""),IF(COUNTIFS($A$9:$A$508,A350)&gt;1,"Duplicate ID",IF(OR(B350="",C350="",D350="",E350="",COUNT(F350:X350)&lt;&gt;19),"Missing / text input",IF(OR(COUNTIFS(Settings!$A$59:$A$64,B350)&lt;&gt;1,COUNTIFS(Settings!$A$29:$A$33,E350)&lt;&gt;1),"Unknown department / grade",IF(OR(F350&lt;=0,F350&gt;1,G350&lt;=0,L350&lt;=0,H350&lt;0,I350&lt;0,J350&lt;0,K350&lt;0,K350&gt;1,MIN(M350:X350)&lt;0,W350=0,V350&gt;W350,M350&gt;W350-V350,P350&gt;8,Q350&gt;4,R350&gt;12,S350&gt;12,T350&gt;1,AB350&lt;0),"Review quantity / rate",IF(OR(N350&gt;Settings!$C$17,AK350&gt;Settings!$C$19),"Review benefit ceiling","OK"))))))</x:f>
      </x:c>
    </x:row>
    <x:row r="351" ht="23" customHeight="1">
      <x:c r="A351" s="8"/>
      <x:c r="B351" s="8"/>
      <x:c r="C351" s="8"/>
      <x:c r="D351" s="8"/>
      <x:c r="E351" s="8"/>
      <x:c r="F351" s="20"/>
      <x:c r="G351" s="12"/>
      <x:c r="H351" s="21"/>
      <x:c r="I351" s="20"/>
      <x:c r="J351" s="20"/>
      <x:c r="K351" s="20"/>
      <x:c r="L351" s="12"/>
      <x:c r="M351" s="8"/>
      <x:c r="N351" s="12"/>
      <x:c r="O351" s="8"/>
      <x:c r="P351" s="8"/>
      <x:c r="Q351" s="8"/>
      <x:c r="R351" s="8"/>
      <x:c r="S351" s="8"/>
      <x:c r="T351" s="8"/>
      <x:c r="U351" s="12"/>
      <x:c r="V351" s="8"/>
      <x:c r="W351" s="8"/>
      <x:c r="X351" s="12"/>
      <x:c r="Y351" s="21"/>
      <x:c r="Z351" s="24" t="str">
        <x:f>IF($A351="","",INDEX(Settings!$C$29:$C$33,MATCH(E351,Settings!$A$29:$A$33,0)))</x:f>
      </x:c>
      <x:c r="AA351" s="22" t="str">
        <x:f>IF($A351="","",G351/Z351)</x:f>
      </x:c>
      <x:c r="AB351" s="25" t="str">
        <x:f>IF($A351="","",IF(ISNUMBER(Y351),Y351,Settings!$B$10))</x:f>
      </x:c>
      <x:c r="AC351" s="23" t="str">
        <x:f>IF($A351="","",G351*(1+AB351))</x:f>
      </x:c>
      <x:c r="AD351" s="23" t="str">
        <x:f>IF($A351="","",G351*F351*12)</x:f>
      </x:c>
      <x:c r="AE351" s="23" t="str">
        <x:f>IF($A351="","",G351*F351*J351)</x:f>
      </x:c>
      <x:c r="AF351" s="24" t="str">
        <x:f>IF($A351="","",L351*F351*K351*Settings!$B$13)</x:f>
      </x:c>
      <x:c r="AG351" s="23" t="str">
        <x:f>IF($A351="","",AD351*H351*I351)</x:f>
      </x:c>
      <x:c r="AH351" s="24" t="str">
        <x:f>IF($A351="","",SUM(AD351:AE351,AG351)*SUM(Settings!$B$11:$B$12))</x:f>
      </x:c>
      <x:c r="AI351" s="24" t="str">
        <x:f>IF($A351="","",M351*Settings!$B$16)</x:f>
      </x:c>
      <x:c r="AJ351" s="24" t="str">
        <x:f>IF($A351="","",M351*Settings!$B$15)</x:f>
      </x:c>
      <x:c r="AK351" s="24" t="str">
        <x:f>IF($A351="","",O351*Settings!$B$18)</x:f>
      </x:c>
      <x:c r="AL351" s="24" t="str">
        <x:f>IF($A351="","",P351*Settings!$B$20+Q351*Settings!$B$21+R351*Settings!$B$22+S351*Settings!$B$23)</x:f>
      </x:c>
      <x:c r="AM351" s="24" t="str">
        <x:f>IF($A351="","",T351*Settings!$B$24)</x:f>
      </x:c>
      <x:c r="AN351" s="23" t="str">
        <x:f>IF($A351="","",SUM(AI351,N351,AK351:AM351,U351))</x:f>
      </x:c>
      <x:c r="AO351" s="23" t="str">
        <x:f>IF($A351="","",SUM(AD351:AI351,N351,AK351:AM351,U351))</x:f>
      </x:c>
      <x:c r="AP351" s="24" t="str">
        <x:f>IF($A351="","",G351*F351*AB351*((13-Settings!$B$9)*(1+H351*I351)+J351)*(1+SUM(Settings!$B$11:$B$12)))</x:f>
      </x:c>
      <x:c r="AQ351" s="23" t="str">
        <x:f>IF($A351="","",SUM(AO351:AP351))</x:f>
      </x:c>
      <x:c r="AR351" s="23" t="str">
        <x:f>IF($A351="","",AQ351-X351)</x:f>
      </x:c>
      <x:c r="AS351" s="22" t="str">
        <x:f>IF($A351="","",IF(W351=0,"n.a.",V351/W351))</x:f>
      </x:c>
      <x:c r="AT351" s="26" t="str">
        <x:f>IF($A351="",IF(COUNTA(B351:Y351)&gt;0,"Missing ID",""),IF(COUNTIFS($A$9:$A$508,A351)&gt;1,"Duplicate ID",IF(OR(B351="",C351="",D351="",E351="",COUNT(F351:X351)&lt;&gt;19),"Missing / text input",IF(OR(COUNTIFS(Settings!$A$59:$A$64,B351)&lt;&gt;1,COUNTIFS(Settings!$A$29:$A$33,E351)&lt;&gt;1),"Unknown department / grade",IF(OR(F351&lt;=0,F351&gt;1,G351&lt;=0,L351&lt;=0,H351&lt;0,I351&lt;0,J351&lt;0,K351&lt;0,K351&gt;1,MIN(M351:X351)&lt;0,W351=0,V351&gt;W351,M351&gt;W351-V351,P351&gt;8,Q351&gt;4,R351&gt;12,S351&gt;12,T351&gt;1,AB351&lt;0),"Review quantity / rate",IF(OR(N351&gt;Settings!$C$17,AK351&gt;Settings!$C$19),"Review benefit ceiling","OK"))))))</x:f>
      </x:c>
    </x:row>
    <x:row r="352" ht="23" customHeight="1">
      <x:c r="A352" s="8"/>
      <x:c r="B352" s="8"/>
      <x:c r="C352" s="8"/>
      <x:c r="D352" s="8"/>
      <x:c r="E352" s="8"/>
      <x:c r="F352" s="20"/>
      <x:c r="G352" s="12"/>
      <x:c r="H352" s="21"/>
      <x:c r="I352" s="20"/>
      <x:c r="J352" s="20"/>
      <x:c r="K352" s="20"/>
      <x:c r="L352" s="12"/>
      <x:c r="M352" s="8"/>
      <x:c r="N352" s="12"/>
      <x:c r="O352" s="8"/>
      <x:c r="P352" s="8"/>
      <x:c r="Q352" s="8"/>
      <x:c r="R352" s="8"/>
      <x:c r="S352" s="8"/>
      <x:c r="T352" s="8"/>
      <x:c r="U352" s="12"/>
      <x:c r="V352" s="8"/>
      <x:c r="W352" s="8"/>
      <x:c r="X352" s="12"/>
      <x:c r="Y352" s="21"/>
      <x:c r="Z352" s="24" t="str">
        <x:f>IF($A352="","",INDEX(Settings!$C$29:$C$33,MATCH(E352,Settings!$A$29:$A$33,0)))</x:f>
      </x:c>
      <x:c r="AA352" s="22" t="str">
        <x:f>IF($A352="","",G352/Z352)</x:f>
      </x:c>
      <x:c r="AB352" s="25" t="str">
        <x:f>IF($A352="","",IF(ISNUMBER(Y352),Y352,Settings!$B$10))</x:f>
      </x:c>
      <x:c r="AC352" s="23" t="str">
        <x:f>IF($A352="","",G352*(1+AB352))</x:f>
      </x:c>
      <x:c r="AD352" s="23" t="str">
        <x:f>IF($A352="","",G352*F352*12)</x:f>
      </x:c>
      <x:c r="AE352" s="23" t="str">
        <x:f>IF($A352="","",G352*F352*J352)</x:f>
      </x:c>
      <x:c r="AF352" s="24" t="str">
        <x:f>IF($A352="","",L352*F352*K352*Settings!$B$13)</x:f>
      </x:c>
      <x:c r="AG352" s="23" t="str">
        <x:f>IF($A352="","",AD352*H352*I352)</x:f>
      </x:c>
      <x:c r="AH352" s="24" t="str">
        <x:f>IF($A352="","",SUM(AD352:AE352,AG352)*SUM(Settings!$B$11:$B$12))</x:f>
      </x:c>
      <x:c r="AI352" s="24" t="str">
        <x:f>IF($A352="","",M352*Settings!$B$16)</x:f>
      </x:c>
      <x:c r="AJ352" s="24" t="str">
        <x:f>IF($A352="","",M352*Settings!$B$15)</x:f>
      </x:c>
      <x:c r="AK352" s="24" t="str">
        <x:f>IF($A352="","",O352*Settings!$B$18)</x:f>
      </x:c>
      <x:c r="AL352" s="24" t="str">
        <x:f>IF($A352="","",P352*Settings!$B$20+Q352*Settings!$B$21+R352*Settings!$B$22+S352*Settings!$B$23)</x:f>
      </x:c>
      <x:c r="AM352" s="24" t="str">
        <x:f>IF($A352="","",T352*Settings!$B$24)</x:f>
      </x:c>
      <x:c r="AN352" s="23" t="str">
        <x:f>IF($A352="","",SUM(AI352,N352,AK352:AM352,U352))</x:f>
      </x:c>
      <x:c r="AO352" s="23" t="str">
        <x:f>IF($A352="","",SUM(AD352:AI352,N352,AK352:AM352,U352))</x:f>
      </x:c>
      <x:c r="AP352" s="24" t="str">
        <x:f>IF($A352="","",G352*F352*AB352*((13-Settings!$B$9)*(1+H352*I352)+J352)*(1+SUM(Settings!$B$11:$B$12)))</x:f>
      </x:c>
      <x:c r="AQ352" s="23" t="str">
        <x:f>IF($A352="","",SUM(AO352:AP352))</x:f>
      </x:c>
      <x:c r="AR352" s="23" t="str">
        <x:f>IF($A352="","",AQ352-X352)</x:f>
      </x:c>
      <x:c r="AS352" s="22" t="str">
        <x:f>IF($A352="","",IF(W352=0,"n.a.",V352/W352))</x:f>
      </x:c>
      <x:c r="AT352" s="26" t="str">
        <x:f>IF($A352="",IF(COUNTA(B352:Y352)&gt;0,"Missing ID",""),IF(COUNTIFS($A$9:$A$508,A352)&gt;1,"Duplicate ID",IF(OR(B352="",C352="",D352="",E352="",COUNT(F352:X352)&lt;&gt;19),"Missing / text input",IF(OR(COUNTIFS(Settings!$A$59:$A$64,B352)&lt;&gt;1,COUNTIFS(Settings!$A$29:$A$33,E352)&lt;&gt;1),"Unknown department / grade",IF(OR(F352&lt;=0,F352&gt;1,G352&lt;=0,L352&lt;=0,H352&lt;0,I352&lt;0,J352&lt;0,K352&lt;0,K352&gt;1,MIN(M352:X352)&lt;0,W352=0,V352&gt;W352,M352&gt;W352-V352,P352&gt;8,Q352&gt;4,R352&gt;12,S352&gt;12,T352&gt;1,AB352&lt;0),"Review quantity / rate",IF(OR(N352&gt;Settings!$C$17,AK352&gt;Settings!$C$19),"Review benefit ceiling","OK"))))))</x:f>
      </x:c>
    </x:row>
    <x:row r="353" ht="23" customHeight="1">
      <x:c r="A353" s="8"/>
      <x:c r="B353" s="8"/>
      <x:c r="C353" s="8"/>
      <x:c r="D353" s="8"/>
      <x:c r="E353" s="8"/>
      <x:c r="F353" s="20"/>
      <x:c r="G353" s="12"/>
      <x:c r="H353" s="21"/>
      <x:c r="I353" s="20"/>
      <x:c r="J353" s="20"/>
      <x:c r="K353" s="20"/>
      <x:c r="L353" s="12"/>
      <x:c r="M353" s="8"/>
      <x:c r="N353" s="12"/>
      <x:c r="O353" s="8"/>
      <x:c r="P353" s="8"/>
      <x:c r="Q353" s="8"/>
      <x:c r="R353" s="8"/>
      <x:c r="S353" s="8"/>
      <x:c r="T353" s="8"/>
      <x:c r="U353" s="12"/>
      <x:c r="V353" s="8"/>
      <x:c r="W353" s="8"/>
      <x:c r="X353" s="12"/>
      <x:c r="Y353" s="21"/>
      <x:c r="Z353" s="24" t="str">
        <x:f>IF($A353="","",INDEX(Settings!$C$29:$C$33,MATCH(E353,Settings!$A$29:$A$33,0)))</x:f>
      </x:c>
      <x:c r="AA353" s="22" t="str">
        <x:f>IF($A353="","",G353/Z353)</x:f>
      </x:c>
      <x:c r="AB353" s="25" t="str">
        <x:f>IF($A353="","",IF(ISNUMBER(Y353),Y353,Settings!$B$10))</x:f>
      </x:c>
      <x:c r="AC353" s="23" t="str">
        <x:f>IF($A353="","",G353*(1+AB353))</x:f>
      </x:c>
      <x:c r="AD353" s="23" t="str">
        <x:f>IF($A353="","",G353*F353*12)</x:f>
      </x:c>
      <x:c r="AE353" s="23" t="str">
        <x:f>IF($A353="","",G353*F353*J353)</x:f>
      </x:c>
      <x:c r="AF353" s="24" t="str">
        <x:f>IF($A353="","",L353*F353*K353*Settings!$B$13)</x:f>
      </x:c>
      <x:c r="AG353" s="23" t="str">
        <x:f>IF($A353="","",AD353*H353*I353)</x:f>
      </x:c>
      <x:c r="AH353" s="24" t="str">
        <x:f>IF($A353="","",SUM(AD353:AE353,AG353)*SUM(Settings!$B$11:$B$12))</x:f>
      </x:c>
      <x:c r="AI353" s="24" t="str">
        <x:f>IF($A353="","",M353*Settings!$B$16)</x:f>
      </x:c>
      <x:c r="AJ353" s="24" t="str">
        <x:f>IF($A353="","",M353*Settings!$B$15)</x:f>
      </x:c>
      <x:c r="AK353" s="24" t="str">
        <x:f>IF($A353="","",O353*Settings!$B$18)</x:f>
      </x:c>
      <x:c r="AL353" s="24" t="str">
        <x:f>IF($A353="","",P353*Settings!$B$20+Q353*Settings!$B$21+R353*Settings!$B$22+S353*Settings!$B$23)</x:f>
      </x:c>
      <x:c r="AM353" s="24" t="str">
        <x:f>IF($A353="","",T353*Settings!$B$24)</x:f>
      </x:c>
      <x:c r="AN353" s="23" t="str">
        <x:f>IF($A353="","",SUM(AI353,N353,AK353:AM353,U353))</x:f>
      </x:c>
      <x:c r="AO353" s="23" t="str">
        <x:f>IF($A353="","",SUM(AD353:AI353,N353,AK353:AM353,U353))</x:f>
      </x:c>
      <x:c r="AP353" s="24" t="str">
        <x:f>IF($A353="","",G353*F353*AB353*((13-Settings!$B$9)*(1+H353*I353)+J353)*(1+SUM(Settings!$B$11:$B$12)))</x:f>
      </x:c>
      <x:c r="AQ353" s="23" t="str">
        <x:f>IF($A353="","",SUM(AO353:AP353))</x:f>
      </x:c>
      <x:c r="AR353" s="23" t="str">
        <x:f>IF($A353="","",AQ353-X353)</x:f>
      </x:c>
      <x:c r="AS353" s="22" t="str">
        <x:f>IF($A353="","",IF(W353=0,"n.a.",V353/W353))</x:f>
      </x:c>
      <x:c r="AT353" s="26" t="str">
        <x:f>IF($A353="",IF(COUNTA(B353:Y353)&gt;0,"Missing ID",""),IF(COUNTIFS($A$9:$A$508,A353)&gt;1,"Duplicate ID",IF(OR(B353="",C353="",D353="",E353="",COUNT(F353:X353)&lt;&gt;19),"Missing / text input",IF(OR(COUNTIFS(Settings!$A$59:$A$64,B353)&lt;&gt;1,COUNTIFS(Settings!$A$29:$A$33,E353)&lt;&gt;1),"Unknown department / grade",IF(OR(F353&lt;=0,F353&gt;1,G353&lt;=0,L353&lt;=0,H353&lt;0,I353&lt;0,J353&lt;0,K353&lt;0,K353&gt;1,MIN(M353:X353)&lt;0,W353=0,V353&gt;W353,M353&gt;W353-V353,P353&gt;8,Q353&gt;4,R353&gt;12,S353&gt;12,T353&gt;1,AB353&lt;0),"Review quantity / rate",IF(OR(N353&gt;Settings!$C$17,AK353&gt;Settings!$C$19),"Review benefit ceiling","OK"))))))</x:f>
      </x:c>
    </x:row>
    <x:row r="354" ht="23" customHeight="1">
      <x:c r="A354" s="8"/>
      <x:c r="B354" s="8"/>
      <x:c r="C354" s="8"/>
      <x:c r="D354" s="8"/>
      <x:c r="E354" s="8"/>
      <x:c r="F354" s="20"/>
      <x:c r="G354" s="12"/>
      <x:c r="H354" s="21"/>
      <x:c r="I354" s="20"/>
      <x:c r="J354" s="20"/>
      <x:c r="K354" s="20"/>
      <x:c r="L354" s="12"/>
      <x:c r="M354" s="8"/>
      <x:c r="N354" s="12"/>
      <x:c r="O354" s="8"/>
      <x:c r="P354" s="8"/>
      <x:c r="Q354" s="8"/>
      <x:c r="R354" s="8"/>
      <x:c r="S354" s="8"/>
      <x:c r="T354" s="8"/>
      <x:c r="U354" s="12"/>
      <x:c r="V354" s="8"/>
      <x:c r="W354" s="8"/>
      <x:c r="X354" s="12"/>
      <x:c r="Y354" s="21"/>
      <x:c r="Z354" s="24" t="str">
        <x:f>IF($A354="","",INDEX(Settings!$C$29:$C$33,MATCH(E354,Settings!$A$29:$A$33,0)))</x:f>
      </x:c>
      <x:c r="AA354" s="22" t="str">
        <x:f>IF($A354="","",G354/Z354)</x:f>
      </x:c>
      <x:c r="AB354" s="25" t="str">
        <x:f>IF($A354="","",IF(ISNUMBER(Y354),Y354,Settings!$B$10))</x:f>
      </x:c>
      <x:c r="AC354" s="23" t="str">
        <x:f>IF($A354="","",G354*(1+AB354))</x:f>
      </x:c>
      <x:c r="AD354" s="23" t="str">
        <x:f>IF($A354="","",G354*F354*12)</x:f>
      </x:c>
      <x:c r="AE354" s="23" t="str">
        <x:f>IF($A354="","",G354*F354*J354)</x:f>
      </x:c>
      <x:c r="AF354" s="24" t="str">
        <x:f>IF($A354="","",L354*F354*K354*Settings!$B$13)</x:f>
      </x:c>
      <x:c r="AG354" s="23" t="str">
        <x:f>IF($A354="","",AD354*H354*I354)</x:f>
      </x:c>
      <x:c r="AH354" s="24" t="str">
        <x:f>IF($A354="","",SUM(AD354:AE354,AG354)*SUM(Settings!$B$11:$B$12))</x:f>
      </x:c>
      <x:c r="AI354" s="24" t="str">
        <x:f>IF($A354="","",M354*Settings!$B$16)</x:f>
      </x:c>
      <x:c r="AJ354" s="24" t="str">
        <x:f>IF($A354="","",M354*Settings!$B$15)</x:f>
      </x:c>
      <x:c r="AK354" s="24" t="str">
        <x:f>IF($A354="","",O354*Settings!$B$18)</x:f>
      </x:c>
      <x:c r="AL354" s="24" t="str">
        <x:f>IF($A354="","",P354*Settings!$B$20+Q354*Settings!$B$21+R354*Settings!$B$22+S354*Settings!$B$23)</x:f>
      </x:c>
      <x:c r="AM354" s="24" t="str">
        <x:f>IF($A354="","",T354*Settings!$B$24)</x:f>
      </x:c>
      <x:c r="AN354" s="23" t="str">
        <x:f>IF($A354="","",SUM(AI354,N354,AK354:AM354,U354))</x:f>
      </x:c>
      <x:c r="AO354" s="23" t="str">
        <x:f>IF($A354="","",SUM(AD354:AI354,N354,AK354:AM354,U354))</x:f>
      </x:c>
      <x:c r="AP354" s="24" t="str">
        <x:f>IF($A354="","",G354*F354*AB354*((13-Settings!$B$9)*(1+H354*I354)+J354)*(1+SUM(Settings!$B$11:$B$12)))</x:f>
      </x:c>
      <x:c r="AQ354" s="23" t="str">
        <x:f>IF($A354="","",SUM(AO354:AP354))</x:f>
      </x:c>
      <x:c r="AR354" s="23" t="str">
        <x:f>IF($A354="","",AQ354-X354)</x:f>
      </x:c>
      <x:c r="AS354" s="22" t="str">
        <x:f>IF($A354="","",IF(W354=0,"n.a.",V354/W354))</x:f>
      </x:c>
      <x:c r="AT354" s="26" t="str">
        <x:f>IF($A354="",IF(COUNTA(B354:Y354)&gt;0,"Missing ID",""),IF(COUNTIFS($A$9:$A$508,A354)&gt;1,"Duplicate ID",IF(OR(B354="",C354="",D354="",E354="",COUNT(F354:X354)&lt;&gt;19),"Missing / text input",IF(OR(COUNTIFS(Settings!$A$59:$A$64,B354)&lt;&gt;1,COUNTIFS(Settings!$A$29:$A$33,E354)&lt;&gt;1),"Unknown department / grade",IF(OR(F354&lt;=0,F354&gt;1,G354&lt;=0,L354&lt;=0,H354&lt;0,I354&lt;0,J354&lt;0,K354&lt;0,K354&gt;1,MIN(M354:X354)&lt;0,W354=0,V354&gt;W354,M354&gt;W354-V354,P354&gt;8,Q354&gt;4,R354&gt;12,S354&gt;12,T354&gt;1,AB354&lt;0),"Review quantity / rate",IF(OR(N354&gt;Settings!$C$17,AK354&gt;Settings!$C$19),"Review benefit ceiling","OK"))))))</x:f>
      </x:c>
    </x:row>
    <x:row r="355" ht="23" customHeight="1">
      <x:c r="A355" s="8"/>
      <x:c r="B355" s="8"/>
      <x:c r="C355" s="8"/>
      <x:c r="D355" s="8"/>
      <x:c r="E355" s="8"/>
      <x:c r="F355" s="20"/>
      <x:c r="G355" s="12"/>
      <x:c r="H355" s="21"/>
      <x:c r="I355" s="20"/>
      <x:c r="J355" s="20"/>
      <x:c r="K355" s="20"/>
      <x:c r="L355" s="12"/>
      <x:c r="M355" s="8"/>
      <x:c r="N355" s="12"/>
      <x:c r="O355" s="8"/>
      <x:c r="P355" s="8"/>
      <x:c r="Q355" s="8"/>
      <x:c r="R355" s="8"/>
      <x:c r="S355" s="8"/>
      <x:c r="T355" s="8"/>
      <x:c r="U355" s="12"/>
      <x:c r="V355" s="8"/>
      <x:c r="W355" s="8"/>
      <x:c r="X355" s="12"/>
      <x:c r="Y355" s="21"/>
      <x:c r="Z355" s="24" t="str">
        <x:f>IF($A355="","",INDEX(Settings!$C$29:$C$33,MATCH(E355,Settings!$A$29:$A$33,0)))</x:f>
      </x:c>
      <x:c r="AA355" s="22" t="str">
        <x:f>IF($A355="","",G355/Z355)</x:f>
      </x:c>
      <x:c r="AB355" s="25" t="str">
        <x:f>IF($A355="","",IF(ISNUMBER(Y355),Y355,Settings!$B$10))</x:f>
      </x:c>
      <x:c r="AC355" s="23" t="str">
        <x:f>IF($A355="","",G355*(1+AB355))</x:f>
      </x:c>
      <x:c r="AD355" s="23" t="str">
        <x:f>IF($A355="","",G355*F355*12)</x:f>
      </x:c>
      <x:c r="AE355" s="23" t="str">
        <x:f>IF($A355="","",G355*F355*J355)</x:f>
      </x:c>
      <x:c r="AF355" s="24" t="str">
        <x:f>IF($A355="","",L355*F355*K355*Settings!$B$13)</x:f>
      </x:c>
      <x:c r="AG355" s="23" t="str">
        <x:f>IF($A355="","",AD355*H355*I355)</x:f>
      </x:c>
      <x:c r="AH355" s="24" t="str">
        <x:f>IF($A355="","",SUM(AD355:AE355,AG355)*SUM(Settings!$B$11:$B$12))</x:f>
      </x:c>
      <x:c r="AI355" s="24" t="str">
        <x:f>IF($A355="","",M355*Settings!$B$16)</x:f>
      </x:c>
      <x:c r="AJ355" s="24" t="str">
        <x:f>IF($A355="","",M355*Settings!$B$15)</x:f>
      </x:c>
      <x:c r="AK355" s="24" t="str">
        <x:f>IF($A355="","",O355*Settings!$B$18)</x:f>
      </x:c>
      <x:c r="AL355" s="24" t="str">
        <x:f>IF($A355="","",P355*Settings!$B$20+Q355*Settings!$B$21+R355*Settings!$B$22+S355*Settings!$B$23)</x:f>
      </x:c>
      <x:c r="AM355" s="24" t="str">
        <x:f>IF($A355="","",T355*Settings!$B$24)</x:f>
      </x:c>
      <x:c r="AN355" s="23" t="str">
        <x:f>IF($A355="","",SUM(AI355,N355,AK355:AM355,U355))</x:f>
      </x:c>
      <x:c r="AO355" s="23" t="str">
        <x:f>IF($A355="","",SUM(AD355:AI355,N355,AK355:AM355,U355))</x:f>
      </x:c>
      <x:c r="AP355" s="24" t="str">
        <x:f>IF($A355="","",G355*F355*AB355*((13-Settings!$B$9)*(1+H355*I355)+J355)*(1+SUM(Settings!$B$11:$B$12)))</x:f>
      </x:c>
      <x:c r="AQ355" s="23" t="str">
        <x:f>IF($A355="","",SUM(AO355:AP355))</x:f>
      </x:c>
      <x:c r="AR355" s="23" t="str">
        <x:f>IF($A355="","",AQ355-X355)</x:f>
      </x:c>
      <x:c r="AS355" s="22" t="str">
        <x:f>IF($A355="","",IF(W355=0,"n.a.",V355/W355))</x:f>
      </x:c>
      <x:c r="AT355" s="26" t="str">
        <x:f>IF($A355="",IF(COUNTA(B355:Y355)&gt;0,"Missing ID",""),IF(COUNTIFS($A$9:$A$508,A355)&gt;1,"Duplicate ID",IF(OR(B355="",C355="",D355="",E355="",COUNT(F355:X355)&lt;&gt;19),"Missing / text input",IF(OR(COUNTIFS(Settings!$A$59:$A$64,B355)&lt;&gt;1,COUNTIFS(Settings!$A$29:$A$33,E355)&lt;&gt;1),"Unknown department / grade",IF(OR(F355&lt;=0,F355&gt;1,G355&lt;=0,L355&lt;=0,H355&lt;0,I355&lt;0,J355&lt;0,K355&lt;0,K355&gt;1,MIN(M355:X355)&lt;0,W355=0,V355&gt;W355,M355&gt;W355-V355,P355&gt;8,Q355&gt;4,R355&gt;12,S355&gt;12,T355&gt;1,AB355&lt;0),"Review quantity / rate",IF(OR(N355&gt;Settings!$C$17,AK355&gt;Settings!$C$19),"Review benefit ceiling","OK"))))))</x:f>
      </x:c>
    </x:row>
    <x:row r="356" ht="23" customHeight="1">
      <x:c r="A356" s="8"/>
      <x:c r="B356" s="8"/>
      <x:c r="C356" s="8"/>
      <x:c r="D356" s="8"/>
      <x:c r="E356" s="8"/>
      <x:c r="F356" s="20"/>
      <x:c r="G356" s="12"/>
      <x:c r="H356" s="21"/>
      <x:c r="I356" s="20"/>
      <x:c r="J356" s="20"/>
      <x:c r="K356" s="20"/>
      <x:c r="L356" s="12"/>
      <x:c r="M356" s="8"/>
      <x:c r="N356" s="12"/>
      <x:c r="O356" s="8"/>
      <x:c r="P356" s="8"/>
      <x:c r="Q356" s="8"/>
      <x:c r="R356" s="8"/>
      <x:c r="S356" s="8"/>
      <x:c r="T356" s="8"/>
      <x:c r="U356" s="12"/>
      <x:c r="V356" s="8"/>
      <x:c r="W356" s="8"/>
      <x:c r="X356" s="12"/>
      <x:c r="Y356" s="21"/>
      <x:c r="Z356" s="24" t="str">
        <x:f>IF($A356="","",INDEX(Settings!$C$29:$C$33,MATCH(E356,Settings!$A$29:$A$33,0)))</x:f>
      </x:c>
      <x:c r="AA356" s="22" t="str">
        <x:f>IF($A356="","",G356/Z356)</x:f>
      </x:c>
      <x:c r="AB356" s="25" t="str">
        <x:f>IF($A356="","",IF(ISNUMBER(Y356),Y356,Settings!$B$10))</x:f>
      </x:c>
      <x:c r="AC356" s="23" t="str">
        <x:f>IF($A356="","",G356*(1+AB356))</x:f>
      </x:c>
      <x:c r="AD356" s="23" t="str">
        <x:f>IF($A356="","",G356*F356*12)</x:f>
      </x:c>
      <x:c r="AE356" s="23" t="str">
        <x:f>IF($A356="","",G356*F356*J356)</x:f>
      </x:c>
      <x:c r="AF356" s="24" t="str">
        <x:f>IF($A356="","",L356*F356*K356*Settings!$B$13)</x:f>
      </x:c>
      <x:c r="AG356" s="23" t="str">
        <x:f>IF($A356="","",AD356*H356*I356)</x:f>
      </x:c>
      <x:c r="AH356" s="24" t="str">
        <x:f>IF($A356="","",SUM(AD356:AE356,AG356)*SUM(Settings!$B$11:$B$12))</x:f>
      </x:c>
      <x:c r="AI356" s="24" t="str">
        <x:f>IF($A356="","",M356*Settings!$B$16)</x:f>
      </x:c>
      <x:c r="AJ356" s="24" t="str">
        <x:f>IF($A356="","",M356*Settings!$B$15)</x:f>
      </x:c>
      <x:c r="AK356" s="24" t="str">
        <x:f>IF($A356="","",O356*Settings!$B$18)</x:f>
      </x:c>
      <x:c r="AL356" s="24" t="str">
        <x:f>IF($A356="","",P356*Settings!$B$20+Q356*Settings!$B$21+R356*Settings!$B$22+S356*Settings!$B$23)</x:f>
      </x:c>
      <x:c r="AM356" s="24" t="str">
        <x:f>IF($A356="","",T356*Settings!$B$24)</x:f>
      </x:c>
      <x:c r="AN356" s="23" t="str">
        <x:f>IF($A356="","",SUM(AI356,N356,AK356:AM356,U356))</x:f>
      </x:c>
      <x:c r="AO356" s="23" t="str">
        <x:f>IF($A356="","",SUM(AD356:AI356,N356,AK356:AM356,U356))</x:f>
      </x:c>
      <x:c r="AP356" s="24" t="str">
        <x:f>IF($A356="","",G356*F356*AB356*((13-Settings!$B$9)*(1+H356*I356)+J356)*(1+SUM(Settings!$B$11:$B$12)))</x:f>
      </x:c>
      <x:c r="AQ356" s="23" t="str">
        <x:f>IF($A356="","",SUM(AO356:AP356))</x:f>
      </x:c>
      <x:c r="AR356" s="23" t="str">
        <x:f>IF($A356="","",AQ356-X356)</x:f>
      </x:c>
      <x:c r="AS356" s="22" t="str">
        <x:f>IF($A356="","",IF(W356=0,"n.a.",V356/W356))</x:f>
      </x:c>
      <x:c r="AT356" s="26" t="str">
        <x:f>IF($A356="",IF(COUNTA(B356:Y356)&gt;0,"Missing ID",""),IF(COUNTIFS($A$9:$A$508,A356)&gt;1,"Duplicate ID",IF(OR(B356="",C356="",D356="",E356="",COUNT(F356:X356)&lt;&gt;19),"Missing / text input",IF(OR(COUNTIFS(Settings!$A$59:$A$64,B356)&lt;&gt;1,COUNTIFS(Settings!$A$29:$A$33,E356)&lt;&gt;1),"Unknown department / grade",IF(OR(F356&lt;=0,F356&gt;1,G356&lt;=0,L356&lt;=0,H356&lt;0,I356&lt;0,J356&lt;0,K356&lt;0,K356&gt;1,MIN(M356:X356)&lt;0,W356=0,V356&gt;W356,M356&gt;W356-V356,P356&gt;8,Q356&gt;4,R356&gt;12,S356&gt;12,T356&gt;1,AB356&lt;0),"Review quantity / rate",IF(OR(N356&gt;Settings!$C$17,AK356&gt;Settings!$C$19),"Review benefit ceiling","OK"))))))</x:f>
      </x:c>
    </x:row>
    <x:row r="357" ht="23" customHeight="1">
      <x:c r="A357" s="8"/>
      <x:c r="B357" s="8"/>
      <x:c r="C357" s="8"/>
      <x:c r="D357" s="8"/>
      <x:c r="E357" s="8"/>
      <x:c r="F357" s="20"/>
      <x:c r="G357" s="12"/>
      <x:c r="H357" s="21"/>
      <x:c r="I357" s="20"/>
      <x:c r="J357" s="20"/>
      <x:c r="K357" s="20"/>
      <x:c r="L357" s="12"/>
      <x:c r="M357" s="8"/>
      <x:c r="N357" s="12"/>
      <x:c r="O357" s="8"/>
      <x:c r="P357" s="8"/>
      <x:c r="Q357" s="8"/>
      <x:c r="R357" s="8"/>
      <x:c r="S357" s="8"/>
      <x:c r="T357" s="8"/>
      <x:c r="U357" s="12"/>
      <x:c r="V357" s="8"/>
      <x:c r="W357" s="8"/>
      <x:c r="X357" s="12"/>
      <x:c r="Y357" s="21"/>
      <x:c r="Z357" s="24" t="str">
        <x:f>IF($A357="","",INDEX(Settings!$C$29:$C$33,MATCH(E357,Settings!$A$29:$A$33,0)))</x:f>
      </x:c>
      <x:c r="AA357" s="22" t="str">
        <x:f>IF($A357="","",G357/Z357)</x:f>
      </x:c>
      <x:c r="AB357" s="25" t="str">
        <x:f>IF($A357="","",IF(ISNUMBER(Y357),Y357,Settings!$B$10))</x:f>
      </x:c>
      <x:c r="AC357" s="23" t="str">
        <x:f>IF($A357="","",G357*(1+AB357))</x:f>
      </x:c>
      <x:c r="AD357" s="23" t="str">
        <x:f>IF($A357="","",G357*F357*12)</x:f>
      </x:c>
      <x:c r="AE357" s="23" t="str">
        <x:f>IF($A357="","",G357*F357*J357)</x:f>
      </x:c>
      <x:c r="AF357" s="24" t="str">
        <x:f>IF($A357="","",L357*F357*K357*Settings!$B$13)</x:f>
      </x:c>
      <x:c r="AG357" s="23" t="str">
        <x:f>IF($A357="","",AD357*H357*I357)</x:f>
      </x:c>
      <x:c r="AH357" s="24" t="str">
        <x:f>IF($A357="","",SUM(AD357:AE357,AG357)*SUM(Settings!$B$11:$B$12))</x:f>
      </x:c>
      <x:c r="AI357" s="24" t="str">
        <x:f>IF($A357="","",M357*Settings!$B$16)</x:f>
      </x:c>
      <x:c r="AJ357" s="24" t="str">
        <x:f>IF($A357="","",M357*Settings!$B$15)</x:f>
      </x:c>
      <x:c r="AK357" s="24" t="str">
        <x:f>IF($A357="","",O357*Settings!$B$18)</x:f>
      </x:c>
      <x:c r="AL357" s="24" t="str">
        <x:f>IF($A357="","",P357*Settings!$B$20+Q357*Settings!$B$21+R357*Settings!$B$22+S357*Settings!$B$23)</x:f>
      </x:c>
      <x:c r="AM357" s="24" t="str">
        <x:f>IF($A357="","",T357*Settings!$B$24)</x:f>
      </x:c>
      <x:c r="AN357" s="23" t="str">
        <x:f>IF($A357="","",SUM(AI357,N357,AK357:AM357,U357))</x:f>
      </x:c>
      <x:c r="AO357" s="23" t="str">
        <x:f>IF($A357="","",SUM(AD357:AI357,N357,AK357:AM357,U357))</x:f>
      </x:c>
      <x:c r="AP357" s="24" t="str">
        <x:f>IF($A357="","",G357*F357*AB357*((13-Settings!$B$9)*(1+H357*I357)+J357)*(1+SUM(Settings!$B$11:$B$12)))</x:f>
      </x:c>
      <x:c r="AQ357" s="23" t="str">
        <x:f>IF($A357="","",SUM(AO357:AP357))</x:f>
      </x:c>
      <x:c r="AR357" s="23" t="str">
        <x:f>IF($A357="","",AQ357-X357)</x:f>
      </x:c>
      <x:c r="AS357" s="22" t="str">
        <x:f>IF($A357="","",IF(W357=0,"n.a.",V357/W357))</x:f>
      </x:c>
      <x:c r="AT357" s="26" t="str">
        <x:f>IF($A357="",IF(COUNTA(B357:Y357)&gt;0,"Missing ID",""),IF(COUNTIFS($A$9:$A$508,A357)&gt;1,"Duplicate ID",IF(OR(B357="",C357="",D357="",E357="",COUNT(F357:X357)&lt;&gt;19),"Missing / text input",IF(OR(COUNTIFS(Settings!$A$59:$A$64,B357)&lt;&gt;1,COUNTIFS(Settings!$A$29:$A$33,E357)&lt;&gt;1),"Unknown department / grade",IF(OR(F357&lt;=0,F357&gt;1,G357&lt;=0,L357&lt;=0,H357&lt;0,I357&lt;0,J357&lt;0,K357&lt;0,K357&gt;1,MIN(M357:X357)&lt;0,W357=0,V357&gt;W357,M357&gt;W357-V357,P357&gt;8,Q357&gt;4,R357&gt;12,S357&gt;12,T357&gt;1,AB357&lt;0),"Review quantity / rate",IF(OR(N357&gt;Settings!$C$17,AK357&gt;Settings!$C$19),"Review benefit ceiling","OK"))))))</x:f>
      </x:c>
    </x:row>
    <x:row r="358" ht="23" customHeight="1">
      <x:c r="A358" s="8"/>
      <x:c r="B358" s="8"/>
      <x:c r="C358" s="8"/>
      <x:c r="D358" s="8"/>
      <x:c r="E358" s="8"/>
      <x:c r="F358" s="20"/>
      <x:c r="G358" s="12"/>
      <x:c r="H358" s="21"/>
      <x:c r="I358" s="20"/>
      <x:c r="J358" s="20"/>
      <x:c r="K358" s="20"/>
      <x:c r="L358" s="12"/>
      <x:c r="M358" s="8"/>
      <x:c r="N358" s="12"/>
      <x:c r="O358" s="8"/>
      <x:c r="P358" s="8"/>
      <x:c r="Q358" s="8"/>
      <x:c r="R358" s="8"/>
      <x:c r="S358" s="8"/>
      <x:c r="T358" s="8"/>
      <x:c r="U358" s="12"/>
      <x:c r="V358" s="8"/>
      <x:c r="W358" s="8"/>
      <x:c r="X358" s="12"/>
      <x:c r="Y358" s="21"/>
      <x:c r="Z358" s="24" t="str">
        <x:f>IF($A358="","",INDEX(Settings!$C$29:$C$33,MATCH(E358,Settings!$A$29:$A$33,0)))</x:f>
      </x:c>
      <x:c r="AA358" s="22" t="str">
        <x:f>IF($A358="","",G358/Z358)</x:f>
      </x:c>
      <x:c r="AB358" s="25" t="str">
        <x:f>IF($A358="","",IF(ISNUMBER(Y358),Y358,Settings!$B$10))</x:f>
      </x:c>
      <x:c r="AC358" s="23" t="str">
        <x:f>IF($A358="","",G358*(1+AB358))</x:f>
      </x:c>
      <x:c r="AD358" s="23" t="str">
        <x:f>IF($A358="","",G358*F358*12)</x:f>
      </x:c>
      <x:c r="AE358" s="23" t="str">
        <x:f>IF($A358="","",G358*F358*J358)</x:f>
      </x:c>
      <x:c r="AF358" s="24" t="str">
        <x:f>IF($A358="","",L358*F358*K358*Settings!$B$13)</x:f>
      </x:c>
      <x:c r="AG358" s="23" t="str">
        <x:f>IF($A358="","",AD358*H358*I358)</x:f>
      </x:c>
      <x:c r="AH358" s="24" t="str">
        <x:f>IF($A358="","",SUM(AD358:AE358,AG358)*SUM(Settings!$B$11:$B$12))</x:f>
      </x:c>
      <x:c r="AI358" s="24" t="str">
        <x:f>IF($A358="","",M358*Settings!$B$16)</x:f>
      </x:c>
      <x:c r="AJ358" s="24" t="str">
        <x:f>IF($A358="","",M358*Settings!$B$15)</x:f>
      </x:c>
      <x:c r="AK358" s="24" t="str">
        <x:f>IF($A358="","",O358*Settings!$B$18)</x:f>
      </x:c>
      <x:c r="AL358" s="24" t="str">
        <x:f>IF($A358="","",P358*Settings!$B$20+Q358*Settings!$B$21+R358*Settings!$B$22+S358*Settings!$B$23)</x:f>
      </x:c>
      <x:c r="AM358" s="24" t="str">
        <x:f>IF($A358="","",T358*Settings!$B$24)</x:f>
      </x:c>
      <x:c r="AN358" s="23" t="str">
        <x:f>IF($A358="","",SUM(AI358,N358,AK358:AM358,U358))</x:f>
      </x:c>
      <x:c r="AO358" s="23" t="str">
        <x:f>IF($A358="","",SUM(AD358:AI358,N358,AK358:AM358,U358))</x:f>
      </x:c>
      <x:c r="AP358" s="24" t="str">
        <x:f>IF($A358="","",G358*F358*AB358*((13-Settings!$B$9)*(1+H358*I358)+J358)*(1+SUM(Settings!$B$11:$B$12)))</x:f>
      </x:c>
      <x:c r="AQ358" s="23" t="str">
        <x:f>IF($A358="","",SUM(AO358:AP358))</x:f>
      </x:c>
      <x:c r="AR358" s="23" t="str">
        <x:f>IF($A358="","",AQ358-X358)</x:f>
      </x:c>
      <x:c r="AS358" s="22" t="str">
        <x:f>IF($A358="","",IF(W358=0,"n.a.",V358/W358))</x:f>
      </x:c>
      <x:c r="AT358" s="26" t="str">
        <x:f>IF($A358="",IF(COUNTA(B358:Y358)&gt;0,"Missing ID",""),IF(COUNTIFS($A$9:$A$508,A358)&gt;1,"Duplicate ID",IF(OR(B358="",C358="",D358="",E358="",COUNT(F358:X358)&lt;&gt;19),"Missing / text input",IF(OR(COUNTIFS(Settings!$A$59:$A$64,B358)&lt;&gt;1,COUNTIFS(Settings!$A$29:$A$33,E358)&lt;&gt;1),"Unknown department / grade",IF(OR(F358&lt;=0,F358&gt;1,G358&lt;=0,L358&lt;=0,H358&lt;0,I358&lt;0,J358&lt;0,K358&lt;0,K358&gt;1,MIN(M358:X358)&lt;0,W358=0,V358&gt;W358,M358&gt;W358-V358,P358&gt;8,Q358&gt;4,R358&gt;12,S358&gt;12,T358&gt;1,AB358&lt;0),"Review quantity / rate",IF(OR(N358&gt;Settings!$C$17,AK358&gt;Settings!$C$19),"Review benefit ceiling","OK"))))))</x:f>
      </x:c>
    </x:row>
    <x:row r="359" ht="23" customHeight="1">
      <x:c r="A359" s="8"/>
      <x:c r="B359" s="8"/>
      <x:c r="C359" s="8"/>
      <x:c r="D359" s="8"/>
      <x:c r="E359" s="8"/>
      <x:c r="F359" s="20"/>
      <x:c r="G359" s="12"/>
      <x:c r="H359" s="21"/>
      <x:c r="I359" s="20"/>
      <x:c r="J359" s="20"/>
      <x:c r="K359" s="20"/>
      <x:c r="L359" s="12"/>
      <x:c r="M359" s="8"/>
      <x:c r="N359" s="12"/>
      <x:c r="O359" s="8"/>
      <x:c r="P359" s="8"/>
      <x:c r="Q359" s="8"/>
      <x:c r="R359" s="8"/>
      <x:c r="S359" s="8"/>
      <x:c r="T359" s="8"/>
      <x:c r="U359" s="12"/>
      <x:c r="V359" s="8"/>
      <x:c r="W359" s="8"/>
      <x:c r="X359" s="12"/>
      <x:c r="Y359" s="21"/>
      <x:c r="Z359" s="24" t="str">
        <x:f>IF($A359="","",INDEX(Settings!$C$29:$C$33,MATCH(E359,Settings!$A$29:$A$33,0)))</x:f>
      </x:c>
      <x:c r="AA359" s="22" t="str">
        <x:f>IF($A359="","",G359/Z359)</x:f>
      </x:c>
      <x:c r="AB359" s="25" t="str">
        <x:f>IF($A359="","",IF(ISNUMBER(Y359),Y359,Settings!$B$10))</x:f>
      </x:c>
      <x:c r="AC359" s="23" t="str">
        <x:f>IF($A359="","",G359*(1+AB359))</x:f>
      </x:c>
      <x:c r="AD359" s="23" t="str">
        <x:f>IF($A359="","",G359*F359*12)</x:f>
      </x:c>
      <x:c r="AE359" s="23" t="str">
        <x:f>IF($A359="","",G359*F359*J359)</x:f>
      </x:c>
      <x:c r="AF359" s="24" t="str">
        <x:f>IF($A359="","",L359*F359*K359*Settings!$B$13)</x:f>
      </x:c>
      <x:c r="AG359" s="23" t="str">
        <x:f>IF($A359="","",AD359*H359*I359)</x:f>
      </x:c>
      <x:c r="AH359" s="24" t="str">
        <x:f>IF($A359="","",SUM(AD359:AE359,AG359)*SUM(Settings!$B$11:$B$12))</x:f>
      </x:c>
      <x:c r="AI359" s="24" t="str">
        <x:f>IF($A359="","",M359*Settings!$B$16)</x:f>
      </x:c>
      <x:c r="AJ359" s="24" t="str">
        <x:f>IF($A359="","",M359*Settings!$B$15)</x:f>
      </x:c>
      <x:c r="AK359" s="24" t="str">
        <x:f>IF($A359="","",O359*Settings!$B$18)</x:f>
      </x:c>
      <x:c r="AL359" s="24" t="str">
        <x:f>IF($A359="","",P359*Settings!$B$20+Q359*Settings!$B$21+R359*Settings!$B$22+S359*Settings!$B$23)</x:f>
      </x:c>
      <x:c r="AM359" s="24" t="str">
        <x:f>IF($A359="","",T359*Settings!$B$24)</x:f>
      </x:c>
      <x:c r="AN359" s="23" t="str">
        <x:f>IF($A359="","",SUM(AI359,N359,AK359:AM359,U359))</x:f>
      </x:c>
      <x:c r="AO359" s="23" t="str">
        <x:f>IF($A359="","",SUM(AD359:AI359,N359,AK359:AM359,U359))</x:f>
      </x:c>
      <x:c r="AP359" s="24" t="str">
        <x:f>IF($A359="","",G359*F359*AB359*((13-Settings!$B$9)*(1+H359*I359)+J359)*(1+SUM(Settings!$B$11:$B$12)))</x:f>
      </x:c>
      <x:c r="AQ359" s="23" t="str">
        <x:f>IF($A359="","",SUM(AO359:AP359))</x:f>
      </x:c>
      <x:c r="AR359" s="23" t="str">
        <x:f>IF($A359="","",AQ359-X359)</x:f>
      </x:c>
      <x:c r="AS359" s="22" t="str">
        <x:f>IF($A359="","",IF(W359=0,"n.a.",V359/W359))</x:f>
      </x:c>
      <x:c r="AT359" s="26" t="str">
        <x:f>IF($A359="",IF(COUNTA(B359:Y359)&gt;0,"Missing ID",""),IF(COUNTIFS($A$9:$A$508,A359)&gt;1,"Duplicate ID",IF(OR(B359="",C359="",D359="",E359="",COUNT(F359:X359)&lt;&gt;19),"Missing / text input",IF(OR(COUNTIFS(Settings!$A$59:$A$64,B359)&lt;&gt;1,COUNTIFS(Settings!$A$29:$A$33,E359)&lt;&gt;1),"Unknown department / grade",IF(OR(F359&lt;=0,F359&gt;1,G359&lt;=0,L359&lt;=0,H359&lt;0,I359&lt;0,J359&lt;0,K359&lt;0,K359&gt;1,MIN(M359:X359)&lt;0,W359=0,V359&gt;W359,M359&gt;W359-V359,P359&gt;8,Q359&gt;4,R359&gt;12,S359&gt;12,T359&gt;1,AB359&lt;0),"Review quantity / rate",IF(OR(N359&gt;Settings!$C$17,AK359&gt;Settings!$C$19),"Review benefit ceiling","OK"))))))</x:f>
      </x:c>
    </x:row>
    <x:row r="360" ht="23" customHeight="1">
      <x:c r="A360" s="8"/>
      <x:c r="B360" s="8"/>
      <x:c r="C360" s="8"/>
      <x:c r="D360" s="8"/>
      <x:c r="E360" s="8"/>
      <x:c r="F360" s="20"/>
      <x:c r="G360" s="12"/>
      <x:c r="H360" s="21"/>
      <x:c r="I360" s="20"/>
      <x:c r="J360" s="20"/>
      <x:c r="K360" s="20"/>
      <x:c r="L360" s="12"/>
      <x:c r="M360" s="8"/>
      <x:c r="N360" s="12"/>
      <x:c r="O360" s="8"/>
      <x:c r="P360" s="8"/>
      <x:c r="Q360" s="8"/>
      <x:c r="R360" s="8"/>
      <x:c r="S360" s="8"/>
      <x:c r="T360" s="8"/>
      <x:c r="U360" s="12"/>
      <x:c r="V360" s="8"/>
      <x:c r="W360" s="8"/>
      <x:c r="X360" s="12"/>
      <x:c r="Y360" s="21"/>
      <x:c r="Z360" s="24" t="str">
        <x:f>IF($A360="","",INDEX(Settings!$C$29:$C$33,MATCH(E360,Settings!$A$29:$A$33,0)))</x:f>
      </x:c>
      <x:c r="AA360" s="22" t="str">
        <x:f>IF($A360="","",G360/Z360)</x:f>
      </x:c>
      <x:c r="AB360" s="25" t="str">
        <x:f>IF($A360="","",IF(ISNUMBER(Y360),Y360,Settings!$B$10))</x:f>
      </x:c>
      <x:c r="AC360" s="23" t="str">
        <x:f>IF($A360="","",G360*(1+AB360))</x:f>
      </x:c>
      <x:c r="AD360" s="23" t="str">
        <x:f>IF($A360="","",G360*F360*12)</x:f>
      </x:c>
      <x:c r="AE360" s="23" t="str">
        <x:f>IF($A360="","",G360*F360*J360)</x:f>
      </x:c>
      <x:c r="AF360" s="24" t="str">
        <x:f>IF($A360="","",L360*F360*K360*Settings!$B$13)</x:f>
      </x:c>
      <x:c r="AG360" s="23" t="str">
        <x:f>IF($A360="","",AD360*H360*I360)</x:f>
      </x:c>
      <x:c r="AH360" s="24" t="str">
        <x:f>IF($A360="","",SUM(AD360:AE360,AG360)*SUM(Settings!$B$11:$B$12))</x:f>
      </x:c>
      <x:c r="AI360" s="24" t="str">
        <x:f>IF($A360="","",M360*Settings!$B$16)</x:f>
      </x:c>
      <x:c r="AJ360" s="24" t="str">
        <x:f>IF($A360="","",M360*Settings!$B$15)</x:f>
      </x:c>
      <x:c r="AK360" s="24" t="str">
        <x:f>IF($A360="","",O360*Settings!$B$18)</x:f>
      </x:c>
      <x:c r="AL360" s="24" t="str">
        <x:f>IF($A360="","",P360*Settings!$B$20+Q360*Settings!$B$21+R360*Settings!$B$22+S360*Settings!$B$23)</x:f>
      </x:c>
      <x:c r="AM360" s="24" t="str">
        <x:f>IF($A360="","",T360*Settings!$B$24)</x:f>
      </x:c>
      <x:c r="AN360" s="23" t="str">
        <x:f>IF($A360="","",SUM(AI360,N360,AK360:AM360,U360))</x:f>
      </x:c>
      <x:c r="AO360" s="23" t="str">
        <x:f>IF($A360="","",SUM(AD360:AI360,N360,AK360:AM360,U360))</x:f>
      </x:c>
      <x:c r="AP360" s="24" t="str">
        <x:f>IF($A360="","",G360*F360*AB360*((13-Settings!$B$9)*(1+H360*I360)+J360)*(1+SUM(Settings!$B$11:$B$12)))</x:f>
      </x:c>
      <x:c r="AQ360" s="23" t="str">
        <x:f>IF($A360="","",SUM(AO360:AP360))</x:f>
      </x:c>
      <x:c r="AR360" s="23" t="str">
        <x:f>IF($A360="","",AQ360-X360)</x:f>
      </x:c>
      <x:c r="AS360" s="22" t="str">
        <x:f>IF($A360="","",IF(W360=0,"n.a.",V360/W360))</x:f>
      </x:c>
      <x:c r="AT360" s="26" t="str">
        <x:f>IF($A360="",IF(COUNTA(B360:Y360)&gt;0,"Missing ID",""),IF(COUNTIFS($A$9:$A$508,A360)&gt;1,"Duplicate ID",IF(OR(B360="",C360="",D360="",E360="",COUNT(F360:X360)&lt;&gt;19),"Missing / text input",IF(OR(COUNTIFS(Settings!$A$59:$A$64,B360)&lt;&gt;1,COUNTIFS(Settings!$A$29:$A$33,E360)&lt;&gt;1),"Unknown department / grade",IF(OR(F360&lt;=0,F360&gt;1,G360&lt;=0,L360&lt;=0,H360&lt;0,I360&lt;0,J360&lt;0,K360&lt;0,K360&gt;1,MIN(M360:X360)&lt;0,W360=0,V360&gt;W360,M360&gt;W360-V360,P360&gt;8,Q360&gt;4,R360&gt;12,S360&gt;12,T360&gt;1,AB360&lt;0),"Review quantity / rate",IF(OR(N360&gt;Settings!$C$17,AK360&gt;Settings!$C$19),"Review benefit ceiling","OK"))))))</x:f>
      </x:c>
    </x:row>
    <x:row r="361" ht="23" customHeight="1">
      <x:c r="A361" s="8"/>
      <x:c r="B361" s="8"/>
      <x:c r="C361" s="8"/>
      <x:c r="D361" s="8"/>
      <x:c r="E361" s="8"/>
      <x:c r="F361" s="20"/>
      <x:c r="G361" s="12"/>
      <x:c r="H361" s="21"/>
      <x:c r="I361" s="20"/>
      <x:c r="J361" s="20"/>
      <x:c r="K361" s="20"/>
      <x:c r="L361" s="12"/>
      <x:c r="M361" s="8"/>
      <x:c r="N361" s="12"/>
      <x:c r="O361" s="8"/>
      <x:c r="P361" s="8"/>
      <x:c r="Q361" s="8"/>
      <x:c r="R361" s="8"/>
      <x:c r="S361" s="8"/>
      <x:c r="T361" s="8"/>
      <x:c r="U361" s="12"/>
      <x:c r="V361" s="8"/>
      <x:c r="W361" s="8"/>
      <x:c r="X361" s="12"/>
      <x:c r="Y361" s="21"/>
      <x:c r="Z361" s="24" t="str">
        <x:f>IF($A361="","",INDEX(Settings!$C$29:$C$33,MATCH(E361,Settings!$A$29:$A$33,0)))</x:f>
      </x:c>
      <x:c r="AA361" s="22" t="str">
        <x:f>IF($A361="","",G361/Z361)</x:f>
      </x:c>
      <x:c r="AB361" s="25" t="str">
        <x:f>IF($A361="","",IF(ISNUMBER(Y361),Y361,Settings!$B$10))</x:f>
      </x:c>
      <x:c r="AC361" s="23" t="str">
        <x:f>IF($A361="","",G361*(1+AB361))</x:f>
      </x:c>
      <x:c r="AD361" s="23" t="str">
        <x:f>IF($A361="","",G361*F361*12)</x:f>
      </x:c>
      <x:c r="AE361" s="23" t="str">
        <x:f>IF($A361="","",G361*F361*J361)</x:f>
      </x:c>
      <x:c r="AF361" s="24" t="str">
        <x:f>IF($A361="","",L361*F361*K361*Settings!$B$13)</x:f>
      </x:c>
      <x:c r="AG361" s="23" t="str">
        <x:f>IF($A361="","",AD361*H361*I361)</x:f>
      </x:c>
      <x:c r="AH361" s="24" t="str">
        <x:f>IF($A361="","",SUM(AD361:AE361,AG361)*SUM(Settings!$B$11:$B$12))</x:f>
      </x:c>
      <x:c r="AI361" s="24" t="str">
        <x:f>IF($A361="","",M361*Settings!$B$16)</x:f>
      </x:c>
      <x:c r="AJ361" s="24" t="str">
        <x:f>IF($A361="","",M361*Settings!$B$15)</x:f>
      </x:c>
      <x:c r="AK361" s="24" t="str">
        <x:f>IF($A361="","",O361*Settings!$B$18)</x:f>
      </x:c>
      <x:c r="AL361" s="24" t="str">
        <x:f>IF($A361="","",P361*Settings!$B$20+Q361*Settings!$B$21+R361*Settings!$B$22+S361*Settings!$B$23)</x:f>
      </x:c>
      <x:c r="AM361" s="24" t="str">
        <x:f>IF($A361="","",T361*Settings!$B$24)</x:f>
      </x:c>
      <x:c r="AN361" s="23" t="str">
        <x:f>IF($A361="","",SUM(AI361,N361,AK361:AM361,U361))</x:f>
      </x:c>
      <x:c r="AO361" s="23" t="str">
        <x:f>IF($A361="","",SUM(AD361:AI361,N361,AK361:AM361,U361))</x:f>
      </x:c>
      <x:c r="AP361" s="24" t="str">
        <x:f>IF($A361="","",G361*F361*AB361*((13-Settings!$B$9)*(1+H361*I361)+J361)*(1+SUM(Settings!$B$11:$B$12)))</x:f>
      </x:c>
      <x:c r="AQ361" s="23" t="str">
        <x:f>IF($A361="","",SUM(AO361:AP361))</x:f>
      </x:c>
      <x:c r="AR361" s="23" t="str">
        <x:f>IF($A361="","",AQ361-X361)</x:f>
      </x:c>
      <x:c r="AS361" s="22" t="str">
        <x:f>IF($A361="","",IF(W361=0,"n.a.",V361/W361))</x:f>
      </x:c>
      <x:c r="AT361" s="26" t="str">
        <x:f>IF($A361="",IF(COUNTA(B361:Y361)&gt;0,"Missing ID",""),IF(COUNTIFS($A$9:$A$508,A361)&gt;1,"Duplicate ID",IF(OR(B361="",C361="",D361="",E361="",COUNT(F361:X361)&lt;&gt;19),"Missing / text input",IF(OR(COUNTIFS(Settings!$A$59:$A$64,B361)&lt;&gt;1,COUNTIFS(Settings!$A$29:$A$33,E361)&lt;&gt;1),"Unknown department / grade",IF(OR(F361&lt;=0,F361&gt;1,G361&lt;=0,L361&lt;=0,H361&lt;0,I361&lt;0,J361&lt;0,K361&lt;0,K361&gt;1,MIN(M361:X361)&lt;0,W361=0,V361&gt;W361,M361&gt;W361-V361,P361&gt;8,Q361&gt;4,R361&gt;12,S361&gt;12,T361&gt;1,AB361&lt;0),"Review quantity / rate",IF(OR(N361&gt;Settings!$C$17,AK361&gt;Settings!$C$19),"Review benefit ceiling","OK"))))))</x:f>
      </x:c>
    </x:row>
    <x:row r="362" ht="23" customHeight="1">
      <x:c r="A362" s="8"/>
      <x:c r="B362" s="8"/>
      <x:c r="C362" s="8"/>
      <x:c r="D362" s="8"/>
      <x:c r="E362" s="8"/>
      <x:c r="F362" s="20"/>
      <x:c r="G362" s="12"/>
      <x:c r="H362" s="21"/>
      <x:c r="I362" s="20"/>
      <x:c r="J362" s="20"/>
      <x:c r="K362" s="20"/>
      <x:c r="L362" s="12"/>
      <x:c r="M362" s="8"/>
      <x:c r="N362" s="12"/>
      <x:c r="O362" s="8"/>
      <x:c r="P362" s="8"/>
      <x:c r="Q362" s="8"/>
      <x:c r="R362" s="8"/>
      <x:c r="S362" s="8"/>
      <x:c r="T362" s="8"/>
      <x:c r="U362" s="12"/>
      <x:c r="V362" s="8"/>
      <x:c r="W362" s="8"/>
      <x:c r="X362" s="12"/>
      <x:c r="Y362" s="21"/>
      <x:c r="Z362" s="24" t="str">
        <x:f>IF($A362="","",INDEX(Settings!$C$29:$C$33,MATCH(E362,Settings!$A$29:$A$33,0)))</x:f>
      </x:c>
      <x:c r="AA362" s="22" t="str">
        <x:f>IF($A362="","",G362/Z362)</x:f>
      </x:c>
      <x:c r="AB362" s="25" t="str">
        <x:f>IF($A362="","",IF(ISNUMBER(Y362),Y362,Settings!$B$10))</x:f>
      </x:c>
      <x:c r="AC362" s="23" t="str">
        <x:f>IF($A362="","",G362*(1+AB362))</x:f>
      </x:c>
      <x:c r="AD362" s="23" t="str">
        <x:f>IF($A362="","",G362*F362*12)</x:f>
      </x:c>
      <x:c r="AE362" s="23" t="str">
        <x:f>IF($A362="","",G362*F362*J362)</x:f>
      </x:c>
      <x:c r="AF362" s="24" t="str">
        <x:f>IF($A362="","",L362*F362*K362*Settings!$B$13)</x:f>
      </x:c>
      <x:c r="AG362" s="23" t="str">
        <x:f>IF($A362="","",AD362*H362*I362)</x:f>
      </x:c>
      <x:c r="AH362" s="24" t="str">
        <x:f>IF($A362="","",SUM(AD362:AE362,AG362)*SUM(Settings!$B$11:$B$12))</x:f>
      </x:c>
      <x:c r="AI362" s="24" t="str">
        <x:f>IF($A362="","",M362*Settings!$B$16)</x:f>
      </x:c>
      <x:c r="AJ362" s="24" t="str">
        <x:f>IF($A362="","",M362*Settings!$B$15)</x:f>
      </x:c>
      <x:c r="AK362" s="24" t="str">
        <x:f>IF($A362="","",O362*Settings!$B$18)</x:f>
      </x:c>
      <x:c r="AL362" s="24" t="str">
        <x:f>IF($A362="","",P362*Settings!$B$20+Q362*Settings!$B$21+R362*Settings!$B$22+S362*Settings!$B$23)</x:f>
      </x:c>
      <x:c r="AM362" s="24" t="str">
        <x:f>IF($A362="","",T362*Settings!$B$24)</x:f>
      </x:c>
      <x:c r="AN362" s="23" t="str">
        <x:f>IF($A362="","",SUM(AI362,N362,AK362:AM362,U362))</x:f>
      </x:c>
      <x:c r="AO362" s="23" t="str">
        <x:f>IF($A362="","",SUM(AD362:AI362,N362,AK362:AM362,U362))</x:f>
      </x:c>
      <x:c r="AP362" s="24" t="str">
        <x:f>IF($A362="","",G362*F362*AB362*((13-Settings!$B$9)*(1+H362*I362)+J362)*(1+SUM(Settings!$B$11:$B$12)))</x:f>
      </x:c>
      <x:c r="AQ362" s="23" t="str">
        <x:f>IF($A362="","",SUM(AO362:AP362))</x:f>
      </x:c>
      <x:c r="AR362" s="23" t="str">
        <x:f>IF($A362="","",AQ362-X362)</x:f>
      </x:c>
      <x:c r="AS362" s="22" t="str">
        <x:f>IF($A362="","",IF(W362=0,"n.a.",V362/W362))</x:f>
      </x:c>
      <x:c r="AT362" s="26" t="str">
        <x:f>IF($A362="",IF(COUNTA(B362:Y362)&gt;0,"Missing ID",""),IF(COUNTIFS($A$9:$A$508,A362)&gt;1,"Duplicate ID",IF(OR(B362="",C362="",D362="",E362="",COUNT(F362:X362)&lt;&gt;19),"Missing / text input",IF(OR(COUNTIFS(Settings!$A$59:$A$64,B362)&lt;&gt;1,COUNTIFS(Settings!$A$29:$A$33,E362)&lt;&gt;1),"Unknown department / grade",IF(OR(F362&lt;=0,F362&gt;1,G362&lt;=0,L362&lt;=0,H362&lt;0,I362&lt;0,J362&lt;0,K362&lt;0,K362&gt;1,MIN(M362:X362)&lt;0,W362=0,V362&gt;W362,M362&gt;W362-V362,P362&gt;8,Q362&gt;4,R362&gt;12,S362&gt;12,T362&gt;1,AB362&lt;0),"Review quantity / rate",IF(OR(N362&gt;Settings!$C$17,AK362&gt;Settings!$C$19),"Review benefit ceiling","OK"))))))</x:f>
      </x:c>
    </x:row>
    <x:row r="363" ht="23" customHeight="1">
      <x:c r="A363" s="8"/>
      <x:c r="B363" s="8"/>
      <x:c r="C363" s="8"/>
      <x:c r="D363" s="8"/>
      <x:c r="E363" s="8"/>
      <x:c r="F363" s="20"/>
      <x:c r="G363" s="12"/>
      <x:c r="H363" s="21"/>
      <x:c r="I363" s="20"/>
      <x:c r="J363" s="20"/>
      <x:c r="K363" s="20"/>
      <x:c r="L363" s="12"/>
      <x:c r="M363" s="8"/>
      <x:c r="N363" s="12"/>
      <x:c r="O363" s="8"/>
      <x:c r="P363" s="8"/>
      <x:c r="Q363" s="8"/>
      <x:c r="R363" s="8"/>
      <x:c r="S363" s="8"/>
      <x:c r="T363" s="8"/>
      <x:c r="U363" s="12"/>
      <x:c r="V363" s="8"/>
      <x:c r="W363" s="8"/>
      <x:c r="X363" s="12"/>
      <x:c r="Y363" s="21"/>
      <x:c r="Z363" s="24" t="str">
        <x:f>IF($A363="","",INDEX(Settings!$C$29:$C$33,MATCH(E363,Settings!$A$29:$A$33,0)))</x:f>
      </x:c>
      <x:c r="AA363" s="22" t="str">
        <x:f>IF($A363="","",G363/Z363)</x:f>
      </x:c>
      <x:c r="AB363" s="25" t="str">
        <x:f>IF($A363="","",IF(ISNUMBER(Y363),Y363,Settings!$B$10))</x:f>
      </x:c>
      <x:c r="AC363" s="23" t="str">
        <x:f>IF($A363="","",G363*(1+AB363))</x:f>
      </x:c>
      <x:c r="AD363" s="23" t="str">
        <x:f>IF($A363="","",G363*F363*12)</x:f>
      </x:c>
      <x:c r="AE363" s="23" t="str">
        <x:f>IF($A363="","",G363*F363*J363)</x:f>
      </x:c>
      <x:c r="AF363" s="24" t="str">
        <x:f>IF($A363="","",L363*F363*K363*Settings!$B$13)</x:f>
      </x:c>
      <x:c r="AG363" s="23" t="str">
        <x:f>IF($A363="","",AD363*H363*I363)</x:f>
      </x:c>
      <x:c r="AH363" s="24" t="str">
        <x:f>IF($A363="","",SUM(AD363:AE363,AG363)*SUM(Settings!$B$11:$B$12))</x:f>
      </x:c>
      <x:c r="AI363" s="24" t="str">
        <x:f>IF($A363="","",M363*Settings!$B$16)</x:f>
      </x:c>
      <x:c r="AJ363" s="24" t="str">
        <x:f>IF($A363="","",M363*Settings!$B$15)</x:f>
      </x:c>
      <x:c r="AK363" s="24" t="str">
        <x:f>IF($A363="","",O363*Settings!$B$18)</x:f>
      </x:c>
      <x:c r="AL363" s="24" t="str">
        <x:f>IF($A363="","",P363*Settings!$B$20+Q363*Settings!$B$21+R363*Settings!$B$22+S363*Settings!$B$23)</x:f>
      </x:c>
      <x:c r="AM363" s="24" t="str">
        <x:f>IF($A363="","",T363*Settings!$B$24)</x:f>
      </x:c>
      <x:c r="AN363" s="23" t="str">
        <x:f>IF($A363="","",SUM(AI363,N363,AK363:AM363,U363))</x:f>
      </x:c>
      <x:c r="AO363" s="23" t="str">
        <x:f>IF($A363="","",SUM(AD363:AI363,N363,AK363:AM363,U363))</x:f>
      </x:c>
      <x:c r="AP363" s="24" t="str">
        <x:f>IF($A363="","",G363*F363*AB363*((13-Settings!$B$9)*(1+H363*I363)+J363)*(1+SUM(Settings!$B$11:$B$12)))</x:f>
      </x:c>
      <x:c r="AQ363" s="23" t="str">
        <x:f>IF($A363="","",SUM(AO363:AP363))</x:f>
      </x:c>
      <x:c r="AR363" s="23" t="str">
        <x:f>IF($A363="","",AQ363-X363)</x:f>
      </x:c>
      <x:c r="AS363" s="22" t="str">
        <x:f>IF($A363="","",IF(W363=0,"n.a.",V363/W363))</x:f>
      </x:c>
      <x:c r="AT363" s="26" t="str">
        <x:f>IF($A363="",IF(COUNTA(B363:Y363)&gt;0,"Missing ID",""),IF(COUNTIFS($A$9:$A$508,A363)&gt;1,"Duplicate ID",IF(OR(B363="",C363="",D363="",E363="",COUNT(F363:X363)&lt;&gt;19),"Missing / text input",IF(OR(COUNTIFS(Settings!$A$59:$A$64,B363)&lt;&gt;1,COUNTIFS(Settings!$A$29:$A$33,E363)&lt;&gt;1),"Unknown department / grade",IF(OR(F363&lt;=0,F363&gt;1,G363&lt;=0,L363&lt;=0,H363&lt;0,I363&lt;0,J363&lt;0,K363&lt;0,K363&gt;1,MIN(M363:X363)&lt;0,W363=0,V363&gt;W363,M363&gt;W363-V363,P363&gt;8,Q363&gt;4,R363&gt;12,S363&gt;12,T363&gt;1,AB363&lt;0),"Review quantity / rate",IF(OR(N363&gt;Settings!$C$17,AK363&gt;Settings!$C$19),"Review benefit ceiling","OK"))))))</x:f>
      </x:c>
    </x:row>
    <x:row r="364" ht="23" customHeight="1">
      <x:c r="A364" s="8"/>
      <x:c r="B364" s="8"/>
      <x:c r="C364" s="8"/>
      <x:c r="D364" s="8"/>
      <x:c r="E364" s="8"/>
      <x:c r="F364" s="20"/>
      <x:c r="G364" s="12"/>
      <x:c r="H364" s="21"/>
      <x:c r="I364" s="20"/>
      <x:c r="J364" s="20"/>
      <x:c r="K364" s="20"/>
      <x:c r="L364" s="12"/>
      <x:c r="M364" s="8"/>
      <x:c r="N364" s="12"/>
      <x:c r="O364" s="8"/>
      <x:c r="P364" s="8"/>
      <x:c r="Q364" s="8"/>
      <x:c r="R364" s="8"/>
      <x:c r="S364" s="8"/>
      <x:c r="T364" s="8"/>
      <x:c r="U364" s="12"/>
      <x:c r="V364" s="8"/>
      <x:c r="W364" s="8"/>
      <x:c r="X364" s="12"/>
      <x:c r="Y364" s="21"/>
      <x:c r="Z364" s="24" t="str">
        <x:f>IF($A364="","",INDEX(Settings!$C$29:$C$33,MATCH(E364,Settings!$A$29:$A$33,0)))</x:f>
      </x:c>
      <x:c r="AA364" s="22" t="str">
        <x:f>IF($A364="","",G364/Z364)</x:f>
      </x:c>
      <x:c r="AB364" s="25" t="str">
        <x:f>IF($A364="","",IF(ISNUMBER(Y364),Y364,Settings!$B$10))</x:f>
      </x:c>
      <x:c r="AC364" s="23" t="str">
        <x:f>IF($A364="","",G364*(1+AB364))</x:f>
      </x:c>
      <x:c r="AD364" s="23" t="str">
        <x:f>IF($A364="","",G364*F364*12)</x:f>
      </x:c>
      <x:c r="AE364" s="23" t="str">
        <x:f>IF($A364="","",G364*F364*J364)</x:f>
      </x:c>
      <x:c r="AF364" s="24" t="str">
        <x:f>IF($A364="","",L364*F364*K364*Settings!$B$13)</x:f>
      </x:c>
      <x:c r="AG364" s="23" t="str">
        <x:f>IF($A364="","",AD364*H364*I364)</x:f>
      </x:c>
      <x:c r="AH364" s="24" t="str">
        <x:f>IF($A364="","",SUM(AD364:AE364,AG364)*SUM(Settings!$B$11:$B$12))</x:f>
      </x:c>
      <x:c r="AI364" s="24" t="str">
        <x:f>IF($A364="","",M364*Settings!$B$16)</x:f>
      </x:c>
      <x:c r="AJ364" s="24" t="str">
        <x:f>IF($A364="","",M364*Settings!$B$15)</x:f>
      </x:c>
      <x:c r="AK364" s="24" t="str">
        <x:f>IF($A364="","",O364*Settings!$B$18)</x:f>
      </x:c>
      <x:c r="AL364" s="24" t="str">
        <x:f>IF($A364="","",P364*Settings!$B$20+Q364*Settings!$B$21+R364*Settings!$B$22+S364*Settings!$B$23)</x:f>
      </x:c>
      <x:c r="AM364" s="24" t="str">
        <x:f>IF($A364="","",T364*Settings!$B$24)</x:f>
      </x:c>
      <x:c r="AN364" s="23" t="str">
        <x:f>IF($A364="","",SUM(AI364,N364,AK364:AM364,U364))</x:f>
      </x:c>
      <x:c r="AO364" s="23" t="str">
        <x:f>IF($A364="","",SUM(AD364:AI364,N364,AK364:AM364,U364))</x:f>
      </x:c>
      <x:c r="AP364" s="24" t="str">
        <x:f>IF($A364="","",G364*F364*AB364*((13-Settings!$B$9)*(1+H364*I364)+J364)*(1+SUM(Settings!$B$11:$B$12)))</x:f>
      </x:c>
      <x:c r="AQ364" s="23" t="str">
        <x:f>IF($A364="","",SUM(AO364:AP364))</x:f>
      </x:c>
      <x:c r="AR364" s="23" t="str">
        <x:f>IF($A364="","",AQ364-X364)</x:f>
      </x:c>
      <x:c r="AS364" s="22" t="str">
        <x:f>IF($A364="","",IF(W364=0,"n.a.",V364/W364))</x:f>
      </x:c>
      <x:c r="AT364" s="26" t="str">
        <x:f>IF($A364="",IF(COUNTA(B364:Y364)&gt;0,"Missing ID",""),IF(COUNTIFS($A$9:$A$508,A364)&gt;1,"Duplicate ID",IF(OR(B364="",C364="",D364="",E364="",COUNT(F364:X364)&lt;&gt;19),"Missing / text input",IF(OR(COUNTIFS(Settings!$A$59:$A$64,B364)&lt;&gt;1,COUNTIFS(Settings!$A$29:$A$33,E364)&lt;&gt;1),"Unknown department / grade",IF(OR(F364&lt;=0,F364&gt;1,G364&lt;=0,L364&lt;=0,H364&lt;0,I364&lt;0,J364&lt;0,K364&lt;0,K364&gt;1,MIN(M364:X364)&lt;0,W364=0,V364&gt;W364,M364&gt;W364-V364,P364&gt;8,Q364&gt;4,R364&gt;12,S364&gt;12,T364&gt;1,AB364&lt;0),"Review quantity / rate",IF(OR(N364&gt;Settings!$C$17,AK364&gt;Settings!$C$19),"Review benefit ceiling","OK"))))))</x:f>
      </x:c>
    </x:row>
    <x:row r="365" ht="23" customHeight="1">
      <x:c r="A365" s="8"/>
      <x:c r="B365" s="8"/>
      <x:c r="C365" s="8"/>
      <x:c r="D365" s="8"/>
      <x:c r="E365" s="8"/>
      <x:c r="F365" s="20"/>
      <x:c r="G365" s="12"/>
      <x:c r="H365" s="21"/>
      <x:c r="I365" s="20"/>
      <x:c r="J365" s="20"/>
      <x:c r="K365" s="20"/>
      <x:c r="L365" s="12"/>
      <x:c r="M365" s="8"/>
      <x:c r="N365" s="12"/>
      <x:c r="O365" s="8"/>
      <x:c r="P365" s="8"/>
      <x:c r="Q365" s="8"/>
      <x:c r="R365" s="8"/>
      <x:c r="S365" s="8"/>
      <x:c r="T365" s="8"/>
      <x:c r="U365" s="12"/>
      <x:c r="V365" s="8"/>
      <x:c r="W365" s="8"/>
      <x:c r="X365" s="12"/>
      <x:c r="Y365" s="21"/>
      <x:c r="Z365" s="24" t="str">
        <x:f>IF($A365="","",INDEX(Settings!$C$29:$C$33,MATCH(E365,Settings!$A$29:$A$33,0)))</x:f>
      </x:c>
      <x:c r="AA365" s="22" t="str">
        <x:f>IF($A365="","",G365/Z365)</x:f>
      </x:c>
      <x:c r="AB365" s="25" t="str">
        <x:f>IF($A365="","",IF(ISNUMBER(Y365),Y365,Settings!$B$10))</x:f>
      </x:c>
      <x:c r="AC365" s="23" t="str">
        <x:f>IF($A365="","",G365*(1+AB365))</x:f>
      </x:c>
      <x:c r="AD365" s="23" t="str">
        <x:f>IF($A365="","",G365*F365*12)</x:f>
      </x:c>
      <x:c r="AE365" s="23" t="str">
        <x:f>IF($A365="","",G365*F365*J365)</x:f>
      </x:c>
      <x:c r="AF365" s="24" t="str">
        <x:f>IF($A365="","",L365*F365*K365*Settings!$B$13)</x:f>
      </x:c>
      <x:c r="AG365" s="23" t="str">
        <x:f>IF($A365="","",AD365*H365*I365)</x:f>
      </x:c>
      <x:c r="AH365" s="24" t="str">
        <x:f>IF($A365="","",SUM(AD365:AE365,AG365)*SUM(Settings!$B$11:$B$12))</x:f>
      </x:c>
      <x:c r="AI365" s="24" t="str">
        <x:f>IF($A365="","",M365*Settings!$B$16)</x:f>
      </x:c>
      <x:c r="AJ365" s="24" t="str">
        <x:f>IF($A365="","",M365*Settings!$B$15)</x:f>
      </x:c>
      <x:c r="AK365" s="24" t="str">
        <x:f>IF($A365="","",O365*Settings!$B$18)</x:f>
      </x:c>
      <x:c r="AL365" s="24" t="str">
        <x:f>IF($A365="","",P365*Settings!$B$20+Q365*Settings!$B$21+R365*Settings!$B$22+S365*Settings!$B$23)</x:f>
      </x:c>
      <x:c r="AM365" s="24" t="str">
        <x:f>IF($A365="","",T365*Settings!$B$24)</x:f>
      </x:c>
      <x:c r="AN365" s="23" t="str">
        <x:f>IF($A365="","",SUM(AI365,N365,AK365:AM365,U365))</x:f>
      </x:c>
      <x:c r="AO365" s="23" t="str">
        <x:f>IF($A365="","",SUM(AD365:AI365,N365,AK365:AM365,U365))</x:f>
      </x:c>
      <x:c r="AP365" s="24" t="str">
        <x:f>IF($A365="","",G365*F365*AB365*((13-Settings!$B$9)*(1+H365*I365)+J365)*(1+SUM(Settings!$B$11:$B$12)))</x:f>
      </x:c>
      <x:c r="AQ365" s="23" t="str">
        <x:f>IF($A365="","",SUM(AO365:AP365))</x:f>
      </x:c>
      <x:c r="AR365" s="23" t="str">
        <x:f>IF($A365="","",AQ365-X365)</x:f>
      </x:c>
      <x:c r="AS365" s="22" t="str">
        <x:f>IF($A365="","",IF(W365=0,"n.a.",V365/W365))</x:f>
      </x:c>
      <x:c r="AT365" s="26" t="str">
        <x:f>IF($A365="",IF(COUNTA(B365:Y365)&gt;0,"Missing ID",""),IF(COUNTIFS($A$9:$A$508,A365)&gt;1,"Duplicate ID",IF(OR(B365="",C365="",D365="",E365="",COUNT(F365:X365)&lt;&gt;19),"Missing / text input",IF(OR(COUNTIFS(Settings!$A$59:$A$64,B365)&lt;&gt;1,COUNTIFS(Settings!$A$29:$A$33,E365)&lt;&gt;1),"Unknown department / grade",IF(OR(F365&lt;=0,F365&gt;1,G365&lt;=0,L365&lt;=0,H365&lt;0,I365&lt;0,J365&lt;0,K365&lt;0,K365&gt;1,MIN(M365:X365)&lt;0,W365=0,V365&gt;W365,M365&gt;W365-V365,P365&gt;8,Q365&gt;4,R365&gt;12,S365&gt;12,T365&gt;1,AB365&lt;0),"Review quantity / rate",IF(OR(N365&gt;Settings!$C$17,AK365&gt;Settings!$C$19),"Review benefit ceiling","OK"))))))</x:f>
      </x:c>
    </x:row>
    <x:row r="366" ht="23" customHeight="1">
      <x:c r="A366" s="8"/>
      <x:c r="B366" s="8"/>
      <x:c r="C366" s="8"/>
      <x:c r="D366" s="8"/>
      <x:c r="E366" s="8"/>
      <x:c r="F366" s="20"/>
      <x:c r="G366" s="12"/>
      <x:c r="H366" s="21"/>
      <x:c r="I366" s="20"/>
      <x:c r="J366" s="20"/>
      <x:c r="K366" s="20"/>
      <x:c r="L366" s="12"/>
      <x:c r="M366" s="8"/>
      <x:c r="N366" s="12"/>
      <x:c r="O366" s="8"/>
      <x:c r="P366" s="8"/>
      <x:c r="Q366" s="8"/>
      <x:c r="R366" s="8"/>
      <x:c r="S366" s="8"/>
      <x:c r="T366" s="8"/>
      <x:c r="U366" s="12"/>
      <x:c r="V366" s="8"/>
      <x:c r="W366" s="8"/>
      <x:c r="X366" s="12"/>
      <x:c r="Y366" s="21"/>
      <x:c r="Z366" s="24" t="str">
        <x:f>IF($A366="","",INDEX(Settings!$C$29:$C$33,MATCH(E366,Settings!$A$29:$A$33,0)))</x:f>
      </x:c>
      <x:c r="AA366" s="22" t="str">
        <x:f>IF($A366="","",G366/Z366)</x:f>
      </x:c>
      <x:c r="AB366" s="25" t="str">
        <x:f>IF($A366="","",IF(ISNUMBER(Y366),Y366,Settings!$B$10))</x:f>
      </x:c>
      <x:c r="AC366" s="23" t="str">
        <x:f>IF($A366="","",G366*(1+AB366))</x:f>
      </x:c>
      <x:c r="AD366" s="23" t="str">
        <x:f>IF($A366="","",G366*F366*12)</x:f>
      </x:c>
      <x:c r="AE366" s="23" t="str">
        <x:f>IF($A366="","",G366*F366*J366)</x:f>
      </x:c>
      <x:c r="AF366" s="24" t="str">
        <x:f>IF($A366="","",L366*F366*K366*Settings!$B$13)</x:f>
      </x:c>
      <x:c r="AG366" s="23" t="str">
        <x:f>IF($A366="","",AD366*H366*I366)</x:f>
      </x:c>
      <x:c r="AH366" s="24" t="str">
        <x:f>IF($A366="","",SUM(AD366:AE366,AG366)*SUM(Settings!$B$11:$B$12))</x:f>
      </x:c>
      <x:c r="AI366" s="24" t="str">
        <x:f>IF($A366="","",M366*Settings!$B$16)</x:f>
      </x:c>
      <x:c r="AJ366" s="24" t="str">
        <x:f>IF($A366="","",M366*Settings!$B$15)</x:f>
      </x:c>
      <x:c r="AK366" s="24" t="str">
        <x:f>IF($A366="","",O366*Settings!$B$18)</x:f>
      </x:c>
      <x:c r="AL366" s="24" t="str">
        <x:f>IF($A366="","",P366*Settings!$B$20+Q366*Settings!$B$21+R366*Settings!$B$22+S366*Settings!$B$23)</x:f>
      </x:c>
      <x:c r="AM366" s="24" t="str">
        <x:f>IF($A366="","",T366*Settings!$B$24)</x:f>
      </x:c>
      <x:c r="AN366" s="23" t="str">
        <x:f>IF($A366="","",SUM(AI366,N366,AK366:AM366,U366))</x:f>
      </x:c>
      <x:c r="AO366" s="23" t="str">
        <x:f>IF($A366="","",SUM(AD366:AI366,N366,AK366:AM366,U366))</x:f>
      </x:c>
      <x:c r="AP366" s="24" t="str">
        <x:f>IF($A366="","",G366*F366*AB366*((13-Settings!$B$9)*(1+H366*I366)+J366)*(1+SUM(Settings!$B$11:$B$12)))</x:f>
      </x:c>
      <x:c r="AQ366" s="23" t="str">
        <x:f>IF($A366="","",SUM(AO366:AP366))</x:f>
      </x:c>
      <x:c r="AR366" s="23" t="str">
        <x:f>IF($A366="","",AQ366-X366)</x:f>
      </x:c>
      <x:c r="AS366" s="22" t="str">
        <x:f>IF($A366="","",IF(W366=0,"n.a.",V366/W366))</x:f>
      </x:c>
      <x:c r="AT366" s="26" t="str">
        <x:f>IF($A366="",IF(COUNTA(B366:Y366)&gt;0,"Missing ID",""),IF(COUNTIFS($A$9:$A$508,A366)&gt;1,"Duplicate ID",IF(OR(B366="",C366="",D366="",E366="",COUNT(F366:X366)&lt;&gt;19),"Missing / text input",IF(OR(COUNTIFS(Settings!$A$59:$A$64,B366)&lt;&gt;1,COUNTIFS(Settings!$A$29:$A$33,E366)&lt;&gt;1),"Unknown department / grade",IF(OR(F366&lt;=0,F366&gt;1,G366&lt;=0,L366&lt;=0,H366&lt;0,I366&lt;0,J366&lt;0,K366&lt;0,K366&gt;1,MIN(M366:X366)&lt;0,W366=0,V366&gt;W366,M366&gt;W366-V366,P366&gt;8,Q366&gt;4,R366&gt;12,S366&gt;12,T366&gt;1,AB366&lt;0),"Review quantity / rate",IF(OR(N366&gt;Settings!$C$17,AK366&gt;Settings!$C$19),"Review benefit ceiling","OK"))))))</x:f>
      </x:c>
    </x:row>
    <x:row r="367" ht="23" customHeight="1">
      <x:c r="A367" s="8"/>
      <x:c r="B367" s="8"/>
      <x:c r="C367" s="8"/>
      <x:c r="D367" s="8"/>
      <x:c r="E367" s="8"/>
      <x:c r="F367" s="20"/>
      <x:c r="G367" s="12"/>
      <x:c r="H367" s="21"/>
      <x:c r="I367" s="20"/>
      <x:c r="J367" s="20"/>
      <x:c r="K367" s="20"/>
      <x:c r="L367" s="12"/>
      <x:c r="M367" s="8"/>
      <x:c r="N367" s="12"/>
      <x:c r="O367" s="8"/>
      <x:c r="P367" s="8"/>
      <x:c r="Q367" s="8"/>
      <x:c r="R367" s="8"/>
      <x:c r="S367" s="8"/>
      <x:c r="T367" s="8"/>
      <x:c r="U367" s="12"/>
      <x:c r="V367" s="8"/>
      <x:c r="W367" s="8"/>
      <x:c r="X367" s="12"/>
      <x:c r="Y367" s="21"/>
      <x:c r="Z367" s="24" t="str">
        <x:f>IF($A367="","",INDEX(Settings!$C$29:$C$33,MATCH(E367,Settings!$A$29:$A$33,0)))</x:f>
      </x:c>
      <x:c r="AA367" s="22" t="str">
        <x:f>IF($A367="","",G367/Z367)</x:f>
      </x:c>
      <x:c r="AB367" s="25" t="str">
        <x:f>IF($A367="","",IF(ISNUMBER(Y367),Y367,Settings!$B$10))</x:f>
      </x:c>
      <x:c r="AC367" s="23" t="str">
        <x:f>IF($A367="","",G367*(1+AB367))</x:f>
      </x:c>
      <x:c r="AD367" s="23" t="str">
        <x:f>IF($A367="","",G367*F367*12)</x:f>
      </x:c>
      <x:c r="AE367" s="23" t="str">
        <x:f>IF($A367="","",G367*F367*J367)</x:f>
      </x:c>
      <x:c r="AF367" s="24" t="str">
        <x:f>IF($A367="","",L367*F367*K367*Settings!$B$13)</x:f>
      </x:c>
      <x:c r="AG367" s="23" t="str">
        <x:f>IF($A367="","",AD367*H367*I367)</x:f>
      </x:c>
      <x:c r="AH367" s="24" t="str">
        <x:f>IF($A367="","",SUM(AD367:AE367,AG367)*SUM(Settings!$B$11:$B$12))</x:f>
      </x:c>
      <x:c r="AI367" s="24" t="str">
        <x:f>IF($A367="","",M367*Settings!$B$16)</x:f>
      </x:c>
      <x:c r="AJ367" s="24" t="str">
        <x:f>IF($A367="","",M367*Settings!$B$15)</x:f>
      </x:c>
      <x:c r="AK367" s="24" t="str">
        <x:f>IF($A367="","",O367*Settings!$B$18)</x:f>
      </x:c>
      <x:c r="AL367" s="24" t="str">
        <x:f>IF($A367="","",P367*Settings!$B$20+Q367*Settings!$B$21+R367*Settings!$B$22+S367*Settings!$B$23)</x:f>
      </x:c>
      <x:c r="AM367" s="24" t="str">
        <x:f>IF($A367="","",T367*Settings!$B$24)</x:f>
      </x:c>
      <x:c r="AN367" s="23" t="str">
        <x:f>IF($A367="","",SUM(AI367,N367,AK367:AM367,U367))</x:f>
      </x:c>
      <x:c r="AO367" s="23" t="str">
        <x:f>IF($A367="","",SUM(AD367:AI367,N367,AK367:AM367,U367))</x:f>
      </x:c>
      <x:c r="AP367" s="24" t="str">
        <x:f>IF($A367="","",G367*F367*AB367*((13-Settings!$B$9)*(1+H367*I367)+J367)*(1+SUM(Settings!$B$11:$B$12)))</x:f>
      </x:c>
      <x:c r="AQ367" s="23" t="str">
        <x:f>IF($A367="","",SUM(AO367:AP367))</x:f>
      </x:c>
      <x:c r="AR367" s="23" t="str">
        <x:f>IF($A367="","",AQ367-X367)</x:f>
      </x:c>
      <x:c r="AS367" s="22" t="str">
        <x:f>IF($A367="","",IF(W367=0,"n.a.",V367/W367))</x:f>
      </x:c>
      <x:c r="AT367" s="26" t="str">
        <x:f>IF($A367="",IF(COUNTA(B367:Y367)&gt;0,"Missing ID",""),IF(COUNTIFS($A$9:$A$508,A367)&gt;1,"Duplicate ID",IF(OR(B367="",C367="",D367="",E367="",COUNT(F367:X367)&lt;&gt;19),"Missing / text input",IF(OR(COUNTIFS(Settings!$A$59:$A$64,B367)&lt;&gt;1,COUNTIFS(Settings!$A$29:$A$33,E367)&lt;&gt;1),"Unknown department / grade",IF(OR(F367&lt;=0,F367&gt;1,G367&lt;=0,L367&lt;=0,H367&lt;0,I367&lt;0,J367&lt;0,K367&lt;0,K367&gt;1,MIN(M367:X367)&lt;0,W367=0,V367&gt;W367,M367&gt;W367-V367,P367&gt;8,Q367&gt;4,R367&gt;12,S367&gt;12,T367&gt;1,AB367&lt;0),"Review quantity / rate",IF(OR(N367&gt;Settings!$C$17,AK367&gt;Settings!$C$19),"Review benefit ceiling","OK"))))))</x:f>
      </x:c>
    </x:row>
    <x:row r="368" ht="23" customHeight="1">
      <x:c r="A368" s="8"/>
      <x:c r="B368" s="8"/>
      <x:c r="C368" s="8"/>
      <x:c r="D368" s="8"/>
      <x:c r="E368" s="8"/>
      <x:c r="F368" s="20"/>
      <x:c r="G368" s="12"/>
      <x:c r="H368" s="21"/>
      <x:c r="I368" s="20"/>
      <x:c r="J368" s="20"/>
      <x:c r="K368" s="20"/>
      <x:c r="L368" s="12"/>
      <x:c r="M368" s="8"/>
      <x:c r="N368" s="12"/>
      <x:c r="O368" s="8"/>
      <x:c r="P368" s="8"/>
      <x:c r="Q368" s="8"/>
      <x:c r="R368" s="8"/>
      <x:c r="S368" s="8"/>
      <x:c r="T368" s="8"/>
      <x:c r="U368" s="12"/>
      <x:c r="V368" s="8"/>
      <x:c r="W368" s="8"/>
      <x:c r="X368" s="12"/>
      <x:c r="Y368" s="21"/>
      <x:c r="Z368" s="24" t="str">
        <x:f>IF($A368="","",INDEX(Settings!$C$29:$C$33,MATCH(E368,Settings!$A$29:$A$33,0)))</x:f>
      </x:c>
      <x:c r="AA368" s="22" t="str">
        <x:f>IF($A368="","",G368/Z368)</x:f>
      </x:c>
      <x:c r="AB368" s="25" t="str">
        <x:f>IF($A368="","",IF(ISNUMBER(Y368),Y368,Settings!$B$10))</x:f>
      </x:c>
      <x:c r="AC368" s="23" t="str">
        <x:f>IF($A368="","",G368*(1+AB368))</x:f>
      </x:c>
      <x:c r="AD368" s="23" t="str">
        <x:f>IF($A368="","",G368*F368*12)</x:f>
      </x:c>
      <x:c r="AE368" s="23" t="str">
        <x:f>IF($A368="","",G368*F368*J368)</x:f>
      </x:c>
      <x:c r="AF368" s="24" t="str">
        <x:f>IF($A368="","",L368*F368*K368*Settings!$B$13)</x:f>
      </x:c>
      <x:c r="AG368" s="23" t="str">
        <x:f>IF($A368="","",AD368*H368*I368)</x:f>
      </x:c>
      <x:c r="AH368" s="24" t="str">
        <x:f>IF($A368="","",SUM(AD368:AE368,AG368)*SUM(Settings!$B$11:$B$12))</x:f>
      </x:c>
      <x:c r="AI368" s="24" t="str">
        <x:f>IF($A368="","",M368*Settings!$B$16)</x:f>
      </x:c>
      <x:c r="AJ368" s="24" t="str">
        <x:f>IF($A368="","",M368*Settings!$B$15)</x:f>
      </x:c>
      <x:c r="AK368" s="24" t="str">
        <x:f>IF($A368="","",O368*Settings!$B$18)</x:f>
      </x:c>
      <x:c r="AL368" s="24" t="str">
        <x:f>IF($A368="","",P368*Settings!$B$20+Q368*Settings!$B$21+R368*Settings!$B$22+S368*Settings!$B$23)</x:f>
      </x:c>
      <x:c r="AM368" s="24" t="str">
        <x:f>IF($A368="","",T368*Settings!$B$24)</x:f>
      </x:c>
      <x:c r="AN368" s="23" t="str">
        <x:f>IF($A368="","",SUM(AI368,N368,AK368:AM368,U368))</x:f>
      </x:c>
      <x:c r="AO368" s="23" t="str">
        <x:f>IF($A368="","",SUM(AD368:AI368,N368,AK368:AM368,U368))</x:f>
      </x:c>
      <x:c r="AP368" s="24" t="str">
        <x:f>IF($A368="","",G368*F368*AB368*((13-Settings!$B$9)*(1+H368*I368)+J368)*(1+SUM(Settings!$B$11:$B$12)))</x:f>
      </x:c>
      <x:c r="AQ368" s="23" t="str">
        <x:f>IF($A368="","",SUM(AO368:AP368))</x:f>
      </x:c>
      <x:c r="AR368" s="23" t="str">
        <x:f>IF($A368="","",AQ368-X368)</x:f>
      </x:c>
      <x:c r="AS368" s="22" t="str">
        <x:f>IF($A368="","",IF(W368=0,"n.a.",V368/W368))</x:f>
      </x:c>
      <x:c r="AT368" s="26" t="str">
        <x:f>IF($A368="",IF(COUNTA(B368:Y368)&gt;0,"Missing ID",""),IF(COUNTIFS($A$9:$A$508,A368)&gt;1,"Duplicate ID",IF(OR(B368="",C368="",D368="",E368="",COUNT(F368:X368)&lt;&gt;19),"Missing / text input",IF(OR(COUNTIFS(Settings!$A$59:$A$64,B368)&lt;&gt;1,COUNTIFS(Settings!$A$29:$A$33,E368)&lt;&gt;1),"Unknown department / grade",IF(OR(F368&lt;=0,F368&gt;1,G368&lt;=0,L368&lt;=0,H368&lt;0,I368&lt;0,J368&lt;0,K368&lt;0,K368&gt;1,MIN(M368:X368)&lt;0,W368=0,V368&gt;W368,M368&gt;W368-V368,P368&gt;8,Q368&gt;4,R368&gt;12,S368&gt;12,T368&gt;1,AB368&lt;0),"Review quantity / rate",IF(OR(N368&gt;Settings!$C$17,AK368&gt;Settings!$C$19),"Review benefit ceiling","OK"))))))</x:f>
      </x:c>
    </x:row>
    <x:row r="369" ht="23" customHeight="1">
      <x:c r="A369" s="8"/>
      <x:c r="B369" s="8"/>
      <x:c r="C369" s="8"/>
      <x:c r="D369" s="8"/>
      <x:c r="E369" s="8"/>
      <x:c r="F369" s="20"/>
      <x:c r="G369" s="12"/>
      <x:c r="H369" s="21"/>
      <x:c r="I369" s="20"/>
      <x:c r="J369" s="20"/>
      <x:c r="K369" s="20"/>
      <x:c r="L369" s="12"/>
      <x:c r="M369" s="8"/>
      <x:c r="N369" s="12"/>
      <x:c r="O369" s="8"/>
      <x:c r="P369" s="8"/>
      <x:c r="Q369" s="8"/>
      <x:c r="R369" s="8"/>
      <x:c r="S369" s="8"/>
      <x:c r="T369" s="8"/>
      <x:c r="U369" s="12"/>
      <x:c r="V369" s="8"/>
      <x:c r="W369" s="8"/>
      <x:c r="X369" s="12"/>
      <x:c r="Y369" s="21"/>
      <x:c r="Z369" s="24" t="str">
        <x:f>IF($A369="","",INDEX(Settings!$C$29:$C$33,MATCH(E369,Settings!$A$29:$A$33,0)))</x:f>
      </x:c>
      <x:c r="AA369" s="22" t="str">
        <x:f>IF($A369="","",G369/Z369)</x:f>
      </x:c>
      <x:c r="AB369" s="25" t="str">
        <x:f>IF($A369="","",IF(ISNUMBER(Y369),Y369,Settings!$B$10))</x:f>
      </x:c>
      <x:c r="AC369" s="23" t="str">
        <x:f>IF($A369="","",G369*(1+AB369))</x:f>
      </x:c>
      <x:c r="AD369" s="23" t="str">
        <x:f>IF($A369="","",G369*F369*12)</x:f>
      </x:c>
      <x:c r="AE369" s="23" t="str">
        <x:f>IF($A369="","",G369*F369*J369)</x:f>
      </x:c>
      <x:c r="AF369" s="24" t="str">
        <x:f>IF($A369="","",L369*F369*K369*Settings!$B$13)</x:f>
      </x:c>
      <x:c r="AG369" s="23" t="str">
        <x:f>IF($A369="","",AD369*H369*I369)</x:f>
      </x:c>
      <x:c r="AH369" s="24" t="str">
        <x:f>IF($A369="","",SUM(AD369:AE369,AG369)*SUM(Settings!$B$11:$B$12))</x:f>
      </x:c>
      <x:c r="AI369" s="24" t="str">
        <x:f>IF($A369="","",M369*Settings!$B$16)</x:f>
      </x:c>
      <x:c r="AJ369" s="24" t="str">
        <x:f>IF($A369="","",M369*Settings!$B$15)</x:f>
      </x:c>
      <x:c r="AK369" s="24" t="str">
        <x:f>IF($A369="","",O369*Settings!$B$18)</x:f>
      </x:c>
      <x:c r="AL369" s="24" t="str">
        <x:f>IF($A369="","",P369*Settings!$B$20+Q369*Settings!$B$21+R369*Settings!$B$22+S369*Settings!$B$23)</x:f>
      </x:c>
      <x:c r="AM369" s="24" t="str">
        <x:f>IF($A369="","",T369*Settings!$B$24)</x:f>
      </x:c>
      <x:c r="AN369" s="23" t="str">
        <x:f>IF($A369="","",SUM(AI369,N369,AK369:AM369,U369))</x:f>
      </x:c>
      <x:c r="AO369" s="23" t="str">
        <x:f>IF($A369="","",SUM(AD369:AI369,N369,AK369:AM369,U369))</x:f>
      </x:c>
      <x:c r="AP369" s="24" t="str">
        <x:f>IF($A369="","",G369*F369*AB369*((13-Settings!$B$9)*(1+H369*I369)+J369)*(1+SUM(Settings!$B$11:$B$12)))</x:f>
      </x:c>
      <x:c r="AQ369" s="23" t="str">
        <x:f>IF($A369="","",SUM(AO369:AP369))</x:f>
      </x:c>
      <x:c r="AR369" s="23" t="str">
        <x:f>IF($A369="","",AQ369-X369)</x:f>
      </x:c>
      <x:c r="AS369" s="22" t="str">
        <x:f>IF($A369="","",IF(W369=0,"n.a.",V369/W369))</x:f>
      </x:c>
      <x:c r="AT369" s="26" t="str">
        <x:f>IF($A369="",IF(COUNTA(B369:Y369)&gt;0,"Missing ID",""),IF(COUNTIFS($A$9:$A$508,A369)&gt;1,"Duplicate ID",IF(OR(B369="",C369="",D369="",E369="",COUNT(F369:X369)&lt;&gt;19),"Missing / text input",IF(OR(COUNTIFS(Settings!$A$59:$A$64,B369)&lt;&gt;1,COUNTIFS(Settings!$A$29:$A$33,E369)&lt;&gt;1),"Unknown department / grade",IF(OR(F369&lt;=0,F369&gt;1,G369&lt;=0,L369&lt;=0,H369&lt;0,I369&lt;0,J369&lt;0,K369&lt;0,K369&gt;1,MIN(M369:X369)&lt;0,W369=0,V369&gt;W369,M369&gt;W369-V369,P369&gt;8,Q369&gt;4,R369&gt;12,S369&gt;12,T369&gt;1,AB369&lt;0),"Review quantity / rate",IF(OR(N369&gt;Settings!$C$17,AK369&gt;Settings!$C$19),"Review benefit ceiling","OK"))))))</x:f>
      </x:c>
    </x:row>
    <x:row r="370" ht="23" customHeight="1">
      <x:c r="A370" s="8"/>
      <x:c r="B370" s="8"/>
      <x:c r="C370" s="8"/>
      <x:c r="D370" s="8"/>
      <x:c r="E370" s="8"/>
      <x:c r="F370" s="20"/>
      <x:c r="G370" s="12"/>
      <x:c r="H370" s="21"/>
      <x:c r="I370" s="20"/>
      <x:c r="J370" s="20"/>
      <x:c r="K370" s="20"/>
      <x:c r="L370" s="12"/>
      <x:c r="M370" s="8"/>
      <x:c r="N370" s="12"/>
      <x:c r="O370" s="8"/>
      <x:c r="P370" s="8"/>
      <x:c r="Q370" s="8"/>
      <x:c r="R370" s="8"/>
      <x:c r="S370" s="8"/>
      <x:c r="T370" s="8"/>
      <x:c r="U370" s="12"/>
      <x:c r="V370" s="8"/>
      <x:c r="W370" s="8"/>
      <x:c r="X370" s="12"/>
      <x:c r="Y370" s="21"/>
      <x:c r="Z370" s="24" t="str">
        <x:f>IF($A370="","",INDEX(Settings!$C$29:$C$33,MATCH(E370,Settings!$A$29:$A$33,0)))</x:f>
      </x:c>
      <x:c r="AA370" s="22" t="str">
        <x:f>IF($A370="","",G370/Z370)</x:f>
      </x:c>
      <x:c r="AB370" s="25" t="str">
        <x:f>IF($A370="","",IF(ISNUMBER(Y370),Y370,Settings!$B$10))</x:f>
      </x:c>
      <x:c r="AC370" s="23" t="str">
        <x:f>IF($A370="","",G370*(1+AB370))</x:f>
      </x:c>
      <x:c r="AD370" s="23" t="str">
        <x:f>IF($A370="","",G370*F370*12)</x:f>
      </x:c>
      <x:c r="AE370" s="23" t="str">
        <x:f>IF($A370="","",G370*F370*J370)</x:f>
      </x:c>
      <x:c r="AF370" s="24" t="str">
        <x:f>IF($A370="","",L370*F370*K370*Settings!$B$13)</x:f>
      </x:c>
      <x:c r="AG370" s="23" t="str">
        <x:f>IF($A370="","",AD370*H370*I370)</x:f>
      </x:c>
      <x:c r="AH370" s="24" t="str">
        <x:f>IF($A370="","",SUM(AD370:AE370,AG370)*SUM(Settings!$B$11:$B$12))</x:f>
      </x:c>
      <x:c r="AI370" s="24" t="str">
        <x:f>IF($A370="","",M370*Settings!$B$16)</x:f>
      </x:c>
      <x:c r="AJ370" s="24" t="str">
        <x:f>IF($A370="","",M370*Settings!$B$15)</x:f>
      </x:c>
      <x:c r="AK370" s="24" t="str">
        <x:f>IF($A370="","",O370*Settings!$B$18)</x:f>
      </x:c>
      <x:c r="AL370" s="24" t="str">
        <x:f>IF($A370="","",P370*Settings!$B$20+Q370*Settings!$B$21+R370*Settings!$B$22+S370*Settings!$B$23)</x:f>
      </x:c>
      <x:c r="AM370" s="24" t="str">
        <x:f>IF($A370="","",T370*Settings!$B$24)</x:f>
      </x:c>
      <x:c r="AN370" s="23" t="str">
        <x:f>IF($A370="","",SUM(AI370,N370,AK370:AM370,U370))</x:f>
      </x:c>
      <x:c r="AO370" s="23" t="str">
        <x:f>IF($A370="","",SUM(AD370:AI370,N370,AK370:AM370,U370))</x:f>
      </x:c>
      <x:c r="AP370" s="24" t="str">
        <x:f>IF($A370="","",G370*F370*AB370*((13-Settings!$B$9)*(1+H370*I370)+J370)*(1+SUM(Settings!$B$11:$B$12)))</x:f>
      </x:c>
      <x:c r="AQ370" s="23" t="str">
        <x:f>IF($A370="","",SUM(AO370:AP370))</x:f>
      </x:c>
      <x:c r="AR370" s="23" t="str">
        <x:f>IF($A370="","",AQ370-X370)</x:f>
      </x:c>
      <x:c r="AS370" s="22" t="str">
        <x:f>IF($A370="","",IF(W370=0,"n.a.",V370/W370))</x:f>
      </x:c>
      <x:c r="AT370" s="26" t="str">
        <x:f>IF($A370="",IF(COUNTA(B370:Y370)&gt;0,"Missing ID",""),IF(COUNTIFS($A$9:$A$508,A370)&gt;1,"Duplicate ID",IF(OR(B370="",C370="",D370="",E370="",COUNT(F370:X370)&lt;&gt;19),"Missing / text input",IF(OR(COUNTIFS(Settings!$A$59:$A$64,B370)&lt;&gt;1,COUNTIFS(Settings!$A$29:$A$33,E370)&lt;&gt;1),"Unknown department / grade",IF(OR(F370&lt;=0,F370&gt;1,G370&lt;=0,L370&lt;=0,H370&lt;0,I370&lt;0,J370&lt;0,K370&lt;0,K370&gt;1,MIN(M370:X370)&lt;0,W370=0,V370&gt;W370,M370&gt;W370-V370,P370&gt;8,Q370&gt;4,R370&gt;12,S370&gt;12,T370&gt;1,AB370&lt;0),"Review quantity / rate",IF(OR(N370&gt;Settings!$C$17,AK370&gt;Settings!$C$19),"Review benefit ceiling","OK"))))))</x:f>
      </x:c>
    </x:row>
    <x:row r="371" ht="23" customHeight="1">
      <x:c r="A371" s="8"/>
      <x:c r="B371" s="8"/>
      <x:c r="C371" s="8"/>
      <x:c r="D371" s="8"/>
      <x:c r="E371" s="8"/>
      <x:c r="F371" s="20"/>
      <x:c r="G371" s="12"/>
      <x:c r="H371" s="21"/>
      <x:c r="I371" s="20"/>
      <x:c r="J371" s="20"/>
      <x:c r="K371" s="20"/>
      <x:c r="L371" s="12"/>
      <x:c r="M371" s="8"/>
      <x:c r="N371" s="12"/>
      <x:c r="O371" s="8"/>
      <x:c r="P371" s="8"/>
      <x:c r="Q371" s="8"/>
      <x:c r="R371" s="8"/>
      <x:c r="S371" s="8"/>
      <x:c r="T371" s="8"/>
      <x:c r="U371" s="12"/>
      <x:c r="V371" s="8"/>
      <x:c r="W371" s="8"/>
      <x:c r="X371" s="12"/>
      <x:c r="Y371" s="21"/>
      <x:c r="Z371" s="24" t="str">
        <x:f>IF($A371="","",INDEX(Settings!$C$29:$C$33,MATCH(E371,Settings!$A$29:$A$33,0)))</x:f>
      </x:c>
      <x:c r="AA371" s="22" t="str">
        <x:f>IF($A371="","",G371/Z371)</x:f>
      </x:c>
      <x:c r="AB371" s="25" t="str">
        <x:f>IF($A371="","",IF(ISNUMBER(Y371),Y371,Settings!$B$10))</x:f>
      </x:c>
      <x:c r="AC371" s="23" t="str">
        <x:f>IF($A371="","",G371*(1+AB371))</x:f>
      </x:c>
      <x:c r="AD371" s="23" t="str">
        <x:f>IF($A371="","",G371*F371*12)</x:f>
      </x:c>
      <x:c r="AE371" s="23" t="str">
        <x:f>IF($A371="","",G371*F371*J371)</x:f>
      </x:c>
      <x:c r="AF371" s="24" t="str">
        <x:f>IF($A371="","",L371*F371*K371*Settings!$B$13)</x:f>
      </x:c>
      <x:c r="AG371" s="23" t="str">
        <x:f>IF($A371="","",AD371*H371*I371)</x:f>
      </x:c>
      <x:c r="AH371" s="24" t="str">
        <x:f>IF($A371="","",SUM(AD371:AE371,AG371)*SUM(Settings!$B$11:$B$12))</x:f>
      </x:c>
      <x:c r="AI371" s="24" t="str">
        <x:f>IF($A371="","",M371*Settings!$B$16)</x:f>
      </x:c>
      <x:c r="AJ371" s="24" t="str">
        <x:f>IF($A371="","",M371*Settings!$B$15)</x:f>
      </x:c>
      <x:c r="AK371" s="24" t="str">
        <x:f>IF($A371="","",O371*Settings!$B$18)</x:f>
      </x:c>
      <x:c r="AL371" s="24" t="str">
        <x:f>IF($A371="","",P371*Settings!$B$20+Q371*Settings!$B$21+R371*Settings!$B$22+S371*Settings!$B$23)</x:f>
      </x:c>
      <x:c r="AM371" s="24" t="str">
        <x:f>IF($A371="","",T371*Settings!$B$24)</x:f>
      </x:c>
      <x:c r="AN371" s="23" t="str">
        <x:f>IF($A371="","",SUM(AI371,N371,AK371:AM371,U371))</x:f>
      </x:c>
      <x:c r="AO371" s="23" t="str">
        <x:f>IF($A371="","",SUM(AD371:AI371,N371,AK371:AM371,U371))</x:f>
      </x:c>
      <x:c r="AP371" s="24" t="str">
        <x:f>IF($A371="","",G371*F371*AB371*((13-Settings!$B$9)*(1+H371*I371)+J371)*(1+SUM(Settings!$B$11:$B$12)))</x:f>
      </x:c>
      <x:c r="AQ371" s="23" t="str">
        <x:f>IF($A371="","",SUM(AO371:AP371))</x:f>
      </x:c>
      <x:c r="AR371" s="23" t="str">
        <x:f>IF($A371="","",AQ371-X371)</x:f>
      </x:c>
      <x:c r="AS371" s="22" t="str">
        <x:f>IF($A371="","",IF(W371=0,"n.a.",V371/W371))</x:f>
      </x:c>
      <x:c r="AT371" s="26" t="str">
        <x:f>IF($A371="",IF(COUNTA(B371:Y371)&gt;0,"Missing ID",""),IF(COUNTIFS($A$9:$A$508,A371)&gt;1,"Duplicate ID",IF(OR(B371="",C371="",D371="",E371="",COUNT(F371:X371)&lt;&gt;19),"Missing / text input",IF(OR(COUNTIFS(Settings!$A$59:$A$64,B371)&lt;&gt;1,COUNTIFS(Settings!$A$29:$A$33,E371)&lt;&gt;1),"Unknown department / grade",IF(OR(F371&lt;=0,F371&gt;1,G371&lt;=0,L371&lt;=0,H371&lt;0,I371&lt;0,J371&lt;0,K371&lt;0,K371&gt;1,MIN(M371:X371)&lt;0,W371=0,V371&gt;W371,M371&gt;W371-V371,P371&gt;8,Q371&gt;4,R371&gt;12,S371&gt;12,T371&gt;1,AB371&lt;0),"Review quantity / rate",IF(OR(N371&gt;Settings!$C$17,AK371&gt;Settings!$C$19),"Review benefit ceiling","OK"))))))</x:f>
      </x:c>
    </x:row>
    <x:row r="372" ht="23" customHeight="1">
      <x:c r="A372" s="8"/>
      <x:c r="B372" s="8"/>
      <x:c r="C372" s="8"/>
      <x:c r="D372" s="8"/>
      <x:c r="E372" s="8"/>
      <x:c r="F372" s="20"/>
      <x:c r="G372" s="12"/>
      <x:c r="H372" s="21"/>
      <x:c r="I372" s="20"/>
      <x:c r="J372" s="20"/>
      <x:c r="K372" s="20"/>
      <x:c r="L372" s="12"/>
      <x:c r="M372" s="8"/>
      <x:c r="N372" s="12"/>
      <x:c r="O372" s="8"/>
      <x:c r="P372" s="8"/>
      <x:c r="Q372" s="8"/>
      <x:c r="R372" s="8"/>
      <x:c r="S372" s="8"/>
      <x:c r="T372" s="8"/>
      <x:c r="U372" s="12"/>
      <x:c r="V372" s="8"/>
      <x:c r="W372" s="8"/>
      <x:c r="X372" s="12"/>
      <x:c r="Y372" s="21"/>
      <x:c r="Z372" s="24" t="str">
        <x:f>IF($A372="","",INDEX(Settings!$C$29:$C$33,MATCH(E372,Settings!$A$29:$A$33,0)))</x:f>
      </x:c>
      <x:c r="AA372" s="22" t="str">
        <x:f>IF($A372="","",G372/Z372)</x:f>
      </x:c>
      <x:c r="AB372" s="25" t="str">
        <x:f>IF($A372="","",IF(ISNUMBER(Y372),Y372,Settings!$B$10))</x:f>
      </x:c>
      <x:c r="AC372" s="23" t="str">
        <x:f>IF($A372="","",G372*(1+AB372))</x:f>
      </x:c>
      <x:c r="AD372" s="23" t="str">
        <x:f>IF($A372="","",G372*F372*12)</x:f>
      </x:c>
      <x:c r="AE372" s="23" t="str">
        <x:f>IF($A372="","",G372*F372*J372)</x:f>
      </x:c>
      <x:c r="AF372" s="24" t="str">
        <x:f>IF($A372="","",L372*F372*K372*Settings!$B$13)</x:f>
      </x:c>
      <x:c r="AG372" s="23" t="str">
        <x:f>IF($A372="","",AD372*H372*I372)</x:f>
      </x:c>
      <x:c r="AH372" s="24" t="str">
        <x:f>IF($A372="","",SUM(AD372:AE372,AG372)*SUM(Settings!$B$11:$B$12))</x:f>
      </x:c>
      <x:c r="AI372" s="24" t="str">
        <x:f>IF($A372="","",M372*Settings!$B$16)</x:f>
      </x:c>
      <x:c r="AJ372" s="24" t="str">
        <x:f>IF($A372="","",M372*Settings!$B$15)</x:f>
      </x:c>
      <x:c r="AK372" s="24" t="str">
        <x:f>IF($A372="","",O372*Settings!$B$18)</x:f>
      </x:c>
      <x:c r="AL372" s="24" t="str">
        <x:f>IF($A372="","",P372*Settings!$B$20+Q372*Settings!$B$21+R372*Settings!$B$22+S372*Settings!$B$23)</x:f>
      </x:c>
      <x:c r="AM372" s="24" t="str">
        <x:f>IF($A372="","",T372*Settings!$B$24)</x:f>
      </x:c>
      <x:c r="AN372" s="23" t="str">
        <x:f>IF($A372="","",SUM(AI372,N372,AK372:AM372,U372))</x:f>
      </x:c>
      <x:c r="AO372" s="23" t="str">
        <x:f>IF($A372="","",SUM(AD372:AI372,N372,AK372:AM372,U372))</x:f>
      </x:c>
      <x:c r="AP372" s="24" t="str">
        <x:f>IF($A372="","",G372*F372*AB372*((13-Settings!$B$9)*(1+H372*I372)+J372)*(1+SUM(Settings!$B$11:$B$12)))</x:f>
      </x:c>
      <x:c r="AQ372" s="23" t="str">
        <x:f>IF($A372="","",SUM(AO372:AP372))</x:f>
      </x:c>
      <x:c r="AR372" s="23" t="str">
        <x:f>IF($A372="","",AQ372-X372)</x:f>
      </x:c>
      <x:c r="AS372" s="22" t="str">
        <x:f>IF($A372="","",IF(W372=0,"n.a.",V372/W372))</x:f>
      </x:c>
      <x:c r="AT372" s="26" t="str">
        <x:f>IF($A372="",IF(COUNTA(B372:Y372)&gt;0,"Missing ID",""),IF(COUNTIFS($A$9:$A$508,A372)&gt;1,"Duplicate ID",IF(OR(B372="",C372="",D372="",E372="",COUNT(F372:X372)&lt;&gt;19),"Missing / text input",IF(OR(COUNTIFS(Settings!$A$59:$A$64,B372)&lt;&gt;1,COUNTIFS(Settings!$A$29:$A$33,E372)&lt;&gt;1),"Unknown department / grade",IF(OR(F372&lt;=0,F372&gt;1,G372&lt;=0,L372&lt;=0,H372&lt;0,I372&lt;0,J372&lt;0,K372&lt;0,K372&gt;1,MIN(M372:X372)&lt;0,W372=0,V372&gt;W372,M372&gt;W372-V372,P372&gt;8,Q372&gt;4,R372&gt;12,S372&gt;12,T372&gt;1,AB372&lt;0),"Review quantity / rate",IF(OR(N372&gt;Settings!$C$17,AK372&gt;Settings!$C$19),"Review benefit ceiling","OK"))))))</x:f>
      </x:c>
    </x:row>
    <x:row r="373" ht="23" customHeight="1">
      <x:c r="A373" s="8"/>
      <x:c r="B373" s="8"/>
      <x:c r="C373" s="8"/>
      <x:c r="D373" s="8"/>
      <x:c r="E373" s="8"/>
      <x:c r="F373" s="20"/>
      <x:c r="G373" s="12"/>
      <x:c r="H373" s="21"/>
      <x:c r="I373" s="20"/>
      <x:c r="J373" s="20"/>
      <x:c r="K373" s="20"/>
      <x:c r="L373" s="12"/>
      <x:c r="M373" s="8"/>
      <x:c r="N373" s="12"/>
      <x:c r="O373" s="8"/>
      <x:c r="P373" s="8"/>
      <x:c r="Q373" s="8"/>
      <x:c r="R373" s="8"/>
      <x:c r="S373" s="8"/>
      <x:c r="T373" s="8"/>
      <x:c r="U373" s="12"/>
      <x:c r="V373" s="8"/>
      <x:c r="W373" s="8"/>
      <x:c r="X373" s="12"/>
      <x:c r="Y373" s="21"/>
      <x:c r="Z373" s="24" t="str">
        <x:f>IF($A373="","",INDEX(Settings!$C$29:$C$33,MATCH(E373,Settings!$A$29:$A$33,0)))</x:f>
      </x:c>
      <x:c r="AA373" s="22" t="str">
        <x:f>IF($A373="","",G373/Z373)</x:f>
      </x:c>
      <x:c r="AB373" s="25" t="str">
        <x:f>IF($A373="","",IF(ISNUMBER(Y373),Y373,Settings!$B$10))</x:f>
      </x:c>
      <x:c r="AC373" s="23" t="str">
        <x:f>IF($A373="","",G373*(1+AB373))</x:f>
      </x:c>
      <x:c r="AD373" s="23" t="str">
        <x:f>IF($A373="","",G373*F373*12)</x:f>
      </x:c>
      <x:c r="AE373" s="23" t="str">
        <x:f>IF($A373="","",G373*F373*J373)</x:f>
      </x:c>
      <x:c r="AF373" s="24" t="str">
        <x:f>IF($A373="","",L373*F373*K373*Settings!$B$13)</x:f>
      </x:c>
      <x:c r="AG373" s="23" t="str">
        <x:f>IF($A373="","",AD373*H373*I373)</x:f>
      </x:c>
      <x:c r="AH373" s="24" t="str">
        <x:f>IF($A373="","",SUM(AD373:AE373,AG373)*SUM(Settings!$B$11:$B$12))</x:f>
      </x:c>
      <x:c r="AI373" s="24" t="str">
        <x:f>IF($A373="","",M373*Settings!$B$16)</x:f>
      </x:c>
      <x:c r="AJ373" s="24" t="str">
        <x:f>IF($A373="","",M373*Settings!$B$15)</x:f>
      </x:c>
      <x:c r="AK373" s="24" t="str">
        <x:f>IF($A373="","",O373*Settings!$B$18)</x:f>
      </x:c>
      <x:c r="AL373" s="24" t="str">
        <x:f>IF($A373="","",P373*Settings!$B$20+Q373*Settings!$B$21+R373*Settings!$B$22+S373*Settings!$B$23)</x:f>
      </x:c>
      <x:c r="AM373" s="24" t="str">
        <x:f>IF($A373="","",T373*Settings!$B$24)</x:f>
      </x:c>
      <x:c r="AN373" s="23" t="str">
        <x:f>IF($A373="","",SUM(AI373,N373,AK373:AM373,U373))</x:f>
      </x:c>
      <x:c r="AO373" s="23" t="str">
        <x:f>IF($A373="","",SUM(AD373:AI373,N373,AK373:AM373,U373))</x:f>
      </x:c>
      <x:c r="AP373" s="24" t="str">
        <x:f>IF($A373="","",G373*F373*AB373*((13-Settings!$B$9)*(1+H373*I373)+J373)*(1+SUM(Settings!$B$11:$B$12)))</x:f>
      </x:c>
      <x:c r="AQ373" s="23" t="str">
        <x:f>IF($A373="","",SUM(AO373:AP373))</x:f>
      </x:c>
      <x:c r="AR373" s="23" t="str">
        <x:f>IF($A373="","",AQ373-X373)</x:f>
      </x:c>
      <x:c r="AS373" s="22" t="str">
        <x:f>IF($A373="","",IF(W373=0,"n.a.",V373/W373))</x:f>
      </x:c>
      <x:c r="AT373" s="26" t="str">
        <x:f>IF($A373="",IF(COUNTA(B373:Y373)&gt;0,"Missing ID",""),IF(COUNTIFS($A$9:$A$508,A373)&gt;1,"Duplicate ID",IF(OR(B373="",C373="",D373="",E373="",COUNT(F373:X373)&lt;&gt;19),"Missing / text input",IF(OR(COUNTIFS(Settings!$A$59:$A$64,B373)&lt;&gt;1,COUNTIFS(Settings!$A$29:$A$33,E373)&lt;&gt;1),"Unknown department / grade",IF(OR(F373&lt;=0,F373&gt;1,G373&lt;=0,L373&lt;=0,H373&lt;0,I373&lt;0,J373&lt;0,K373&lt;0,K373&gt;1,MIN(M373:X373)&lt;0,W373=0,V373&gt;W373,M373&gt;W373-V373,P373&gt;8,Q373&gt;4,R373&gt;12,S373&gt;12,T373&gt;1,AB373&lt;0),"Review quantity / rate",IF(OR(N373&gt;Settings!$C$17,AK373&gt;Settings!$C$19),"Review benefit ceiling","OK"))))))</x:f>
      </x:c>
    </x:row>
    <x:row r="374" ht="23" customHeight="1">
      <x:c r="A374" s="8"/>
      <x:c r="B374" s="8"/>
      <x:c r="C374" s="8"/>
      <x:c r="D374" s="8"/>
      <x:c r="E374" s="8"/>
      <x:c r="F374" s="20"/>
      <x:c r="G374" s="12"/>
      <x:c r="H374" s="21"/>
      <x:c r="I374" s="20"/>
      <x:c r="J374" s="20"/>
      <x:c r="K374" s="20"/>
      <x:c r="L374" s="12"/>
      <x:c r="M374" s="8"/>
      <x:c r="N374" s="12"/>
      <x:c r="O374" s="8"/>
      <x:c r="P374" s="8"/>
      <x:c r="Q374" s="8"/>
      <x:c r="R374" s="8"/>
      <x:c r="S374" s="8"/>
      <x:c r="T374" s="8"/>
      <x:c r="U374" s="12"/>
      <x:c r="V374" s="8"/>
      <x:c r="W374" s="8"/>
      <x:c r="X374" s="12"/>
      <x:c r="Y374" s="21"/>
      <x:c r="Z374" s="24" t="str">
        <x:f>IF($A374="","",INDEX(Settings!$C$29:$C$33,MATCH(E374,Settings!$A$29:$A$33,0)))</x:f>
      </x:c>
      <x:c r="AA374" s="22" t="str">
        <x:f>IF($A374="","",G374/Z374)</x:f>
      </x:c>
      <x:c r="AB374" s="25" t="str">
        <x:f>IF($A374="","",IF(ISNUMBER(Y374),Y374,Settings!$B$10))</x:f>
      </x:c>
      <x:c r="AC374" s="23" t="str">
        <x:f>IF($A374="","",G374*(1+AB374))</x:f>
      </x:c>
      <x:c r="AD374" s="23" t="str">
        <x:f>IF($A374="","",G374*F374*12)</x:f>
      </x:c>
      <x:c r="AE374" s="23" t="str">
        <x:f>IF($A374="","",G374*F374*J374)</x:f>
      </x:c>
      <x:c r="AF374" s="24" t="str">
        <x:f>IF($A374="","",L374*F374*K374*Settings!$B$13)</x:f>
      </x:c>
      <x:c r="AG374" s="23" t="str">
        <x:f>IF($A374="","",AD374*H374*I374)</x:f>
      </x:c>
      <x:c r="AH374" s="24" t="str">
        <x:f>IF($A374="","",SUM(AD374:AE374,AG374)*SUM(Settings!$B$11:$B$12))</x:f>
      </x:c>
      <x:c r="AI374" s="24" t="str">
        <x:f>IF($A374="","",M374*Settings!$B$16)</x:f>
      </x:c>
      <x:c r="AJ374" s="24" t="str">
        <x:f>IF($A374="","",M374*Settings!$B$15)</x:f>
      </x:c>
      <x:c r="AK374" s="24" t="str">
        <x:f>IF($A374="","",O374*Settings!$B$18)</x:f>
      </x:c>
      <x:c r="AL374" s="24" t="str">
        <x:f>IF($A374="","",P374*Settings!$B$20+Q374*Settings!$B$21+R374*Settings!$B$22+S374*Settings!$B$23)</x:f>
      </x:c>
      <x:c r="AM374" s="24" t="str">
        <x:f>IF($A374="","",T374*Settings!$B$24)</x:f>
      </x:c>
      <x:c r="AN374" s="23" t="str">
        <x:f>IF($A374="","",SUM(AI374,N374,AK374:AM374,U374))</x:f>
      </x:c>
      <x:c r="AO374" s="23" t="str">
        <x:f>IF($A374="","",SUM(AD374:AI374,N374,AK374:AM374,U374))</x:f>
      </x:c>
      <x:c r="AP374" s="24" t="str">
        <x:f>IF($A374="","",G374*F374*AB374*((13-Settings!$B$9)*(1+H374*I374)+J374)*(1+SUM(Settings!$B$11:$B$12)))</x:f>
      </x:c>
      <x:c r="AQ374" s="23" t="str">
        <x:f>IF($A374="","",SUM(AO374:AP374))</x:f>
      </x:c>
      <x:c r="AR374" s="23" t="str">
        <x:f>IF($A374="","",AQ374-X374)</x:f>
      </x:c>
      <x:c r="AS374" s="22" t="str">
        <x:f>IF($A374="","",IF(W374=0,"n.a.",V374/W374))</x:f>
      </x:c>
      <x:c r="AT374" s="26" t="str">
        <x:f>IF($A374="",IF(COUNTA(B374:Y374)&gt;0,"Missing ID",""),IF(COUNTIFS($A$9:$A$508,A374)&gt;1,"Duplicate ID",IF(OR(B374="",C374="",D374="",E374="",COUNT(F374:X374)&lt;&gt;19),"Missing / text input",IF(OR(COUNTIFS(Settings!$A$59:$A$64,B374)&lt;&gt;1,COUNTIFS(Settings!$A$29:$A$33,E374)&lt;&gt;1),"Unknown department / grade",IF(OR(F374&lt;=0,F374&gt;1,G374&lt;=0,L374&lt;=0,H374&lt;0,I374&lt;0,J374&lt;0,K374&lt;0,K374&gt;1,MIN(M374:X374)&lt;0,W374=0,V374&gt;W374,M374&gt;W374-V374,P374&gt;8,Q374&gt;4,R374&gt;12,S374&gt;12,T374&gt;1,AB374&lt;0),"Review quantity / rate",IF(OR(N374&gt;Settings!$C$17,AK374&gt;Settings!$C$19),"Review benefit ceiling","OK"))))))</x:f>
      </x:c>
    </x:row>
    <x:row r="375" ht="23" customHeight="1">
      <x:c r="A375" s="8"/>
      <x:c r="B375" s="8"/>
      <x:c r="C375" s="8"/>
      <x:c r="D375" s="8"/>
      <x:c r="E375" s="8"/>
      <x:c r="F375" s="20"/>
      <x:c r="G375" s="12"/>
      <x:c r="H375" s="21"/>
      <x:c r="I375" s="20"/>
      <x:c r="J375" s="20"/>
      <x:c r="K375" s="20"/>
      <x:c r="L375" s="12"/>
      <x:c r="M375" s="8"/>
      <x:c r="N375" s="12"/>
      <x:c r="O375" s="8"/>
      <x:c r="P375" s="8"/>
      <x:c r="Q375" s="8"/>
      <x:c r="R375" s="8"/>
      <x:c r="S375" s="8"/>
      <x:c r="T375" s="8"/>
      <x:c r="U375" s="12"/>
      <x:c r="V375" s="8"/>
      <x:c r="W375" s="8"/>
      <x:c r="X375" s="12"/>
      <x:c r="Y375" s="21"/>
      <x:c r="Z375" s="24" t="str">
        <x:f>IF($A375="","",INDEX(Settings!$C$29:$C$33,MATCH(E375,Settings!$A$29:$A$33,0)))</x:f>
      </x:c>
      <x:c r="AA375" s="22" t="str">
        <x:f>IF($A375="","",G375/Z375)</x:f>
      </x:c>
      <x:c r="AB375" s="25" t="str">
        <x:f>IF($A375="","",IF(ISNUMBER(Y375),Y375,Settings!$B$10))</x:f>
      </x:c>
      <x:c r="AC375" s="23" t="str">
        <x:f>IF($A375="","",G375*(1+AB375))</x:f>
      </x:c>
      <x:c r="AD375" s="23" t="str">
        <x:f>IF($A375="","",G375*F375*12)</x:f>
      </x:c>
      <x:c r="AE375" s="23" t="str">
        <x:f>IF($A375="","",G375*F375*J375)</x:f>
      </x:c>
      <x:c r="AF375" s="24" t="str">
        <x:f>IF($A375="","",L375*F375*K375*Settings!$B$13)</x:f>
      </x:c>
      <x:c r="AG375" s="23" t="str">
        <x:f>IF($A375="","",AD375*H375*I375)</x:f>
      </x:c>
      <x:c r="AH375" s="24" t="str">
        <x:f>IF($A375="","",SUM(AD375:AE375,AG375)*SUM(Settings!$B$11:$B$12))</x:f>
      </x:c>
      <x:c r="AI375" s="24" t="str">
        <x:f>IF($A375="","",M375*Settings!$B$16)</x:f>
      </x:c>
      <x:c r="AJ375" s="24" t="str">
        <x:f>IF($A375="","",M375*Settings!$B$15)</x:f>
      </x:c>
      <x:c r="AK375" s="24" t="str">
        <x:f>IF($A375="","",O375*Settings!$B$18)</x:f>
      </x:c>
      <x:c r="AL375" s="24" t="str">
        <x:f>IF($A375="","",P375*Settings!$B$20+Q375*Settings!$B$21+R375*Settings!$B$22+S375*Settings!$B$23)</x:f>
      </x:c>
      <x:c r="AM375" s="24" t="str">
        <x:f>IF($A375="","",T375*Settings!$B$24)</x:f>
      </x:c>
      <x:c r="AN375" s="23" t="str">
        <x:f>IF($A375="","",SUM(AI375,N375,AK375:AM375,U375))</x:f>
      </x:c>
      <x:c r="AO375" s="23" t="str">
        <x:f>IF($A375="","",SUM(AD375:AI375,N375,AK375:AM375,U375))</x:f>
      </x:c>
      <x:c r="AP375" s="24" t="str">
        <x:f>IF($A375="","",G375*F375*AB375*((13-Settings!$B$9)*(1+H375*I375)+J375)*(1+SUM(Settings!$B$11:$B$12)))</x:f>
      </x:c>
      <x:c r="AQ375" s="23" t="str">
        <x:f>IF($A375="","",SUM(AO375:AP375))</x:f>
      </x:c>
      <x:c r="AR375" s="23" t="str">
        <x:f>IF($A375="","",AQ375-X375)</x:f>
      </x:c>
      <x:c r="AS375" s="22" t="str">
        <x:f>IF($A375="","",IF(W375=0,"n.a.",V375/W375))</x:f>
      </x:c>
      <x:c r="AT375" s="26" t="str">
        <x:f>IF($A375="",IF(COUNTA(B375:Y375)&gt;0,"Missing ID",""),IF(COUNTIFS($A$9:$A$508,A375)&gt;1,"Duplicate ID",IF(OR(B375="",C375="",D375="",E375="",COUNT(F375:X375)&lt;&gt;19),"Missing / text input",IF(OR(COUNTIFS(Settings!$A$59:$A$64,B375)&lt;&gt;1,COUNTIFS(Settings!$A$29:$A$33,E375)&lt;&gt;1),"Unknown department / grade",IF(OR(F375&lt;=0,F375&gt;1,G375&lt;=0,L375&lt;=0,H375&lt;0,I375&lt;0,J375&lt;0,K375&lt;0,K375&gt;1,MIN(M375:X375)&lt;0,W375=0,V375&gt;W375,M375&gt;W375-V375,P375&gt;8,Q375&gt;4,R375&gt;12,S375&gt;12,T375&gt;1,AB375&lt;0),"Review quantity / rate",IF(OR(N375&gt;Settings!$C$17,AK375&gt;Settings!$C$19),"Review benefit ceiling","OK"))))))</x:f>
      </x:c>
    </x:row>
    <x:row r="376" ht="23" customHeight="1">
      <x:c r="A376" s="8"/>
      <x:c r="B376" s="8"/>
      <x:c r="C376" s="8"/>
      <x:c r="D376" s="8"/>
      <x:c r="E376" s="8"/>
      <x:c r="F376" s="20"/>
      <x:c r="G376" s="12"/>
      <x:c r="H376" s="21"/>
      <x:c r="I376" s="20"/>
      <x:c r="J376" s="20"/>
      <x:c r="K376" s="20"/>
      <x:c r="L376" s="12"/>
      <x:c r="M376" s="8"/>
      <x:c r="N376" s="12"/>
      <x:c r="O376" s="8"/>
      <x:c r="P376" s="8"/>
      <x:c r="Q376" s="8"/>
      <x:c r="R376" s="8"/>
      <x:c r="S376" s="8"/>
      <x:c r="T376" s="8"/>
      <x:c r="U376" s="12"/>
      <x:c r="V376" s="8"/>
      <x:c r="W376" s="8"/>
      <x:c r="X376" s="12"/>
      <x:c r="Y376" s="21"/>
      <x:c r="Z376" s="24" t="str">
        <x:f>IF($A376="","",INDEX(Settings!$C$29:$C$33,MATCH(E376,Settings!$A$29:$A$33,0)))</x:f>
      </x:c>
      <x:c r="AA376" s="22" t="str">
        <x:f>IF($A376="","",G376/Z376)</x:f>
      </x:c>
      <x:c r="AB376" s="25" t="str">
        <x:f>IF($A376="","",IF(ISNUMBER(Y376),Y376,Settings!$B$10))</x:f>
      </x:c>
      <x:c r="AC376" s="23" t="str">
        <x:f>IF($A376="","",G376*(1+AB376))</x:f>
      </x:c>
      <x:c r="AD376" s="23" t="str">
        <x:f>IF($A376="","",G376*F376*12)</x:f>
      </x:c>
      <x:c r="AE376" s="23" t="str">
        <x:f>IF($A376="","",G376*F376*J376)</x:f>
      </x:c>
      <x:c r="AF376" s="24" t="str">
        <x:f>IF($A376="","",L376*F376*K376*Settings!$B$13)</x:f>
      </x:c>
      <x:c r="AG376" s="23" t="str">
        <x:f>IF($A376="","",AD376*H376*I376)</x:f>
      </x:c>
      <x:c r="AH376" s="24" t="str">
        <x:f>IF($A376="","",SUM(AD376:AE376,AG376)*SUM(Settings!$B$11:$B$12))</x:f>
      </x:c>
      <x:c r="AI376" s="24" t="str">
        <x:f>IF($A376="","",M376*Settings!$B$16)</x:f>
      </x:c>
      <x:c r="AJ376" s="24" t="str">
        <x:f>IF($A376="","",M376*Settings!$B$15)</x:f>
      </x:c>
      <x:c r="AK376" s="24" t="str">
        <x:f>IF($A376="","",O376*Settings!$B$18)</x:f>
      </x:c>
      <x:c r="AL376" s="24" t="str">
        <x:f>IF($A376="","",P376*Settings!$B$20+Q376*Settings!$B$21+R376*Settings!$B$22+S376*Settings!$B$23)</x:f>
      </x:c>
      <x:c r="AM376" s="24" t="str">
        <x:f>IF($A376="","",T376*Settings!$B$24)</x:f>
      </x:c>
      <x:c r="AN376" s="23" t="str">
        <x:f>IF($A376="","",SUM(AI376,N376,AK376:AM376,U376))</x:f>
      </x:c>
      <x:c r="AO376" s="23" t="str">
        <x:f>IF($A376="","",SUM(AD376:AI376,N376,AK376:AM376,U376))</x:f>
      </x:c>
      <x:c r="AP376" s="24" t="str">
        <x:f>IF($A376="","",G376*F376*AB376*((13-Settings!$B$9)*(1+H376*I376)+J376)*(1+SUM(Settings!$B$11:$B$12)))</x:f>
      </x:c>
      <x:c r="AQ376" s="23" t="str">
        <x:f>IF($A376="","",SUM(AO376:AP376))</x:f>
      </x:c>
      <x:c r="AR376" s="23" t="str">
        <x:f>IF($A376="","",AQ376-X376)</x:f>
      </x:c>
      <x:c r="AS376" s="22" t="str">
        <x:f>IF($A376="","",IF(W376=0,"n.a.",V376/W376))</x:f>
      </x:c>
      <x:c r="AT376" s="26" t="str">
        <x:f>IF($A376="",IF(COUNTA(B376:Y376)&gt;0,"Missing ID",""),IF(COUNTIFS($A$9:$A$508,A376)&gt;1,"Duplicate ID",IF(OR(B376="",C376="",D376="",E376="",COUNT(F376:X376)&lt;&gt;19),"Missing / text input",IF(OR(COUNTIFS(Settings!$A$59:$A$64,B376)&lt;&gt;1,COUNTIFS(Settings!$A$29:$A$33,E376)&lt;&gt;1),"Unknown department / grade",IF(OR(F376&lt;=0,F376&gt;1,G376&lt;=0,L376&lt;=0,H376&lt;0,I376&lt;0,J376&lt;0,K376&lt;0,K376&gt;1,MIN(M376:X376)&lt;0,W376=0,V376&gt;W376,M376&gt;W376-V376,P376&gt;8,Q376&gt;4,R376&gt;12,S376&gt;12,T376&gt;1,AB376&lt;0),"Review quantity / rate",IF(OR(N376&gt;Settings!$C$17,AK376&gt;Settings!$C$19),"Review benefit ceiling","OK"))))))</x:f>
      </x:c>
    </x:row>
    <x:row r="377" ht="23" customHeight="1">
      <x:c r="A377" s="8"/>
      <x:c r="B377" s="8"/>
      <x:c r="C377" s="8"/>
      <x:c r="D377" s="8"/>
      <x:c r="E377" s="8"/>
      <x:c r="F377" s="20"/>
      <x:c r="G377" s="12"/>
      <x:c r="H377" s="21"/>
      <x:c r="I377" s="20"/>
      <x:c r="J377" s="20"/>
      <x:c r="K377" s="20"/>
      <x:c r="L377" s="12"/>
      <x:c r="M377" s="8"/>
      <x:c r="N377" s="12"/>
      <x:c r="O377" s="8"/>
      <x:c r="P377" s="8"/>
      <x:c r="Q377" s="8"/>
      <x:c r="R377" s="8"/>
      <x:c r="S377" s="8"/>
      <x:c r="T377" s="8"/>
      <x:c r="U377" s="12"/>
      <x:c r="V377" s="8"/>
      <x:c r="W377" s="8"/>
      <x:c r="X377" s="12"/>
      <x:c r="Y377" s="21"/>
      <x:c r="Z377" s="24" t="str">
        <x:f>IF($A377="","",INDEX(Settings!$C$29:$C$33,MATCH(E377,Settings!$A$29:$A$33,0)))</x:f>
      </x:c>
      <x:c r="AA377" s="22" t="str">
        <x:f>IF($A377="","",G377/Z377)</x:f>
      </x:c>
      <x:c r="AB377" s="25" t="str">
        <x:f>IF($A377="","",IF(ISNUMBER(Y377),Y377,Settings!$B$10))</x:f>
      </x:c>
      <x:c r="AC377" s="23" t="str">
        <x:f>IF($A377="","",G377*(1+AB377))</x:f>
      </x:c>
      <x:c r="AD377" s="23" t="str">
        <x:f>IF($A377="","",G377*F377*12)</x:f>
      </x:c>
      <x:c r="AE377" s="23" t="str">
        <x:f>IF($A377="","",G377*F377*J377)</x:f>
      </x:c>
      <x:c r="AF377" s="24" t="str">
        <x:f>IF($A377="","",L377*F377*K377*Settings!$B$13)</x:f>
      </x:c>
      <x:c r="AG377" s="23" t="str">
        <x:f>IF($A377="","",AD377*H377*I377)</x:f>
      </x:c>
      <x:c r="AH377" s="24" t="str">
        <x:f>IF($A377="","",SUM(AD377:AE377,AG377)*SUM(Settings!$B$11:$B$12))</x:f>
      </x:c>
      <x:c r="AI377" s="24" t="str">
        <x:f>IF($A377="","",M377*Settings!$B$16)</x:f>
      </x:c>
      <x:c r="AJ377" s="24" t="str">
        <x:f>IF($A377="","",M377*Settings!$B$15)</x:f>
      </x:c>
      <x:c r="AK377" s="24" t="str">
        <x:f>IF($A377="","",O377*Settings!$B$18)</x:f>
      </x:c>
      <x:c r="AL377" s="24" t="str">
        <x:f>IF($A377="","",P377*Settings!$B$20+Q377*Settings!$B$21+R377*Settings!$B$22+S377*Settings!$B$23)</x:f>
      </x:c>
      <x:c r="AM377" s="24" t="str">
        <x:f>IF($A377="","",T377*Settings!$B$24)</x:f>
      </x:c>
      <x:c r="AN377" s="23" t="str">
        <x:f>IF($A377="","",SUM(AI377,N377,AK377:AM377,U377))</x:f>
      </x:c>
      <x:c r="AO377" s="23" t="str">
        <x:f>IF($A377="","",SUM(AD377:AI377,N377,AK377:AM377,U377))</x:f>
      </x:c>
      <x:c r="AP377" s="24" t="str">
        <x:f>IF($A377="","",G377*F377*AB377*((13-Settings!$B$9)*(1+H377*I377)+J377)*(1+SUM(Settings!$B$11:$B$12)))</x:f>
      </x:c>
      <x:c r="AQ377" s="23" t="str">
        <x:f>IF($A377="","",SUM(AO377:AP377))</x:f>
      </x:c>
      <x:c r="AR377" s="23" t="str">
        <x:f>IF($A377="","",AQ377-X377)</x:f>
      </x:c>
      <x:c r="AS377" s="22" t="str">
        <x:f>IF($A377="","",IF(W377=0,"n.a.",V377/W377))</x:f>
      </x:c>
      <x:c r="AT377" s="26" t="str">
        <x:f>IF($A377="",IF(COUNTA(B377:Y377)&gt;0,"Missing ID",""),IF(COUNTIFS($A$9:$A$508,A377)&gt;1,"Duplicate ID",IF(OR(B377="",C377="",D377="",E377="",COUNT(F377:X377)&lt;&gt;19),"Missing / text input",IF(OR(COUNTIFS(Settings!$A$59:$A$64,B377)&lt;&gt;1,COUNTIFS(Settings!$A$29:$A$33,E377)&lt;&gt;1),"Unknown department / grade",IF(OR(F377&lt;=0,F377&gt;1,G377&lt;=0,L377&lt;=0,H377&lt;0,I377&lt;0,J377&lt;0,K377&lt;0,K377&gt;1,MIN(M377:X377)&lt;0,W377=0,V377&gt;W377,M377&gt;W377-V377,P377&gt;8,Q377&gt;4,R377&gt;12,S377&gt;12,T377&gt;1,AB377&lt;0),"Review quantity / rate",IF(OR(N377&gt;Settings!$C$17,AK377&gt;Settings!$C$19),"Review benefit ceiling","OK"))))))</x:f>
      </x:c>
    </x:row>
    <x:row r="378" ht="23" customHeight="1">
      <x:c r="A378" s="8"/>
      <x:c r="B378" s="8"/>
      <x:c r="C378" s="8"/>
      <x:c r="D378" s="8"/>
      <x:c r="E378" s="8"/>
      <x:c r="F378" s="20"/>
      <x:c r="G378" s="12"/>
      <x:c r="H378" s="21"/>
      <x:c r="I378" s="20"/>
      <x:c r="J378" s="20"/>
      <x:c r="K378" s="20"/>
      <x:c r="L378" s="12"/>
      <x:c r="M378" s="8"/>
      <x:c r="N378" s="12"/>
      <x:c r="O378" s="8"/>
      <x:c r="P378" s="8"/>
      <x:c r="Q378" s="8"/>
      <x:c r="R378" s="8"/>
      <x:c r="S378" s="8"/>
      <x:c r="T378" s="8"/>
      <x:c r="U378" s="12"/>
      <x:c r="V378" s="8"/>
      <x:c r="W378" s="8"/>
      <x:c r="X378" s="12"/>
      <x:c r="Y378" s="21"/>
      <x:c r="Z378" s="24" t="str">
        <x:f>IF($A378="","",INDEX(Settings!$C$29:$C$33,MATCH(E378,Settings!$A$29:$A$33,0)))</x:f>
      </x:c>
      <x:c r="AA378" s="22" t="str">
        <x:f>IF($A378="","",G378/Z378)</x:f>
      </x:c>
      <x:c r="AB378" s="25" t="str">
        <x:f>IF($A378="","",IF(ISNUMBER(Y378),Y378,Settings!$B$10))</x:f>
      </x:c>
      <x:c r="AC378" s="23" t="str">
        <x:f>IF($A378="","",G378*(1+AB378))</x:f>
      </x:c>
      <x:c r="AD378" s="23" t="str">
        <x:f>IF($A378="","",G378*F378*12)</x:f>
      </x:c>
      <x:c r="AE378" s="23" t="str">
        <x:f>IF($A378="","",G378*F378*J378)</x:f>
      </x:c>
      <x:c r="AF378" s="24" t="str">
        <x:f>IF($A378="","",L378*F378*K378*Settings!$B$13)</x:f>
      </x:c>
      <x:c r="AG378" s="23" t="str">
        <x:f>IF($A378="","",AD378*H378*I378)</x:f>
      </x:c>
      <x:c r="AH378" s="24" t="str">
        <x:f>IF($A378="","",SUM(AD378:AE378,AG378)*SUM(Settings!$B$11:$B$12))</x:f>
      </x:c>
      <x:c r="AI378" s="24" t="str">
        <x:f>IF($A378="","",M378*Settings!$B$16)</x:f>
      </x:c>
      <x:c r="AJ378" s="24" t="str">
        <x:f>IF($A378="","",M378*Settings!$B$15)</x:f>
      </x:c>
      <x:c r="AK378" s="24" t="str">
        <x:f>IF($A378="","",O378*Settings!$B$18)</x:f>
      </x:c>
      <x:c r="AL378" s="24" t="str">
        <x:f>IF($A378="","",P378*Settings!$B$20+Q378*Settings!$B$21+R378*Settings!$B$22+S378*Settings!$B$23)</x:f>
      </x:c>
      <x:c r="AM378" s="24" t="str">
        <x:f>IF($A378="","",T378*Settings!$B$24)</x:f>
      </x:c>
      <x:c r="AN378" s="23" t="str">
        <x:f>IF($A378="","",SUM(AI378,N378,AK378:AM378,U378))</x:f>
      </x:c>
      <x:c r="AO378" s="23" t="str">
        <x:f>IF($A378="","",SUM(AD378:AI378,N378,AK378:AM378,U378))</x:f>
      </x:c>
      <x:c r="AP378" s="24" t="str">
        <x:f>IF($A378="","",G378*F378*AB378*((13-Settings!$B$9)*(1+H378*I378)+J378)*(1+SUM(Settings!$B$11:$B$12)))</x:f>
      </x:c>
      <x:c r="AQ378" s="23" t="str">
        <x:f>IF($A378="","",SUM(AO378:AP378))</x:f>
      </x:c>
      <x:c r="AR378" s="23" t="str">
        <x:f>IF($A378="","",AQ378-X378)</x:f>
      </x:c>
      <x:c r="AS378" s="22" t="str">
        <x:f>IF($A378="","",IF(W378=0,"n.a.",V378/W378))</x:f>
      </x:c>
      <x:c r="AT378" s="26" t="str">
        <x:f>IF($A378="",IF(COUNTA(B378:Y378)&gt;0,"Missing ID",""),IF(COUNTIFS($A$9:$A$508,A378)&gt;1,"Duplicate ID",IF(OR(B378="",C378="",D378="",E378="",COUNT(F378:X378)&lt;&gt;19),"Missing / text input",IF(OR(COUNTIFS(Settings!$A$59:$A$64,B378)&lt;&gt;1,COUNTIFS(Settings!$A$29:$A$33,E378)&lt;&gt;1),"Unknown department / grade",IF(OR(F378&lt;=0,F378&gt;1,G378&lt;=0,L378&lt;=0,H378&lt;0,I378&lt;0,J378&lt;0,K378&lt;0,K378&gt;1,MIN(M378:X378)&lt;0,W378=0,V378&gt;W378,M378&gt;W378-V378,P378&gt;8,Q378&gt;4,R378&gt;12,S378&gt;12,T378&gt;1,AB378&lt;0),"Review quantity / rate",IF(OR(N378&gt;Settings!$C$17,AK378&gt;Settings!$C$19),"Review benefit ceiling","OK"))))))</x:f>
      </x:c>
    </x:row>
    <x:row r="379" ht="23" customHeight="1">
      <x:c r="A379" s="8"/>
      <x:c r="B379" s="8"/>
      <x:c r="C379" s="8"/>
      <x:c r="D379" s="8"/>
      <x:c r="E379" s="8"/>
      <x:c r="F379" s="20"/>
      <x:c r="G379" s="12"/>
      <x:c r="H379" s="21"/>
      <x:c r="I379" s="20"/>
      <x:c r="J379" s="20"/>
      <x:c r="K379" s="20"/>
      <x:c r="L379" s="12"/>
      <x:c r="M379" s="8"/>
      <x:c r="N379" s="12"/>
      <x:c r="O379" s="8"/>
      <x:c r="P379" s="8"/>
      <x:c r="Q379" s="8"/>
      <x:c r="R379" s="8"/>
      <x:c r="S379" s="8"/>
      <x:c r="T379" s="8"/>
      <x:c r="U379" s="12"/>
      <x:c r="V379" s="8"/>
      <x:c r="W379" s="8"/>
      <x:c r="X379" s="12"/>
      <x:c r="Y379" s="21"/>
      <x:c r="Z379" s="24" t="str">
        <x:f>IF($A379="","",INDEX(Settings!$C$29:$C$33,MATCH(E379,Settings!$A$29:$A$33,0)))</x:f>
      </x:c>
      <x:c r="AA379" s="22" t="str">
        <x:f>IF($A379="","",G379/Z379)</x:f>
      </x:c>
      <x:c r="AB379" s="25" t="str">
        <x:f>IF($A379="","",IF(ISNUMBER(Y379),Y379,Settings!$B$10))</x:f>
      </x:c>
      <x:c r="AC379" s="23" t="str">
        <x:f>IF($A379="","",G379*(1+AB379))</x:f>
      </x:c>
      <x:c r="AD379" s="23" t="str">
        <x:f>IF($A379="","",G379*F379*12)</x:f>
      </x:c>
      <x:c r="AE379" s="23" t="str">
        <x:f>IF($A379="","",G379*F379*J379)</x:f>
      </x:c>
      <x:c r="AF379" s="24" t="str">
        <x:f>IF($A379="","",L379*F379*K379*Settings!$B$13)</x:f>
      </x:c>
      <x:c r="AG379" s="23" t="str">
        <x:f>IF($A379="","",AD379*H379*I379)</x:f>
      </x:c>
      <x:c r="AH379" s="24" t="str">
        <x:f>IF($A379="","",SUM(AD379:AE379,AG379)*SUM(Settings!$B$11:$B$12))</x:f>
      </x:c>
      <x:c r="AI379" s="24" t="str">
        <x:f>IF($A379="","",M379*Settings!$B$16)</x:f>
      </x:c>
      <x:c r="AJ379" s="24" t="str">
        <x:f>IF($A379="","",M379*Settings!$B$15)</x:f>
      </x:c>
      <x:c r="AK379" s="24" t="str">
        <x:f>IF($A379="","",O379*Settings!$B$18)</x:f>
      </x:c>
      <x:c r="AL379" s="24" t="str">
        <x:f>IF($A379="","",P379*Settings!$B$20+Q379*Settings!$B$21+R379*Settings!$B$22+S379*Settings!$B$23)</x:f>
      </x:c>
      <x:c r="AM379" s="24" t="str">
        <x:f>IF($A379="","",T379*Settings!$B$24)</x:f>
      </x:c>
      <x:c r="AN379" s="23" t="str">
        <x:f>IF($A379="","",SUM(AI379,N379,AK379:AM379,U379))</x:f>
      </x:c>
      <x:c r="AO379" s="23" t="str">
        <x:f>IF($A379="","",SUM(AD379:AI379,N379,AK379:AM379,U379))</x:f>
      </x:c>
      <x:c r="AP379" s="24" t="str">
        <x:f>IF($A379="","",G379*F379*AB379*((13-Settings!$B$9)*(1+H379*I379)+J379)*(1+SUM(Settings!$B$11:$B$12)))</x:f>
      </x:c>
      <x:c r="AQ379" s="23" t="str">
        <x:f>IF($A379="","",SUM(AO379:AP379))</x:f>
      </x:c>
      <x:c r="AR379" s="23" t="str">
        <x:f>IF($A379="","",AQ379-X379)</x:f>
      </x:c>
      <x:c r="AS379" s="22" t="str">
        <x:f>IF($A379="","",IF(W379=0,"n.a.",V379/W379))</x:f>
      </x:c>
      <x:c r="AT379" s="26" t="str">
        <x:f>IF($A379="",IF(COUNTA(B379:Y379)&gt;0,"Missing ID",""),IF(COUNTIFS($A$9:$A$508,A379)&gt;1,"Duplicate ID",IF(OR(B379="",C379="",D379="",E379="",COUNT(F379:X379)&lt;&gt;19),"Missing / text input",IF(OR(COUNTIFS(Settings!$A$59:$A$64,B379)&lt;&gt;1,COUNTIFS(Settings!$A$29:$A$33,E379)&lt;&gt;1),"Unknown department / grade",IF(OR(F379&lt;=0,F379&gt;1,G379&lt;=0,L379&lt;=0,H379&lt;0,I379&lt;0,J379&lt;0,K379&lt;0,K379&gt;1,MIN(M379:X379)&lt;0,W379=0,V379&gt;W379,M379&gt;W379-V379,P379&gt;8,Q379&gt;4,R379&gt;12,S379&gt;12,T379&gt;1,AB379&lt;0),"Review quantity / rate",IF(OR(N379&gt;Settings!$C$17,AK379&gt;Settings!$C$19),"Review benefit ceiling","OK"))))))</x:f>
      </x:c>
    </x:row>
    <x:row r="380" ht="23" customHeight="1">
      <x:c r="A380" s="8"/>
      <x:c r="B380" s="8"/>
      <x:c r="C380" s="8"/>
      <x:c r="D380" s="8"/>
      <x:c r="E380" s="8"/>
      <x:c r="F380" s="20"/>
      <x:c r="G380" s="12"/>
      <x:c r="H380" s="21"/>
      <x:c r="I380" s="20"/>
      <x:c r="J380" s="20"/>
      <x:c r="K380" s="20"/>
      <x:c r="L380" s="12"/>
      <x:c r="M380" s="8"/>
      <x:c r="N380" s="12"/>
      <x:c r="O380" s="8"/>
      <x:c r="P380" s="8"/>
      <x:c r="Q380" s="8"/>
      <x:c r="R380" s="8"/>
      <x:c r="S380" s="8"/>
      <x:c r="T380" s="8"/>
      <x:c r="U380" s="12"/>
      <x:c r="V380" s="8"/>
      <x:c r="W380" s="8"/>
      <x:c r="X380" s="12"/>
      <x:c r="Y380" s="21"/>
      <x:c r="Z380" s="24" t="str">
        <x:f>IF($A380="","",INDEX(Settings!$C$29:$C$33,MATCH(E380,Settings!$A$29:$A$33,0)))</x:f>
      </x:c>
      <x:c r="AA380" s="22" t="str">
        <x:f>IF($A380="","",G380/Z380)</x:f>
      </x:c>
      <x:c r="AB380" s="25" t="str">
        <x:f>IF($A380="","",IF(ISNUMBER(Y380),Y380,Settings!$B$10))</x:f>
      </x:c>
      <x:c r="AC380" s="23" t="str">
        <x:f>IF($A380="","",G380*(1+AB380))</x:f>
      </x:c>
      <x:c r="AD380" s="23" t="str">
        <x:f>IF($A380="","",G380*F380*12)</x:f>
      </x:c>
      <x:c r="AE380" s="23" t="str">
        <x:f>IF($A380="","",G380*F380*J380)</x:f>
      </x:c>
      <x:c r="AF380" s="24" t="str">
        <x:f>IF($A380="","",L380*F380*K380*Settings!$B$13)</x:f>
      </x:c>
      <x:c r="AG380" s="23" t="str">
        <x:f>IF($A380="","",AD380*H380*I380)</x:f>
      </x:c>
      <x:c r="AH380" s="24" t="str">
        <x:f>IF($A380="","",SUM(AD380:AE380,AG380)*SUM(Settings!$B$11:$B$12))</x:f>
      </x:c>
      <x:c r="AI380" s="24" t="str">
        <x:f>IF($A380="","",M380*Settings!$B$16)</x:f>
      </x:c>
      <x:c r="AJ380" s="24" t="str">
        <x:f>IF($A380="","",M380*Settings!$B$15)</x:f>
      </x:c>
      <x:c r="AK380" s="24" t="str">
        <x:f>IF($A380="","",O380*Settings!$B$18)</x:f>
      </x:c>
      <x:c r="AL380" s="24" t="str">
        <x:f>IF($A380="","",P380*Settings!$B$20+Q380*Settings!$B$21+R380*Settings!$B$22+S380*Settings!$B$23)</x:f>
      </x:c>
      <x:c r="AM380" s="24" t="str">
        <x:f>IF($A380="","",T380*Settings!$B$24)</x:f>
      </x:c>
      <x:c r="AN380" s="23" t="str">
        <x:f>IF($A380="","",SUM(AI380,N380,AK380:AM380,U380))</x:f>
      </x:c>
      <x:c r="AO380" s="23" t="str">
        <x:f>IF($A380="","",SUM(AD380:AI380,N380,AK380:AM380,U380))</x:f>
      </x:c>
      <x:c r="AP380" s="24" t="str">
        <x:f>IF($A380="","",G380*F380*AB380*((13-Settings!$B$9)*(1+H380*I380)+J380)*(1+SUM(Settings!$B$11:$B$12)))</x:f>
      </x:c>
      <x:c r="AQ380" s="23" t="str">
        <x:f>IF($A380="","",SUM(AO380:AP380))</x:f>
      </x:c>
      <x:c r="AR380" s="23" t="str">
        <x:f>IF($A380="","",AQ380-X380)</x:f>
      </x:c>
      <x:c r="AS380" s="22" t="str">
        <x:f>IF($A380="","",IF(W380=0,"n.a.",V380/W380))</x:f>
      </x:c>
      <x:c r="AT380" s="26" t="str">
        <x:f>IF($A380="",IF(COUNTA(B380:Y380)&gt;0,"Missing ID",""),IF(COUNTIFS($A$9:$A$508,A380)&gt;1,"Duplicate ID",IF(OR(B380="",C380="",D380="",E380="",COUNT(F380:X380)&lt;&gt;19),"Missing / text input",IF(OR(COUNTIFS(Settings!$A$59:$A$64,B380)&lt;&gt;1,COUNTIFS(Settings!$A$29:$A$33,E380)&lt;&gt;1),"Unknown department / grade",IF(OR(F380&lt;=0,F380&gt;1,G380&lt;=0,L380&lt;=0,H380&lt;0,I380&lt;0,J380&lt;0,K380&lt;0,K380&gt;1,MIN(M380:X380)&lt;0,W380=0,V380&gt;W380,M380&gt;W380-V380,P380&gt;8,Q380&gt;4,R380&gt;12,S380&gt;12,T380&gt;1,AB380&lt;0),"Review quantity / rate",IF(OR(N380&gt;Settings!$C$17,AK380&gt;Settings!$C$19),"Review benefit ceiling","OK"))))))</x:f>
      </x:c>
    </x:row>
    <x:row r="381" ht="23" customHeight="1">
      <x:c r="A381" s="8"/>
      <x:c r="B381" s="8"/>
      <x:c r="C381" s="8"/>
      <x:c r="D381" s="8"/>
      <x:c r="E381" s="8"/>
      <x:c r="F381" s="20"/>
      <x:c r="G381" s="12"/>
      <x:c r="H381" s="21"/>
      <x:c r="I381" s="20"/>
      <x:c r="J381" s="20"/>
      <x:c r="K381" s="20"/>
      <x:c r="L381" s="12"/>
      <x:c r="M381" s="8"/>
      <x:c r="N381" s="12"/>
      <x:c r="O381" s="8"/>
      <x:c r="P381" s="8"/>
      <x:c r="Q381" s="8"/>
      <x:c r="R381" s="8"/>
      <x:c r="S381" s="8"/>
      <x:c r="T381" s="8"/>
      <x:c r="U381" s="12"/>
      <x:c r="V381" s="8"/>
      <x:c r="W381" s="8"/>
      <x:c r="X381" s="12"/>
      <x:c r="Y381" s="21"/>
      <x:c r="Z381" s="24" t="str">
        <x:f>IF($A381="","",INDEX(Settings!$C$29:$C$33,MATCH(E381,Settings!$A$29:$A$33,0)))</x:f>
      </x:c>
      <x:c r="AA381" s="22" t="str">
        <x:f>IF($A381="","",G381/Z381)</x:f>
      </x:c>
      <x:c r="AB381" s="25" t="str">
        <x:f>IF($A381="","",IF(ISNUMBER(Y381),Y381,Settings!$B$10))</x:f>
      </x:c>
      <x:c r="AC381" s="23" t="str">
        <x:f>IF($A381="","",G381*(1+AB381))</x:f>
      </x:c>
      <x:c r="AD381" s="23" t="str">
        <x:f>IF($A381="","",G381*F381*12)</x:f>
      </x:c>
      <x:c r="AE381" s="23" t="str">
        <x:f>IF($A381="","",G381*F381*J381)</x:f>
      </x:c>
      <x:c r="AF381" s="24" t="str">
        <x:f>IF($A381="","",L381*F381*K381*Settings!$B$13)</x:f>
      </x:c>
      <x:c r="AG381" s="23" t="str">
        <x:f>IF($A381="","",AD381*H381*I381)</x:f>
      </x:c>
      <x:c r="AH381" s="24" t="str">
        <x:f>IF($A381="","",SUM(AD381:AE381,AG381)*SUM(Settings!$B$11:$B$12))</x:f>
      </x:c>
      <x:c r="AI381" s="24" t="str">
        <x:f>IF($A381="","",M381*Settings!$B$16)</x:f>
      </x:c>
      <x:c r="AJ381" s="24" t="str">
        <x:f>IF($A381="","",M381*Settings!$B$15)</x:f>
      </x:c>
      <x:c r="AK381" s="24" t="str">
        <x:f>IF($A381="","",O381*Settings!$B$18)</x:f>
      </x:c>
      <x:c r="AL381" s="24" t="str">
        <x:f>IF($A381="","",P381*Settings!$B$20+Q381*Settings!$B$21+R381*Settings!$B$22+S381*Settings!$B$23)</x:f>
      </x:c>
      <x:c r="AM381" s="24" t="str">
        <x:f>IF($A381="","",T381*Settings!$B$24)</x:f>
      </x:c>
      <x:c r="AN381" s="23" t="str">
        <x:f>IF($A381="","",SUM(AI381,N381,AK381:AM381,U381))</x:f>
      </x:c>
      <x:c r="AO381" s="23" t="str">
        <x:f>IF($A381="","",SUM(AD381:AI381,N381,AK381:AM381,U381))</x:f>
      </x:c>
      <x:c r="AP381" s="24" t="str">
        <x:f>IF($A381="","",G381*F381*AB381*((13-Settings!$B$9)*(1+H381*I381)+J381)*(1+SUM(Settings!$B$11:$B$12)))</x:f>
      </x:c>
      <x:c r="AQ381" s="23" t="str">
        <x:f>IF($A381="","",SUM(AO381:AP381))</x:f>
      </x:c>
      <x:c r="AR381" s="23" t="str">
        <x:f>IF($A381="","",AQ381-X381)</x:f>
      </x:c>
      <x:c r="AS381" s="22" t="str">
        <x:f>IF($A381="","",IF(W381=0,"n.a.",V381/W381))</x:f>
      </x:c>
      <x:c r="AT381" s="26" t="str">
        <x:f>IF($A381="",IF(COUNTA(B381:Y381)&gt;0,"Missing ID",""),IF(COUNTIFS($A$9:$A$508,A381)&gt;1,"Duplicate ID",IF(OR(B381="",C381="",D381="",E381="",COUNT(F381:X381)&lt;&gt;19),"Missing / text input",IF(OR(COUNTIFS(Settings!$A$59:$A$64,B381)&lt;&gt;1,COUNTIFS(Settings!$A$29:$A$33,E381)&lt;&gt;1),"Unknown department / grade",IF(OR(F381&lt;=0,F381&gt;1,G381&lt;=0,L381&lt;=0,H381&lt;0,I381&lt;0,J381&lt;0,K381&lt;0,K381&gt;1,MIN(M381:X381)&lt;0,W381=0,V381&gt;W381,M381&gt;W381-V381,P381&gt;8,Q381&gt;4,R381&gt;12,S381&gt;12,T381&gt;1,AB381&lt;0),"Review quantity / rate",IF(OR(N381&gt;Settings!$C$17,AK381&gt;Settings!$C$19),"Review benefit ceiling","OK"))))))</x:f>
      </x:c>
    </x:row>
    <x:row r="382" ht="23" customHeight="1">
      <x:c r="A382" s="8"/>
      <x:c r="B382" s="8"/>
      <x:c r="C382" s="8"/>
      <x:c r="D382" s="8"/>
      <x:c r="E382" s="8"/>
      <x:c r="F382" s="20"/>
      <x:c r="G382" s="12"/>
      <x:c r="H382" s="21"/>
      <x:c r="I382" s="20"/>
      <x:c r="J382" s="20"/>
      <x:c r="K382" s="20"/>
      <x:c r="L382" s="12"/>
      <x:c r="M382" s="8"/>
      <x:c r="N382" s="12"/>
      <x:c r="O382" s="8"/>
      <x:c r="P382" s="8"/>
      <x:c r="Q382" s="8"/>
      <x:c r="R382" s="8"/>
      <x:c r="S382" s="8"/>
      <x:c r="T382" s="8"/>
      <x:c r="U382" s="12"/>
      <x:c r="V382" s="8"/>
      <x:c r="W382" s="8"/>
      <x:c r="X382" s="12"/>
      <x:c r="Y382" s="21"/>
      <x:c r="Z382" s="24" t="str">
        <x:f>IF($A382="","",INDEX(Settings!$C$29:$C$33,MATCH(E382,Settings!$A$29:$A$33,0)))</x:f>
      </x:c>
      <x:c r="AA382" s="22" t="str">
        <x:f>IF($A382="","",G382/Z382)</x:f>
      </x:c>
      <x:c r="AB382" s="25" t="str">
        <x:f>IF($A382="","",IF(ISNUMBER(Y382),Y382,Settings!$B$10))</x:f>
      </x:c>
      <x:c r="AC382" s="23" t="str">
        <x:f>IF($A382="","",G382*(1+AB382))</x:f>
      </x:c>
      <x:c r="AD382" s="23" t="str">
        <x:f>IF($A382="","",G382*F382*12)</x:f>
      </x:c>
      <x:c r="AE382" s="23" t="str">
        <x:f>IF($A382="","",G382*F382*J382)</x:f>
      </x:c>
      <x:c r="AF382" s="24" t="str">
        <x:f>IF($A382="","",L382*F382*K382*Settings!$B$13)</x:f>
      </x:c>
      <x:c r="AG382" s="23" t="str">
        <x:f>IF($A382="","",AD382*H382*I382)</x:f>
      </x:c>
      <x:c r="AH382" s="24" t="str">
        <x:f>IF($A382="","",SUM(AD382:AE382,AG382)*SUM(Settings!$B$11:$B$12))</x:f>
      </x:c>
      <x:c r="AI382" s="24" t="str">
        <x:f>IF($A382="","",M382*Settings!$B$16)</x:f>
      </x:c>
      <x:c r="AJ382" s="24" t="str">
        <x:f>IF($A382="","",M382*Settings!$B$15)</x:f>
      </x:c>
      <x:c r="AK382" s="24" t="str">
        <x:f>IF($A382="","",O382*Settings!$B$18)</x:f>
      </x:c>
      <x:c r="AL382" s="24" t="str">
        <x:f>IF($A382="","",P382*Settings!$B$20+Q382*Settings!$B$21+R382*Settings!$B$22+S382*Settings!$B$23)</x:f>
      </x:c>
      <x:c r="AM382" s="24" t="str">
        <x:f>IF($A382="","",T382*Settings!$B$24)</x:f>
      </x:c>
      <x:c r="AN382" s="23" t="str">
        <x:f>IF($A382="","",SUM(AI382,N382,AK382:AM382,U382))</x:f>
      </x:c>
      <x:c r="AO382" s="23" t="str">
        <x:f>IF($A382="","",SUM(AD382:AI382,N382,AK382:AM382,U382))</x:f>
      </x:c>
      <x:c r="AP382" s="24" t="str">
        <x:f>IF($A382="","",G382*F382*AB382*((13-Settings!$B$9)*(1+H382*I382)+J382)*(1+SUM(Settings!$B$11:$B$12)))</x:f>
      </x:c>
      <x:c r="AQ382" s="23" t="str">
        <x:f>IF($A382="","",SUM(AO382:AP382))</x:f>
      </x:c>
      <x:c r="AR382" s="23" t="str">
        <x:f>IF($A382="","",AQ382-X382)</x:f>
      </x:c>
      <x:c r="AS382" s="22" t="str">
        <x:f>IF($A382="","",IF(W382=0,"n.a.",V382/W382))</x:f>
      </x:c>
      <x:c r="AT382" s="26" t="str">
        <x:f>IF($A382="",IF(COUNTA(B382:Y382)&gt;0,"Missing ID",""),IF(COUNTIFS($A$9:$A$508,A382)&gt;1,"Duplicate ID",IF(OR(B382="",C382="",D382="",E382="",COUNT(F382:X382)&lt;&gt;19),"Missing / text input",IF(OR(COUNTIFS(Settings!$A$59:$A$64,B382)&lt;&gt;1,COUNTIFS(Settings!$A$29:$A$33,E382)&lt;&gt;1),"Unknown department / grade",IF(OR(F382&lt;=0,F382&gt;1,G382&lt;=0,L382&lt;=0,H382&lt;0,I382&lt;0,J382&lt;0,K382&lt;0,K382&gt;1,MIN(M382:X382)&lt;0,W382=0,V382&gt;W382,M382&gt;W382-V382,P382&gt;8,Q382&gt;4,R382&gt;12,S382&gt;12,T382&gt;1,AB382&lt;0),"Review quantity / rate",IF(OR(N382&gt;Settings!$C$17,AK382&gt;Settings!$C$19),"Review benefit ceiling","OK"))))))</x:f>
      </x:c>
    </x:row>
    <x:row r="383" ht="23" customHeight="1">
      <x:c r="A383" s="8"/>
      <x:c r="B383" s="8"/>
      <x:c r="C383" s="8"/>
      <x:c r="D383" s="8"/>
      <x:c r="E383" s="8"/>
      <x:c r="F383" s="20"/>
      <x:c r="G383" s="12"/>
      <x:c r="H383" s="21"/>
      <x:c r="I383" s="20"/>
      <x:c r="J383" s="20"/>
      <x:c r="K383" s="20"/>
      <x:c r="L383" s="12"/>
      <x:c r="M383" s="8"/>
      <x:c r="N383" s="12"/>
      <x:c r="O383" s="8"/>
      <x:c r="P383" s="8"/>
      <x:c r="Q383" s="8"/>
      <x:c r="R383" s="8"/>
      <x:c r="S383" s="8"/>
      <x:c r="T383" s="8"/>
      <x:c r="U383" s="12"/>
      <x:c r="V383" s="8"/>
      <x:c r="W383" s="8"/>
      <x:c r="X383" s="12"/>
      <x:c r="Y383" s="21"/>
      <x:c r="Z383" s="24" t="str">
        <x:f>IF($A383="","",INDEX(Settings!$C$29:$C$33,MATCH(E383,Settings!$A$29:$A$33,0)))</x:f>
      </x:c>
      <x:c r="AA383" s="22" t="str">
        <x:f>IF($A383="","",G383/Z383)</x:f>
      </x:c>
      <x:c r="AB383" s="25" t="str">
        <x:f>IF($A383="","",IF(ISNUMBER(Y383),Y383,Settings!$B$10))</x:f>
      </x:c>
      <x:c r="AC383" s="23" t="str">
        <x:f>IF($A383="","",G383*(1+AB383))</x:f>
      </x:c>
      <x:c r="AD383" s="23" t="str">
        <x:f>IF($A383="","",G383*F383*12)</x:f>
      </x:c>
      <x:c r="AE383" s="23" t="str">
        <x:f>IF($A383="","",G383*F383*J383)</x:f>
      </x:c>
      <x:c r="AF383" s="24" t="str">
        <x:f>IF($A383="","",L383*F383*K383*Settings!$B$13)</x:f>
      </x:c>
      <x:c r="AG383" s="23" t="str">
        <x:f>IF($A383="","",AD383*H383*I383)</x:f>
      </x:c>
      <x:c r="AH383" s="24" t="str">
        <x:f>IF($A383="","",SUM(AD383:AE383,AG383)*SUM(Settings!$B$11:$B$12))</x:f>
      </x:c>
      <x:c r="AI383" s="24" t="str">
        <x:f>IF($A383="","",M383*Settings!$B$16)</x:f>
      </x:c>
      <x:c r="AJ383" s="24" t="str">
        <x:f>IF($A383="","",M383*Settings!$B$15)</x:f>
      </x:c>
      <x:c r="AK383" s="24" t="str">
        <x:f>IF($A383="","",O383*Settings!$B$18)</x:f>
      </x:c>
      <x:c r="AL383" s="24" t="str">
        <x:f>IF($A383="","",P383*Settings!$B$20+Q383*Settings!$B$21+R383*Settings!$B$22+S383*Settings!$B$23)</x:f>
      </x:c>
      <x:c r="AM383" s="24" t="str">
        <x:f>IF($A383="","",T383*Settings!$B$24)</x:f>
      </x:c>
      <x:c r="AN383" s="23" t="str">
        <x:f>IF($A383="","",SUM(AI383,N383,AK383:AM383,U383))</x:f>
      </x:c>
      <x:c r="AO383" s="23" t="str">
        <x:f>IF($A383="","",SUM(AD383:AI383,N383,AK383:AM383,U383))</x:f>
      </x:c>
      <x:c r="AP383" s="24" t="str">
        <x:f>IF($A383="","",G383*F383*AB383*((13-Settings!$B$9)*(1+H383*I383)+J383)*(1+SUM(Settings!$B$11:$B$12)))</x:f>
      </x:c>
      <x:c r="AQ383" s="23" t="str">
        <x:f>IF($A383="","",SUM(AO383:AP383))</x:f>
      </x:c>
      <x:c r="AR383" s="23" t="str">
        <x:f>IF($A383="","",AQ383-X383)</x:f>
      </x:c>
      <x:c r="AS383" s="22" t="str">
        <x:f>IF($A383="","",IF(W383=0,"n.a.",V383/W383))</x:f>
      </x:c>
      <x:c r="AT383" s="26" t="str">
        <x:f>IF($A383="",IF(COUNTA(B383:Y383)&gt;0,"Missing ID",""),IF(COUNTIFS($A$9:$A$508,A383)&gt;1,"Duplicate ID",IF(OR(B383="",C383="",D383="",E383="",COUNT(F383:X383)&lt;&gt;19),"Missing / text input",IF(OR(COUNTIFS(Settings!$A$59:$A$64,B383)&lt;&gt;1,COUNTIFS(Settings!$A$29:$A$33,E383)&lt;&gt;1),"Unknown department / grade",IF(OR(F383&lt;=0,F383&gt;1,G383&lt;=0,L383&lt;=0,H383&lt;0,I383&lt;0,J383&lt;0,K383&lt;0,K383&gt;1,MIN(M383:X383)&lt;0,W383=0,V383&gt;W383,M383&gt;W383-V383,P383&gt;8,Q383&gt;4,R383&gt;12,S383&gt;12,T383&gt;1,AB383&lt;0),"Review quantity / rate",IF(OR(N383&gt;Settings!$C$17,AK383&gt;Settings!$C$19),"Review benefit ceiling","OK"))))))</x:f>
      </x:c>
    </x:row>
    <x:row r="384" ht="23" customHeight="1">
      <x:c r="A384" s="8"/>
      <x:c r="B384" s="8"/>
      <x:c r="C384" s="8"/>
      <x:c r="D384" s="8"/>
      <x:c r="E384" s="8"/>
      <x:c r="F384" s="20"/>
      <x:c r="G384" s="12"/>
      <x:c r="H384" s="21"/>
      <x:c r="I384" s="20"/>
      <x:c r="J384" s="20"/>
      <x:c r="K384" s="20"/>
      <x:c r="L384" s="12"/>
      <x:c r="M384" s="8"/>
      <x:c r="N384" s="12"/>
      <x:c r="O384" s="8"/>
      <x:c r="P384" s="8"/>
      <x:c r="Q384" s="8"/>
      <x:c r="R384" s="8"/>
      <x:c r="S384" s="8"/>
      <x:c r="T384" s="8"/>
      <x:c r="U384" s="12"/>
      <x:c r="V384" s="8"/>
      <x:c r="W384" s="8"/>
      <x:c r="X384" s="12"/>
      <x:c r="Y384" s="21"/>
      <x:c r="Z384" s="24" t="str">
        <x:f>IF($A384="","",INDEX(Settings!$C$29:$C$33,MATCH(E384,Settings!$A$29:$A$33,0)))</x:f>
      </x:c>
      <x:c r="AA384" s="22" t="str">
        <x:f>IF($A384="","",G384/Z384)</x:f>
      </x:c>
      <x:c r="AB384" s="25" t="str">
        <x:f>IF($A384="","",IF(ISNUMBER(Y384),Y384,Settings!$B$10))</x:f>
      </x:c>
      <x:c r="AC384" s="23" t="str">
        <x:f>IF($A384="","",G384*(1+AB384))</x:f>
      </x:c>
      <x:c r="AD384" s="23" t="str">
        <x:f>IF($A384="","",G384*F384*12)</x:f>
      </x:c>
      <x:c r="AE384" s="23" t="str">
        <x:f>IF($A384="","",G384*F384*J384)</x:f>
      </x:c>
      <x:c r="AF384" s="24" t="str">
        <x:f>IF($A384="","",L384*F384*K384*Settings!$B$13)</x:f>
      </x:c>
      <x:c r="AG384" s="23" t="str">
        <x:f>IF($A384="","",AD384*H384*I384)</x:f>
      </x:c>
      <x:c r="AH384" s="24" t="str">
        <x:f>IF($A384="","",SUM(AD384:AE384,AG384)*SUM(Settings!$B$11:$B$12))</x:f>
      </x:c>
      <x:c r="AI384" s="24" t="str">
        <x:f>IF($A384="","",M384*Settings!$B$16)</x:f>
      </x:c>
      <x:c r="AJ384" s="24" t="str">
        <x:f>IF($A384="","",M384*Settings!$B$15)</x:f>
      </x:c>
      <x:c r="AK384" s="24" t="str">
        <x:f>IF($A384="","",O384*Settings!$B$18)</x:f>
      </x:c>
      <x:c r="AL384" s="24" t="str">
        <x:f>IF($A384="","",P384*Settings!$B$20+Q384*Settings!$B$21+R384*Settings!$B$22+S384*Settings!$B$23)</x:f>
      </x:c>
      <x:c r="AM384" s="24" t="str">
        <x:f>IF($A384="","",T384*Settings!$B$24)</x:f>
      </x:c>
      <x:c r="AN384" s="23" t="str">
        <x:f>IF($A384="","",SUM(AI384,N384,AK384:AM384,U384))</x:f>
      </x:c>
      <x:c r="AO384" s="23" t="str">
        <x:f>IF($A384="","",SUM(AD384:AI384,N384,AK384:AM384,U384))</x:f>
      </x:c>
      <x:c r="AP384" s="24" t="str">
        <x:f>IF($A384="","",G384*F384*AB384*((13-Settings!$B$9)*(1+H384*I384)+J384)*(1+SUM(Settings!$B$11:$B$12)))</x:f>
      </x:c>
      <x:c r="AQ384" s="23" t="str">
        <x:f>IF($A384="","",SUM(AO384:AP384))</x:f>
      </x:c>
      <x:c r="AR384" s="23" t="str">
        <x:f>IF($A384="","",AQ384-X384)</x:f>
      </x:c>
      <x:c r="AS384" s="22" t="str">
        <x:f>IF($A384="","",IF(W384=0,"n.a.",V384/W384))</x:f>
      </x:c>
      <x:c r="AT384" s="26" t="str">
        <x:f>IF($A384="",IF(COUNTA(B384:Y384)&gt;0,"Missing ID",""),IF(COUNTIFS($A$9:$A$508,A384)&gt;1,"Duplicate ID",IF(OR(B384="",C384="",D384="",E384="",COUNT(F384:X384)&lt;&gt;19),"Missing / text input",IF(OR(COUNTIFS(Settings!$A$59:$A$64,B384)&lt;&gt;1,COUNTIFS(Settings!$A$29:$A$33,E384)&lt;&gt;1),"Unknown department / grade",IF(OR(F384&lt;=0,F384&gt;1,G384&lt;=0,L384&lt;=0,H384&lt;0,I384&lt;0,J384&lt;0,K384&lt;0,K384&gt;1,MIN(M384:X384)&lt;0,W384=0,V384&gt;W384,M384&gt;W384-V384,P384&gt;8,Q384&gt;4,R384&gt;12,S384&gt;12,T384&gt;1,AB384&lt;0),"Review quantity / rate",IF(OR(N384&gt;Settings!$C$17,AK384&gt;Settings!$C$19),"Review benefit ceiling","OK"))))))</x:f>
      </x:c>
    </x:row>
    <x:row r="385" ht="23" customHeight="1">
      <x:c r="A385" s="8"/>
      <x:c r="B385" s="8"/>
      <x:c r="C385" s="8"/>
      <x:c r="D385" s="8"/>
      <x:c r="E385" s="8"/>
      <x:c r="F385" s="20"/>
      <x:c r="G385" s="12"/>
      <x:c r="H385" s="21"/>
      <x:c r="I385" s="20"/>
      <x:c r="J385" s="20"/>
      <x:c r="K385" s="20"/>
      <x:c r="L385" s="12"/>
      <x:c r="M385" s="8"/>
      <x:c r="N385" s="12"/>
      <x:c r="O385" s="8"/>
      <x:c r="P385" s="8"/>
      <x:c r="Q385" s="8"/>
      <x:c r="R385" s="8"/>
      <x:c r="S385" s="8"/>
      <x:c r="T385" s="8"/>
      <x:c r="U385" s="12"/>
      <x:c r="V385" s="8"/>
      <x:c r="W385" s="8"/>
      <x:c r="X385" s="12"/>
      <x:c r="Y385" s="21"/>
      <x:c r="Z385" s="24" t="str">
        <x:f>IF($A385="","",INDEX(Settings!$C$29:$C$33,MATCH(E385,Settings!$A$29:$A$33,0)))</x:f>
      </x:c>
      <x:c r="AA385" s="22" t="str">
        <x:f>IF($A385="","",G385/Z385)</x:f>
      </x:c>
      <x:c r="AB385" s="25" t="str">
        <x:f>IF($A385="","",IF(ISNUMBER(Y385),Y385,Settings!$B$10))</x:f>
      </x:c>
      <x:c r="AC385" s="23" t="str">
        <x:f>IF($A385="","",G385*(1+AB385))</x:f>
      </x:c>
      <x:c r="AD385" s="23" t="str">
        <x:f>IF($A385="","",G385*F385*12)</x:f>
      </x:c>
      <x:c r="AE385" s="23" t="str">
        <x:f>IF($A385="","",G385*F385*J385)</x:f>
      </x:c>
      <x:c r="AF385" s="24" t="str">
        <x:f>IF($A385="","",L385*F385*K385*Settings!$B$13)</x:f>
      </x:c>
      <x:c r="AG385" s="23" t="str">
        <x:f>IF($A385="","",AD385*H385*I385)</x:f>
      </x:c>
      <x:c r="AH385" s="24" t="str">
        <x:f>IF($A385="","",SUM(AD385:AE385,AG385)*SUM(Settings!$B$11:$B$12))</x:f>
      </x:c>
      <x:c r="AI385" s="24" t="str">
        <x:f>IF($A385="","",M385*Settings!$B$16)</x:f>
      </x:c>
      <x:c r="AJ385" s="24" t="str">
        <x:f>IF($A385="","",M385*Settings!$B$15)</x:f>
      </x:c>
      <x:c r="AK385" s="24" t="str">
        <x:f>IF($A385="","",O385*Settings!$B$18)</x:f>
      </x:c>
      <x:c r="AL385" s="24" t="str">
        <x:f>IF($A385="","",P385*Settings!$B$20+Q385*Settings!$B$21+R385*Settings!$B$22+S385*Settings!$B$23)</x:f>
      </x:c>
      <x:c r="AM385" s="24" t="str">
        <x:f>IF($A385="","",T385*Settings!$B$24)</x:f>
      </x:c>
      <x:c r="AN385" s="23" t="str">
        <x:f>IF($A385="","",SUM(AI385,N385,AK385:AM385,U385))</x:f>
      </x:c>
      <x:c r="AO385" s="23" t="str">
        <x:f>IF($A385="","",SUM(AD385:AI385,N385,AK385:AM385,U385))</x:f>
      </x:c>
      <x:c r="AP385" s="24" t="str">
        <x:f>IF($A385="","",G385*F385*AB385*((13-Settings!$B$9)*(1+H385*I385)+J385)*(1+SUM(Settings!$B$11:$B$12)))</x:f>
      </x:c>
      <x:c r="AQ385" s="23" t="str">
        <x:f>IF($A385="","",SUM(AO385:AP385))</x:f>
      </x:c>
      <x:c r="AR385" s="23" t="str">
        <x:f>IF($A385="","",AQ385-X385)</x:f>
      </x:c>
      <x:c r="AS385" s="22" t="str">
        <x:f>IF($A385="","",IF(W385=0,"n.a.",V385/W385))</x:f>
      </x:c>
      <x:c r="AT385" s="26" t="str">
        <x:f>IF($A385="",IF(COUNTA(B385:Y385)&gt;0,"Missing ID",""),IF(COUNTIFS($A$9:$A$508,A385)&gt;1,"Duplicate ID",IF(OR(B385="",C385="",D385="",E385="",COUNT(F385:X385)&lt;&gt;19),"Missing / text input",IF(OR(COUNTIFS(Settings!$A$59:$A$64,B385)&lt;&gt;1,COUNTIFS(Settings!$A$29:$A$33,E385)&lt;&gt;1),"Unknown department / grade",IF(OR(F385&lt;=0,F385&gt;1,G385&lt;=0,L385&lt;=0,H385&lt;0,I385&lt;0,J385&lt;0,K385&lt;0,K385&gt;1,MIN(M385:X385)&lt;0,W385=0,V385&gt;W385,M385&gt;W385-V385,P385&gt;8,Q385&gt;4,R385&gt;12,S385&gt;12,T385&gt;1,AB385&lt;0),"Review quantity / rate",IF(OR(N385&gt;Settings!$C$17,AK385&gt;Settings!$C$19),"Review benefit ceiling","OK"))))))</x:f>
      </x:c>
    </x:row>
    <x:row r="386" ht="23" customHeight="1">
      <x:c r="A386" s="8"/>
      <x:c r="B386" s="8"/>
      <x:c r="C386" s="8"/>
      <x:c r="D386" s="8"/>
      <x:c r="E386" s="8"/>
      <x:c r="F386" s="20"/>
      <x:c r="G386" s="12"/>
      <x:c r="H386" s="21"/>
      <x:c r="I386" s="20"/>
      <x:c r="J386" s="20"/>
      <x:c r="K386" s="20"/>
      <x:c r="L386" s="12"/>
      <x:c r="M386" s="8"/>
      <x:c r="N386" s="12"/>
      <x:c r="O386" s="8"/>
      <x:c r="P386" s="8"/>
      <x:c r="Q386" s="8"/>
      <x:c r="R386" s="8"/>
      <x:c r="S386" s="8"/>
      <x:c r="T386" s="8"/>
      <x:c r="U386" s="12"/>
      <x:c r="V386" s="8"/>
      <x:c r="W386" s="8"/>
      <x:c r="X386" s="12"/>
      <x:c r="Y386" s="21"/>
      <x:c r="Z386" s="24" t="str">
        <x:f>IF($A386="","",INDEX(Settings!$C$29:$C$33,MATCH(E386,Settings!$A$29:$A$33,0)))</x:f>
      </x:c>
      <x:c r="AA386" s="22" t="str">
        <x:f>IF($A386="","",G386/Z386)</x:f>
      </x:c>
      <x:c r="AB386" s="25" t="str">
        <x:f>IF($A386="","",IF(ISNUMBER(Y386),Y386,Settings!$B$10))</x:f>
      </x:c>
      <x:c r="AC386" s="23" t="str">
        <x:f>IF($A386="","",G386*(1+AB386))</x:f>
      </x:c>
      <x:c r="AD386" s="23" t="str">
        <x:f>IF($A386="","",G386*F386*12)</x:f>
      </x:c>
      <x:c r="AE386" s="23" t="str">
        <x:f>IF($A386="","",G386*F386*J386)</x:f>
      </x:c>
      <x:c r="AF386" s="24" t="str">
        <x:f>IF($A386="","",L386*F386*K386*Settings!$B$13)</x:f>
      </x:c>
      <x:c r="AG386" s="23" t="str">
        <x:f>IF($A386="","",AD386*H386*I386)</x:f>
      </x:c>
      <x:c r="AH386" s="24" t="str">
        <x:f>IF($A386="","",SUM(AD386:AE386,AG386)*SUM(Settings!$B$11:$B$12))</x:f>
      </x:c>
      <x:c r="AI386" s="24" t="str">
        <x:f>IF($A386="","",M386*Settings!$B$16)</x:f>
      </x:c>
      <x:c r="AJ386" s="24" t="str">
        <x:f>IF($A386="","",M386*Settings!$B$15)</x:f>
      </x:c>
      <x:c r="AK386" s="24" t="str">
        <x:f>IF($A386="","",O386*Settings!$B$18)</x:f>
      </x:c>
      <x:c r="AL386" s="24" t="str">
        <x:f>IF($A386="","",P386*Settings!$B$20+Q386*Settings!$B$21+R386*Settings!$B$22+S386*Settings!$B$23)</x:f>
      </x:c>
      <x:c r="AM386" s="24" t="str">
        <x:f>IF($A386="","",T386*Settings!$B$24)</x:f>
      </x:c>
      <x:c r="AN386" s="23" t="str">
        <x:f>IF($A386="","",SUM(AI386,N386,AK386:AM386,U386))</x:f>
      </x:c>
      <x:c r="AO386" s="23" t="str">
        <x:f>IF($A386="","",SUM(AD386:AI386,N386,AK386:AM386,U386))</x:f>
      </x:c>
      <x:c r="AP386" s="24" t="str">
        <x:f>IF($A386="","",G386*F386*AB386*((13-Settings!$B$9)*(1+H386*I386)+J386)*(1+SUM(Settings!$B$11:$B$12)))</x:f>
      </x:c>
      <x:c r="AQ386" s="23" t="str">
        <x:f>IF($A386="","",SUM(AO386:AP386))</x:f>
      </x:c>
      <x:c r="AR386" s="23" t="str">
        <x:f>IF($A386="","",AQ386-X386)</x:f>
      </x:c>
      <x:c r="AS386" s="22" t="str">
        <x:f>IF($A386="","",IF(W386=0,"n.a.",V386/W386))</x:f>
      </x:c>
      <x:c r="AT386" s="26" t="str">
        <x:f>IF($A386="",IF(COUNTA(B386:Y386)&gt;0,"Missing ID",""),IF(COUNTIFS($A$9:$A$508,A386)&gt;1,"Duplicate ID",IF(OR(B386="",C386="",D386="",E386="",COUNT(F386:X386)&lt;&gt;19),"Missing / text input",IF(OR(COUNTIFS(Settings!$A$59:$A$64,B386)&lt;&gt;1,COUNTIFS(Settings!$A$29:$A$33,E386)&lt;&gt;1),"Unknown department / grade",IF(OR(F386&lt;=0,F386&gt;1,G386&lt;=0,L386&lt;=0,H386&lt;0,I386&lt;0,J386&lt;0,K386&lt;0,K386&gt;1,MIN(M386:X386)&lt;0,W386=0,V386&gt;W386,M386&gt;W386-V386,P386&gt;8,Q386&gt;4,R386&gt;12,S386&gt;12,T386&gt;1,AB386&lt;0),"Review quantity / rate",IF(OR(N386&gt;Settings!$C$17,AK386&gt;Settings!$C$19),"Review benefit ceiling","OK"))))))</x:f>
      </x:c>
    </x:row>
    <x:row r="387" ht="23" customHeight="1">
      <x:c r="A387" s="8"/>
      <x:c r="B387" s="8"/>
      <x:c r="C387" s="8"/>
      <x:c r="D387" s="8"/>
      <x:c r="E387" s="8"/>
      <x:c r="F387" s="20"/>
      <x:c r="G387" s="12"/>
      <x:c r="H387" s="21"/>
      <x:c r="I387" s="20"/>
      <x:c r="J387" s="20"/>
      <x:c r="K387" s="20"/>
      <x:c r="L387" s="12"/>
      <x:c r="M387" s="8"/>
      <x:c r="N387" s="12"/>
      <x:c r="O387" s="8"/>
      <x:c r="P387" s="8"/>
      <x:c r="Q387" s="8"/>
      <x:c r="R387" s="8"/>
      <x:c r="S387" s="8"/>
      <x:c r="T387" s="8"/>
      <x:c r="U387" s="12"/>
      <x:c r="V387" s="8"/>
      <x:c r="W387" s="8"/>
      <x:c r="X387" s="12"/>
      <x:c r="Y387" s="21"/>
      <x:c r="Z387" s="24" t="str">
        <x:f>IF($A387="","",INDEX(Settings!$C$29:$C$33,MATCH(E387,Settings!$A$29:$A$33,0)))</x:f>
      </x:c>
      <x:c r="AA387" s="22" t="str">
        <x:f>IF($A387="","",G387/Z387)</x:f>
      </x:c>
      <x:c r="AB387" s="25" t="str">
        <x:f>IF($A387="","",IF(ISNUMBER(Y387),Y387,Settings!$B$10))</x:f>
      </x:c>
      <x:c r="AC387" s="23" t="str">
        <x:f>IF($A387="","",G387*(1+AB387))</x:f>
      </x:c>
      <x:c r="AD387" s="23" t="str">
        <x:f>IF($A387="","",G387*F387*12)</x:f>
      </x:c>
      <x:c r="AE387" s="23" t="str">
        <x:f>IF($A387="","",G387*F387*J387)</x:f>
      </x:c>
      <x:c r="AF387" s="24" t="str">
        <x:f>IF($A387="","",L387*F387*K387*Settings!$B$13)</x:f>
      </x:c>
      <x:c r="AG387" s="23" t="str">
        <x:f>IF($A387="","",AD387*H387*I387)</x:f>
      </x:c>
      <x:c r="AH387" s="24" t="str">
        <x:f>IF($A387="","",SUM(AD387:AE387,AG387)*SUM(Settings!$B$11:$B$12))</x:f>
      </x:c>
      <x:c r="AI387" s="24" t="str">
        <x:f>IF($A387="","",M387*Settings!$B$16)</x:f>
      </x:c>
      <x:c r="AJ387" s="24" t="str">
        <x:f>IF($A387="","",M387*Settings!$B$15)</x:f>
      </x:c>
      <x:c r="AK387" s="24" t="str">
        <x:f>IF($A387="","",O387*Settings!$B$18)</x:f>
      </x:c>
      <x:c r="AL387" s="24" t="str">
        <x:f>IF($A387="","",P387*Settings!$B$20+Q387*Settings!$B$21+R387*Settings!$B$22+S387*Settings!$B$23)</x:f>
      </x:c>
      <x:c r="AM387" s="24" t="str">
        <x:f>IF($A387="","",T387*Settings!$B$24)</x:f>
      </x:c>
      <x:c r="AN387" s="23" t="str">
        <x:f>IF($A387="","",SUM(AI387,N387,AK387:AM387,U387))</x:f>
      </x:c>
      <x:c r="AO387" s="23" t="str">
        <x:f>IF($A387="","",SUM(AD387:AI387,N387,AK387:AM387,U387))</x:f>
      </x:c>
      <x:c r="AP387" s="24" t="str">
        <x:f>IF($A387="","",G387*F387*AB387*((13-Settings!$B$9)*(1+H387*I387)+J387)*(1+SUM(Settings!$B$11:$B$12)))</x:f>
      </x:c>
      <x:c r="AQ387" s="23" t="str">
        <x:f>IF($A387="","",SUM(AO387:AP387))</x:f>
      </x:c>
      <x:c r="AR387" s="23" t="str">
        <x:f>IF($A387="","",AQ387-X387)</x:f>
      </x:c>
      <x:c r="AS387" s="22" t="str">
        <x:f>IF($A387="","",IF(W387=0,"n.a.",V387/W387))</x:f>
      </x:c>
      <x:c r="AT387" s="26" t="str">
        <x:f>IF($A387="",IF(COUNTA(B387:Y387)&gt;0,"Missing ID",""),IF(COUNTIFS($A$9:$A$508,A387)&gt;1,"Duplicate ID",IF(OR(B387="",C387="",D387="",E387="",COUNT(F387:X387)&lt;&gt;19),"Missing / text input",IF(OR(COUNTIFS(Settings!$A$59:$A$64,B387)&lt;&gt;1,COUNTIFS(Settings!$A$29:$A$33,E387)&lt;&gt;1),"Unknown department / grade",IF(OR(F387&lt;=0,F387&gt;1,G387&lt;=0,L387&lt;=0,H387&lt;0,I387&lt;0,J387&lt;0,K387&lt;0,K387&gt;1,MIN(M387:X387)&lt;0,W387=0,V387&gt;W387,M387&gt;W387-V387,P387&gt;8,Q387&gt;4,R387&gt;12,S387&gt;12,T387&gt;1,AB387&lt;0),"Review quantity / rate",IF(OR(N387&gt;Settings!$C$17,AK387&gt;Settings!$C$19),"Review benefit ceiling","OK"))))))</x:f>
      </x:c>
    </x:row>
    <x:row r="388" ht="23" customHeight="1">
      <x:c r="A388" s="8"/>
      <x:c r="B388" s="8"/>
      <x:c r="C388" s="8"/>
      <x:c r="D388" s="8"/>
      <x:c r="E388" s="8"/>
      <x:c r="F388" s="20"/>
      <x:c r="G388" s="12"/>
      <x:c r="H388" s="21"/>
      <x:c r="I388" s="20"/>
      <x:c r="J388" s="20"/>
      <x:c r="K388" s="20"/>
      <x:c r="L388" s="12"/>
      <x:c r="M388" s="8"/>
      <x:c r="N388" s="12"/>
      <x:c r="O388" s="8"/>
      <x:c r="P388" s="8"/>
      <x:c r="Q388" s="8"/>
      <x:c r="R388" s="8"/>
      <x:c r="S388" s="8"/>
      <x:c r="T388" s="8"/>
      <x:c r="U388" s="12"/>
      <x:c r="V388" s="8"/>
      <x:c r="W388" s="8"/>
      <x:c r="X388" s="12"/>
      <x:c r="Y388" s="21"/>
      <x:c r="Z388" s="24" t="str">
        <x:f>IF($A388="","",INDEX(Settings!$C$29:$C$33,MATCH(E388,Settings!$A$29:$A$33,0)))</x:f>
      </x:c>
      <x:c r="AA388" s="22" t="str">
        <x:f>IF($A388="","",G388/Z388)</x:f>
      </x:c>
      <x:c r="AB388" s="25" t="str">
        <x:f>IF($A388="","",IF(ISNUMBER(Y388),Y388,Settings!$B$10))</x:f>
      </x:c>
      <x:c r="AC388" s="23" t="str">
        <x:f>IF($A388="","",G388*(1+AB388))</x:f>
      </x:c>
      <x:c r="AD388" s="23" t="str">
        <x:f>IF($A388="","",G388*F388*12)</x:f>
      </x:c>
      <x:c r="AE388" s="23" t="str">
        <x:f>IF($A388="","",G388*F388*J388)</x:f>
      </x:c>
      <x:c r="AF388" s="24" t="str">
        <x:f>IF($A388="","",L388*F388*K388*Settings!$B$13)</x:f>
      </x:c>
      <x:c r="AG388" s="23" t="str">
        <x:f>IF($A388="","",AD388*H388*I388)</x:f>
      </x:c>
      <x:c r="AH388" s="24" t="str">
        <x:f>IF($A388="","",SUM(AD388:AE388,AG388)*SUM(Settings!$B$11:$B$12))</x:f>
      </x:c>
      <x:c r="AI388" s="24" t="str">
        <x:f>IF($A388="","",M388*Settings!$B$16)</x:f>
      </x:c>
      <x:c r="AJ388" s="24" t="str">
        <x:f>IF($A388="","",M388*Settings!$B$15)</x:f>
      </x:c>
      <x:c r="AK388" s="24" t="str">
        <x:f>IF($A388="","",O388*Settings!$B$18)</x:f>
      </x:c>
      <x:c r="AL388" s="24" t="str">
        <x:f>IF($A388="","",P388*Settings!$B$20+Q388*Settings!$B$21+R388*Settings!$B$22+S388*Settings!$B$23)</x:f>
      </x:c>
      <x:c r="AM388" s="24" t="str">
        <x:f>IF($A388="","",T388*Settings!$B$24)</x:f>
      </x:c>
      <x:c r="AN388" s="23" t="str">
        <x:f>IF($A388="","",SUM(AI388,N388,AK388:AM388,U388))</x:f>
      </x:c>
      <x:c r="AO388" s="23" t="str">
        <x:f>IF($A388="","",SUM(AD388:AI388,N388,AK388:AM388,U388))</x:f>
      </x:c>
      <x:c r="AP388" s="24" t="str">
        <x:f>IF($A388="","",G388*F388*AB388*((13-Settings!$B$9)*(1+H388*I388)+J388)*(1+SUM(Settings!$B$11:$B$12)))</x:f>
      </x:c>
      <x:c r="AQ388" s="23" t="str">
        <x:f>IF($A388="","",SUM(AO388:AP388))</x:f>
      </x:c>
      <x:c r="AR388" s="23" t="str">
        <x:f>IF($A388="","",AQ388-X388)</x:f>
      </x:c>
      <x:c r="AS388" s="22" t="str">
        <x:f>IF($A388="","",IF(W388=0,"n.a.",V388/W388))</x:f>
      </x:c>
      <x:c r="AT388" s="26" t="str">
        <x:f>IF($A388="",IF(COUNTA(B388:Y388)&gt;0,"Missing ID",""),IF(COUNTIFS($A$9:$A$508,A388)&gt;1,"Duplicate ID",IF(OR(B388="",C388="",D388="",E388="",COUNT(F388:X388)&lt;&gt;19),"Missing / text input",IF(OR(COUNTIFS(Settings!$A$59:$A$64,B388)&lt;&gt;1,COUNTIFS(Settings!$A$29:$A$33,E388)&lt;&gt;1),"Unknown department / grade",IF(OR(F388&lt;=0,F388&gt;1,G388&lt;=0,L388&lt;=0,H388&lt;0,I388&lt;0,J388&lt;0,K388&lt;0,K388&gt;1,MIN(M388:X388)&lt;0,W388=0,V388&gt;W388,M388&gt;W388-V388,P388&gt;8,Q388&gt;4,R388&gt;12,S388&gt;12,T388&gt;1,AB388&lt;0),"Review quantity / rate",IF(OR(N388&gt;Settings!$C$17,AK388&gt;Settings!$C$19),"Review benefit ceiling","OK"))))))</x:f>
      </x:c>
    </x:row>
    <x:row r="389" ht="23" customHeight="1">
      <x:c r="A389" s="8"/>
      <x:c r="B389" s="8"/>
      <x:c r="C389" s="8"/>
      <x:c r="D389" s="8"/>
      <x:c r="E389" s="8"/>
      <x:c r="F389" s="20"/>
      <x:c r="G389" s="12"/>
      <x:c r="H389" s="21"/>
      <x:c r="I389" s="20"/>
      <x:c r="J389" s="20"/>
      <x:c r="K389" s="20"/>
      <x:c r="L389" s="12"/>
      <x:c r="M389" s="8"/>
      <x:c r="N389" s="12"/>
      <x:c r="O389" s="8"/>
      <x:c r="P389" s="8"/>
      <x:c r="Q389" s="8"/>
      <x:c r="R389" s="8"/>
      <x:c r="S389" s="8"/>
      <x:c r="T389" s="8"/>
      <x:c r="U389" s="12"/>
      <x:c r="V389" s="8"/>
      <x:c r="W389" s="8"/>
      <x:c r="X389" s="12"/>
      <x:c r="Y389" s="21"/>
      <x:c r="Z389" s="24" t="str">
        <x:f>IF($A389="","",INDEX(Settings!$C$29:$C$33,MATCH(E389,Settings!$A$29:$A$33,0)))</x:f>
      </x:c>
      <x:c r="AA389" s="22" t="str">
        <x:f>IF($A389="","",G389/Z389)</x:f>
      </x:c>
      <x:c r="AB389" s="25" t="str">
        <x:f>IF($A389="","",IF(ISNUMBER(Y389),Y389,Settings!$B$10))</x:f>
      </x:c>
      <x:c r="AC389" s="23" t="str">
        <x:f>IF($A389="","",G389*(1+AB389))</x:f>
      </x:c>
      <x:c r="AD389" s="23" t="str">
        <x:f>IF($A389="","",G389*F389*12)</x:f>
      </x:c>
      <x:c r="AE389" s="23" t="str">
        <x:f>IF($A389="","",G389*F389*J389)</x:f>
      </x:c>
      <x:c r="AF389" s="24" t="str">
        <x:f>IF($A389="","",L389*F389*K389*Settings!$B$13)</x:f>
      </x:c>
      <x:c r="AG389" s="23" t="str">
        <x:f>IF($A389="","",AD389*H389*I389)</x:f>
      </x:c>
      <x:c r="AH389" s="24" t="str">
        <x:f>IF($A389="","",SUM(AD389:AE389,AG389)*SUM(Settings!$B$11:$B$12))</x:f>
      </x:c>
      <x:c r="AI389" s="24" t="str">
        <x:f>IF($A389="","",M389*Settings!$B$16)</x:f>
      </x:c>
      <x:c r="AJ389" s="24" t="str">
        <x:f>IF($A389="","",M389*Settings!$B$15)</x:f>
      </x:c>
      <x:c r="AK389" s="24" t="str">
        <x:f>IF($A389="","",O389*Settings!$B$18)</x:f>
      </x:c>
      <x:c r="AL389" s="24" t="str">
        <x:f>IF($A389="","",P389*Settings!$B$20+Q389*Settings!$B$21+R389*Settings!$B$22+S389*Settings!$B$23)</x:f>
      </x:c>
      <x:c r="AM389" s="24" t="str">
        <x:f>IF($A389="","",T389*Settings!$B$24)</x:f>
      </x:c>
      <x:c r="AN389" s="23" t="str">
        <x:f>IF($A389="","",SUM(AI389,N389,AK389:AM389,U389))</x:f>
      </x:c>
      <x:c r="AO389" s="23" t="str">
        <x:f>IF($A389="","",SUM(AD389:AI389,N389,AK389:AM389,U389))</x:f>
      </x:c>
      <x:c r="AP389" s="24" t="str">
        <x:f>IF($A389="","",G389*F389*AB389*((13-Settings!$B$9)*(1+H389*I389)+J389)*(1+SUM(Settings!$B$11:$B$12)))</x:f>
      </x:c>
      <x:c r="AQ389" s="23" t="str">
        <x:f>IF($A389="","",SUM(AO389:AP389))</x:f>
      </x:c>
      <x:c r="AR389" s="23" t="str">
        <x:f>IF($A389="","",AQ389-X389)</x:f>
      </x:c>
      <x:c r="AS389" s="22" t="str">
        <x:f>IF($A389="","",IF(W389=0,"n.a.",V389/W389))</x:f>
      </x:c>
      <x:c r="AT389" s="26" t="str">
        <x:f>IF($A389="",IF(COUNTA(B389:Y389)&gt;0,"Missing ID",""),IF(COUNTIFS($A$9:$A$508,A389)&gt;1,"Duplicate ID",IF(OR(B389="",C389="",D389="",E389="",COUNT(F389:X389)&lt;&gt;19),"Missing / text input",IF(OR(COUNTIFS(Settings!$A$59:$A$64,B389)&lt;&gt;1,COUNTIFS(Settings!$A$29:$A$33,E389)&lt;&gt;1),"Unknown department / grade",IF(OR(F389&lt;=0,F389&gt;1,G389&lt;=0,L389&lt;=0,H389&lt;0,I389&lt;0,J389&lt;0,K389&lt;0,K389&gt;1,MIN(M389:X389)&lt;0,W389=0,V389&gt;W389,M389&gt;W389-V389,P389&gt;8,Q389&gt;4,R389&gt;12,S389&gt;12,T389&gt;1,AB389&lt;0),"Review quantity / rate",IF(OR(N389&gt;Settings!$C$17,AK389&gt;Settings!$C$19),"Review benefit ceiling","OK"))))))</x:f>
      </x:c>
    </x:row>
    <x:row r="390" ht="23" customHeight="1">
      <x:c r="A390" s="8"/>
      <x:c r="B390" s="8"/>
      <x:c r="C390" s="8"/>
      <x:c r="D390" s="8"/>
      <x:c r="E390" s="8"/>
      <x:c r="F390" s="20"/>
      <x:c r="G390" s="12"/>
      <x:c r="H390" s="21"/>
      <x:c r="I390" s="20"/>
      <x:c r="J390" s="20"/>
      <x:c r="K390" s="20"/>
      <x:c r="L390" s="12"/>
      <x:c r="M390" s="8"/>
      <x:c r="N390" s="12"/>
      <x:c r="O390" s="8"/>
      <x:c r="P390" s="8"/>
      <x:c r="Q390" s="8"/>
      <x:c r="R390" s="8"/>
      <x:c r="S390" s="8"/>
      <x:c r="T390" s="8"/>
      <x:c r="U390" s="12"/>
      <x:c r="V390" s="8"/>
      <x:c r="W390" s="8"/>
      <x:c r="X390" s="12"/>
      <x:c r="Y390" s="21"/>
      <x:c r="Z390" s="24" t="str">
        <x:f>IF($A390="","",INDEX(Settings!$C$29:$C$33,MATCH(E390,Settings!$A$29:$A$33,0)))</x:f>
      </x:c>
      <x:c r="AA390" s="22" t="str">
        <x:f>IF($A390="","",G390/Z390)</x:f>
      </x:c>
      <x:c r="AB390" s="25" t="str">
        <x:f>IF($A390="","",IF(ISNUMBER(Y390),Y390,Settings!$B$10))</x:f>
      </x:c>
      <x:c r="AC390" s="23" t="str">
        <x:f>IF($A390="","",G390*(1+AB390))</x:f>
      </x:c>
      <x:c r="AD390" s="23" t="str">
        <x:f>IF($A390="","",G390*F390*12)</x:f>
      </x:c>
      <x:c r="AE390" s="23" t="str">
        <x:f>IF($A390="","",G390*F390*J390)</x:f>
      </x:c>
      <x:c r="AF390" s="24" t="str">
        <x:f>IF($A390="","",L390*F390*K390*Settings!$B$13)</x:f>
      </x:c>
      <x:c r="AG390" s="23" t="str">
        <x:f>IF($A390="","",AD390*H390*I390)</x:f>
      </x:c>
      <x:c r="AH390" s="24" t="str">
        <x:f>IF($A390="","",SUM(AD390:AE390,AG390)*SUM(Settings!$B$11:$B$12))</x:f>
      </x:c>
      <x:c r="AI390" s="24" t="str">
        <x:f>IF($A390="","",M390*Settings!$B$16)</x:f>
      </x:c>
      <x:c r="AJ390" s="24" t="str">
        <x:f>IF($A390="","",M390*Settings!$B$15)</x:f>
      </x:c>
      <x:c r="AK390" s="24" t="str">
        <x:f>IF($A390="","",O390*Settings!$B$18)</x:f>
      </x:c>
      <x:c r="AL390" s="24" t="str">
        <x:f>IF($A390="","",P390*Settings!$B$20+Q390*Settings!$B$21+R390*Settings!$B$22+S390*Settings!$B$23)</x:f>
      </x:c>
      <x:c r="AM390" s="24" t="str">
        <x:f>IF($A390="","",T390*Settings!$B$24)</x:f>
      </x:c>
      <x:c r="AN390" s="23" t="str">
        <x:f>IF($A390="","",SUM(AI390,N390,AK390:AM390,U390))</x:f>
      </x:c>
      <x:c r="AO390" s="23" t="str">
        <x:f>IF($A390="","",SUM(AD390:AI390,N390,AK390:AM390,U390))</x:f>
      </x:c>
      <x:c r="AP390" s="24" t="str">
        <x:f>IF($A390="","",G390*F390*AB390*((13-Settings!$B$9)*(1+H390*I390)+J390)*(1+SUM(Settings!$B$11:$B$12)))</x:f>
      </x:c>
      <x:c r="AQ390" s="23" t="str">
        <x:f>IF($A390="","",SUM(AO390:AP390))</x:f>
      </x:c>
      <x:c r="AR390" s="23" t="str">
        <x:f>IF($A390="","",AQ390-X390)</x:f>
      </x:c>
      <x:c r="AS390" s="22" t="str">
        <x:f>IF($A390="","",IF(W390=0,"n.a.",V390/W390))</x:f>
      </x:c>
      <x:c r="AT390" s="26" t="str">
        <x:f>IF($A390="",IF(COUNTA(B390:Y390)&gt;0,"Missing ID",""),IF(COUNTIFS($A$9:$A$508,A390)&gt;1,"Duplicate ID",IF(OR(B390="",C390="",D390="",E390="",COUNT(F390:X390)&lt;&gt;19),"Missing / text input",IF(OR(COUNTIFS(Settings!$A$59:$A$64,B390)&lt;&gt;1,COUNTIFS(Settings!$A$29:$A$33,E390)&lt;&gt;1),"Unknown department / grade",IF(OR(F390&lt;=0,F390&gt;1,G390&lt;=0,L390&lt;=0,H390&lt;0,I390&lt;0,J390&lt;0,K390&lt;0,K390&gt;1,MIN(M390:X390)&lt;0,W390=0,V390&gt;W390,M390&gt;W390-V390,P390&gt;8,Q390&gt;4,R390&gt;12,S390&gt;12,T390&gt;1,AB390&lt;0),"Review quantity / rate",IF(OR(N390&gt;Settings!$C$17,AK390&gt;Settings!$C$19),"Review benefit ceiling","OK"))))))</x:f>
      </x:c>
    </x:row>
    <x:row r="391" ht="23" customHeight="1">
      <x:c r="A391" s="8"/>
      <x:c r="B391" s="8"/>
      <x:c r="C391" s="8"/>
      <x:c r="D391" s="8"/>
      <x:c r="E391" s="8"/>
      <x:c r="F391" s="20"/>
      <x:c r="G391" s="12"/>
      <x:c r="H391" s="21"/>
      <x:c r="I391" s="20"/>
      <x:c r="J391" s="20"/>
      <x:c r="K391" s="20"/>
      <x:c r="L391" s="12"/>
      <x:c r="M391" s="8"/>
      <x:c r="N391" s="12"/>
      <x:c r="O391" s="8"/>
      <x:c r="P391" s="8"/>
      <x:c r="Q391" s="8"/>
      <x:c r="R391" s="8"/>
      <x:c r="S391" s="8"/>
      <x:c r="T391" s="8"/>
      <x:c r="U391" s="12"/>
      <x:c r="V391" s="8"/>
      <x:c r="W391" s="8"/>
      <x:c r="X391" s="12"/>
      <x:c r="Y391" s="21"/>
      <x:c r="Z391" s="24" t="str">
        <x:f>IF($A391="","",INDEX(Settings!$C$29:$C$33,MATCH(E391,Settings!$A$29:$A$33,0)))</x:f>
      </x:c>
      <x:c r="AA391" s="22" t="str">
        <x:f>IF($A391="","",G391/Z391)</x:f>
      </x:c>
      <x:c r="AB391" s="25" t="str">
        <x:f>IF($A391="","",IF(ISNUMBER(Y391),Y391,Settings!$B$10))</x:f>
      </x:c>
      <x:c r="AC391" s="23" t="str">
        <x:f>IF($A391="","",G391*(1+AB391))</x:f>
      </x:c>
      <x:c r="AD391" s="23" t="str">
        <x:f>IF($A391="","",G391*F391*12)</x:f>
      </x:c>
      <x:c r="AE391" s="23" t="str">
        <x:f>IF($A391="","",G391*F391*J391)</x:f>
      </x:c>
      <x:c r="AF391" s="24" t="str">
        <x:f>IF($A391="","",L391*F391*K391*Settings!$B$13)</x:f>
      </x:c>
      <x:c r="AG391" s="23" t="str">
        <x:f>IF($A391="","",AD391*H391*I391)</x:f>
      </x:c>
      <x:c r="AH391" s="24" t="str">
        <x:f>IF($A391="","",SUM(AD391:AE391,AG391)*SUM(Settings!$B$11:$B$12))</x:f>
      </x:c>
      <x:c r="AI391" s="24" t="str">
        <x:f>IF($A391="","",M391*Settings!$B$16)</x:f>
      </x:c>
      <x:c r="AJ391" s="24" t="str">
        <x:f>IF($A391="","",M391*Settings!$B$15)</x:f>
      </x:c>
      <x:c r="AK391" s="24" t="str">
        <x:f>IF($A391="","",O391*Settings!$B$18)</x:f>
      </x:c>
      <x:c r="AL391" s="24" t="str">
        <x:f>IF($A391="","",P391*Settings!$B$20+Q391*Settings!$B$21+R391*Settings!$B$22+S391*Settings!$B$23)</x:f>
      </x:c>
      <x:c r="AM391" s="24" t="str">
        <x:f>IF($A391="","",T391*Settings!$B$24)</x:f>
      </x:c>
      <x:c r="AN391" s="23" t="str">
        <x:f>IF($A391="","",SUM(AI391,N391,AK391:AM391,U391))</x:f>
      </x:c>
      <x:c r="AO391" s="23" t="str">
        <x:f>IF($A391="","",SUM(AD391:AI391,N391,AK391:AM391,U391))</x:f>
      </x:c>
      <x:c r="AP391" s="24" t="str">
        <x:f>IF($A391="","",G391*F391*AB391*((13-Settings!$B$9)*(1+H391*I391)+J391)*(1+SUM(Settings!$B$11:$B$12)))</x:f>
      </x:c>
      <x:c r="AQ391" s="23" t="str">
        <x:f>IF($A391="","",SUM(AO391:AP391))</x:f>
      </x:c>
      <x:c r="AR391" s="23" t="str">
        <x:f>IF($A391="","",AQ391-X391)</x:f>
      </x:c>
      <x:c r="AS391" s="22" t="str">
        <x:f>IF($A391="","",IF(W391=0,"n.a.",V391/W391))</x:f>
      </x:c>
      <x:c r="AT391" s="26" t="str">
        <x:f>IF($A391="",IF(COUNTA(B391:Y391)&gt;0,"Missing ID",""),IF(COUNTIFS($A$9:$A$508,A391)&gt;1,"Duplicate ID",IF(OR(B391="",C391="",D391="",E391="",COUNT(F391:X391)&lt;&gt;19),"Missing / text input",IF(OR(COUNTIFS(Settings!$A$59:$A$64,B391)&lt;&gt;1,COUNTIFS(Settings!$A$29:$A$33,E391)&lt;&gt;1),"Unknown department / grade",IF(OR(F391&lt;=0,F391&gt;1,G391&lt;=0,L391&lt;=0,H391&lt;0,I391&lt;0,J391&lt;0,K391&lt;0,K391&gt;1,MIN(M391:X391)&lt;0,W391=0,V391&gt;W391,M391&gt;W391-V391,P391&gt;8,Q391&gt;4,R391&gt;12,S391&gt;12,T391&gt;1,AB391&lt;0),"Review quantity / rate",IF(OR(N391&gt;Settings!$C$17,AK391&gt;Settings!$C$19),"Review benefit ceiling","OK"))))))</x:f>
      </x:c>
    </x:row>
    <x:row r="392" ht="23" customHeight="1">
      <x:c r="A392" s="8"/>
      <x:c r="B392" s="8"/>
      <x:c r="C392" s="8"/>
      <x:c r="D392" s="8"/>
      <x:c r="E392" s="8"/>
      <x:c r="F392" s="20"/>
      <x:c r="G392" s="12"/>
      <x:c r="H392" s="21"/>
      <x:c r="I392" s="20"/>
      <x:c r="J392" s="20"/>
      <x:c r="K392" s="20"/>
      <x:c r="L392" s="12"/>
      <x:c r="M392" s="8"/>
      <x:c r="N392" s="12"/>
      <x:c r="O392" s="8"/>
      <x:c r="P392" s="8"/>
      <x:c r="Q392" s="8"/>
      <x:c r="R392" s="8"/>
      <x:c r="S392" s="8"/>
      <x:c r="T392" s="8"/>
      <x:c r="U392" s="12"/>
      <x:c r="V392" s="8"/>
      <x:c r="W392" s="8"/>
      <x:c r="X392" s="12"/>
      <x:c r="Y392" s="21"/>
      <x:c r="Z392" s="24" t="str">
        <x:f>IF($A392="","",INDEX(Settings!$C$29:$C$33,MATCH(E392,Settings!$A$29:$A$33,0)))</x:f>
      </x:c>
      <x:c r="AA392" s="22" t="str">
        <x:f>IF($A392="","",G392/Z392)</x:f>
      </x:c>
      <x:c r="AB392" s="25" t="str">
        <x:f>IF($A392="","",IF(ISNUMBER(Y392),Y392,Settings!$B$10))</x:f>
      </x:c>
      <x:c r="AC392" s="23" t="str">
        <x:f>IF($A392="","",G392*(1+AB392))</x:f>
      </x:c>
      <x:c r="AD392" s="23" t="str">
        <x:f>IF($A392="","",G392*F392*12)</x:f>
      </x:c>
      <x:c r="AE392" s="23" t="str">
        <x:f>IF($A392="","",G392*F392*J392)</x:f>
      </x:c>
      <x:c r="AF392" s="24" t="str">
        <x:f>IF($A392="","",L392*F392*K392*Settings!$B$13)</x:f>
      </x:c>
      <x:c r="AG392" s="23" t="str">
        <x:f>IF($A392="","",AD392*H392*I392)</x:f>
      </x:c>
      <x:c r="AH392" s="24" t="str">
        <x:f>IF($A392="","",SUM(AD392:AE392,AG392)*SUM(Settings!$B$11:$B$12))</x:f>
      </x:c>
      <x:c r="AI392" s="24" t="str">
        <x:f>IF($A392="","",M392*Settings!$B$16)</x:f>
      </x:c>
      <x:c r="AJ392" s="24" t="str">
        <x:f>IF($A392="","",M392*Settings!$B$15)</x:f>
      </x:c>
      <x:c r="AK392" s="24" t="str">
        <x:f>IF($A392="","",O392*Settings!$B$18)</x:f>
      </x:c>
      <x:c r="AL392" s="24" t="str">
        <x:f>IF($A392="","",P392*Settings!$B$20+Q392*Settings!$B$21+R392*Settings!$B$22+S392*Settings!$B$23)</x:f>
      </x:c>
      <x:c r="AM392" s="24" t="str">
        <x:f>IF($A392="","",T392*Settings!$B$24)</x:f>
      </x:c>
      <x:c r="AN392" s="23" t="str">
        <x:f>IF($A392="","",SUM(AI392,N392,AK392:AM392,U392))</x:f>
      </x:c>
      <x:c r="AO392" s="23" t="str">
        <x:f>IF($A392="","",SUM(AD392:AI392,N392,AK392:AM392,U392))</x:f>
      </x:c>
      <x:c r="AP392" s="24" t="str">
        <x:f>IF($A392="","",G392*F392*AB392*((13-Settings!$B$9)*(1+H392*I392)+J392)*(1+SUM(Settings!$B$11:$B$12)))</x:f>
      </x:c>
      <x:c r="AQ392" s="23" t="str">
        <x:f>IF($A392="","",SUM(AO392:AP392))</x:f>
      </x:c>
      <x:c r="AR392" s="23" t="str">
        <x:f>IF($A392="","",AQ392-X392)</x:f>
      </x:c>
      <x:c r="AS392" s="22" t="str">
        <x:f>IF($A392="","",IF(W392=0,"n.a.",V392/W392))</x:f>
      </x:c>
      <x:c r="AT392" s="26" t="str">
        <x:f>IF($A392="",IF(COUNTA(B392:Y392)&gt;0,"Missing ID",""),IF(COUNTIFS($A$9:$A$508,A392)&gt;1,"Duplicate ID",IF(OR(B392="",C392="",D392="",E392="",COUNT(F392:X392)&lt;&gt;19),"Missing / text input",IF(OR(COUNTIFS(Settings!$A$59:$A$64,B392)&lt;&gt;1,COUNTIFS(Settings!$A$29:$A$33,E392)&lt;&gt;1),"Unknown department / grade",IF(OR(F392&lt;=0,F392&gt;1,G392&lt;=0,L392&lt;=0,H392&lt;0,I392&lt;0,J392&lt;0,K392&lt;0,K392&gt;1,MIN(M392:X392)&lt;0,W392=0,V392&gt;W392,M392&gt;W392-V392,P392&gt;8,Q392&gt;4,R392&gt;12,S392&gt;12,T392&gt;1,AB392&lt;0),"Review quantity / rate",IF(OR(N392&gt;Settings!$C$17,AK392&gt;Settings!$C$19),"Review benefit ceiling","OK"))))))</x:f>
      </x:c>
    </x:row>
    <x:row r="393" ht="23" customHeight="1">
      <x:c r="A393" s="8"/>
      <x:c r="B393" s="8"/>
      <x:c r="C393" s="8"/>
      <x:c r="D393" s="8"/>
      <x:c r="E393" s="8"/>
      <x:c r="F393" s="20"/>
      <x:c r="G393" s="12"/>
      <x:c r="H393" s="21"/>
      <x:c r="I393" s="20"/>
      <x:c r="J393" s="20"/>
      <x:c r="K393" s="20"/>
      <x:c r="L393" s="12"/>
      <x:c r="M393" s="8"/>
      <x:c r="N393" s="12"/>
      <x:c r="O393" s="8"/>
      <x:c r="P393" s="8"/>
      <x:c r="Q393" s="8"/>
      <x:c r="R393" s="8"/>
      <x:c r="S393" s="8"/>
      <x:c r="T393" s="8"/>
      <x:c r="U393" s="12"/>
      <x:c r="V393" s="8"/>
      <x:c r="W393" s="8"/>
      <x:c r="X393" s="12"/>
      <x:c r="Y393" s="21"/>
      <x:c r="Z393" s="24" t="str">
        <x:f>IF($A393="","",INDEX(Settings!$C$29:$C$33,MATCH(E393,Settings!$A$29:$A$33,0)))</x:f>
      </x:c>
      <x:c r="AA393" s="22" t="str">
        <x:f>IF($A393="","",G393/Z393)</x:f>
      </x:c>
      <x:c r="AB393" s="25" t="str">
        <x:f>IF($A393="","",IF(ISNUMBER(Y393),Y393,Settings!$B$10))</x:f>
      </x:c>
      <x:c r="AC393" s="23" t="str">
        <x:f>IF($A393="","",G393*(1+AB393))</x:f>
      </x:c>
      <x:c r="AD393" s="23" t="str">
        <x:f>IF($A393="","",G393*F393*12)</x:f>
      </x:c>
      <x:c r="AE393" s="23" t="str">
        <x:f>IF($A393="","",G393*F393*J393)</x:f>
      </x:c>
      <x:c r="AF393" s="24" t="str">
        <x:f>IF($A393="","",L393*F393*K393*Settings!$B$13)</x:f>
      </x:c>
      <x:c r="AG393" s="23" t="str">
        <x:f>IF($A393="","",AD393*H393*I393)</x:f>
      </x:c>
      <x:c r="AH393" s="24" t="str">
        <x:f>IF($A393="","",SUM(AD393:AE393,AG393)*SUM(Settings!$B$11:$B$12))</x:f>
      </x:c>
      <x:c r="AI393" s="24" t="str">
        <x:f>IF($A393="","",M393*Settings!$B$16)</x:f>
      </x:c>
      <x:c r="AJ393" s="24" t="str">
        <x:f>IF($A393="","",M393*Settings!$B$15)</x:f>
      </x:c>
      <x:c r="AK393" s="24" t="str">
        <x:f>IF($A393="","",O393*Settings!$B$18)</x:f>
      </x:c>
      <x:c r="AL393" s="24" t="str">
        <x:f>IF($A393="","",P393*Settings!$B$20+Q393*Settings!$B$21+R393*Settings!$B$22+S393*Settings!$B$23)</x:f>
      </x:c>
      <x:c r="AM393" s="24" t="str">
        <x:f>IF($A393="","",T393*Settings!$B$24)</x:f>
      </x:c>
      <x:c r="AN393" s="23" t="str">
        <x:f>IF($A393="","",SUM(AI393,N393,AK393:AM393,U393))</x:f>
      </x:c>
      <x:c r="AO393" s="23" t="str">
        <x:f>IF($A393="","",SUM(AD393:AI393,N393,AK393:AM393,U393))</x:f>
      </x:c>
      <x:c r="AP393" s="24" t="str">
        <x:f>IF($A393="","",G393*F393*AB393*((13-Settings!$B$9)*(1+H393*I393)+J393)*(1+SUM(Settings!$B$11:$B$12)))</x:f>
      </x:c>
      <x:c r="AQ393" s="23" t="str">
        <x:f>IF($A393="","",SUM(AO393:AP393))</x:f>
      </x:c>
      <x:c r="AR393" s="23" t="str">
        <x:f>IF($A393="","",AQ393-X393)</x:f>
      </x:c>
      <x:c r="AS393" s="22" t="str">
        <x:f>IF($A393="","",IF(W393=0,"n.a.",V393/W393))</x:f>
      </x:c>
      <x:c r="AT393" s="26" t="str">
        <x:f>IF($A393="",IF(COUNTA(B393:Y393)&gt;0,"Missing ID",""),IF(COUNTIFS($A$9:$A$508,A393)&gt;1,"Duplicate ID",IF(OR(B393="",C393="",D393="",E393="",COUNT(F393:X393)&lt;&gt;19),"Missing / text input",IF(OR(COUNTIFS(Settings!$A$59:$A$64,B393)&lt;&gt;1,COUNTIFS(Settings!$A$29:$A$33,E393)&lt;&gt;1),"Unknown department / grade",IF(OR(F393&lt;=0,F393&gt;1,G393&lt;=0,L393&lt;=0,H393&lt;0,I393&lt;0,J393&lt;0,K393&lt;0,K393&gt;1,MIN(M393:X393)&lt;0,W393=0,V393&gt;W393,M393&gt;W393-V393,P393&gt;8,Q393&gt;4,R393&gt;12,S393&gt;12,T393&gt;1,AB393&lt;0),"Review quantity / rate",IF(OR(N393&gt;Settings!$C$17,AK393&gt;Settings!$C$19),"Review benefit ceiling","OK"))))))</x:f>
      </x:c>
    </x:row>
    <x:row r="394" ht="23" customHeight="1">
      <x:c r="A394" s="8"/>
      <x:c r="B394" s="8"/>
      <x:c r="C394" s="8"/>
      <x:c r="D394" s="8"/>
      <x:c r="E394" s="8"/>
      <x:c r="F394" s="20"/>
      <x:c r="G394" s="12"/>
      <x:c r="H394" s="21"/>
      <x:c r="I394" s="20"/>
      <x:c r="J394" s="20"/>
      <x:c r="K394" s="20"/>
      <x:c r="L394" s="12"/>
      <x:c r="M394" s="8"/>
      <x:c r="N394" s="12"/>
      <x:c r="O394" s="8"/>
      <x:c r="P394" s="8"/>
      <x:c r="Q394" s="8"/>
      <x:c r="R394" s="8"/>
      <x:c r="S394" s="8"/>
      <x:c r="T394" s="8"/>
      <x:c r="U394" s="12"/>
      <x:c r="V394" s="8"/>
      <x:c r="W394" s="8"/>
      <x:c r="X394" s="12"/>
      <x:c r="Y394" s="21"/>
      <x:c r="Z394" s="24" t="str">
        <x:f>IF($A394="","",INDEX(Settings!$C$29:$C$33,MATCH(E394,Settings!$A$29:$A$33,0)))</x:f>
      </x:c>
      <x:c r="AA394" s="22" t="str">
        <x:f>IF($A394="","",G394/Z394)</x:f>
      </x:c>
      <x:c r="AB394" s="25" t="str">
        <x:f>IF($A394="","",IF(ISNUMBER(Y394),Y394,Settings!$B$10))</x:f>
      </x:c>
      <x:c r="AC394" s="23" t="str">
        <x:f>IF($A394="","",G394*(1+AB394))</x:f>
      </x:c>
      <x:c r="AD394" s="23" t="str">
        <x:f>IF($A394="","",G394*F394*12)</x:f>
      </x:c>
      <x:c r="AE394" s="23" t="str">
        <x:f>IF($A394="","",G394*F394*J394)</x:f>
      </x:c>
      <x:c r="AF394" s="24" t="str">
        <x:f>IF($A394="","",L394*F394*K394*Settings!$B$13)</x:f>
      </x:c>
      <x:c r="AG394" s="23" t="str">
        <x:f>IF($A394="","",AD394*H394*I394)</x:f>
      </x:c>
      <x:c r="AH394" s="24" t="str">
        <x:f>IF($A394="","",SUM(AD394:AE394,AG394)*SUM(Settings!$B$11:$B$12))</x:f>
      </x:c>
      <x:c r="AI394" s="24" t="str">
        <x:f>IF($A394="","",M394*Settings!$B$16)</x:f>
      </x:c>
      <x:c r="AJ394" s="24" t="str">
        <x:f>IF($A394="","",M394*Settings!$B$15)</x:f>
      </x:c>
      <x:c r="AK394" s="24" t="str">
        <x:f>IF($A394="","",O394*Settings!$B$18)</x:f>
      </x:c>
      <x:c r="AL394" s="24" t="str">
        <x:f>IF($A394="","",P394*Settings!$B$20+Q394*Settings!$B$21+R394*Settings!$B$22+S394*Settings!$B$23)</x:f>
      </x:c>
      <x:c r="AM394" s="24" t="str">
        <x:f>IF($A394="","",T394*Settings!$B$24)</x:f>
      </x:c>
      <x:c r="AN394" s="23" t="str">
        <x:f>IF($A394="","",SUM(AI394,N394,AK394:AM394,U394))</x:f>
      </x:c>
      <x:c r="AO394" s="23" t="str">
        <x:f>IF($A394="","",SUM(AD394:AI394,N394,AK394:AM394,U394))</x:f>
      </x:c>
      <x:c r="AP394" s="24" t="str">
        <x:f>IF($A394="","",G394*F394*AB394*((13-Settings!$B$9)*(1+H394*I394)+J394)*(1+SUM(Settings!$B$11:$B$12)))</x:f>
      </x:c>
      <x:c r="AQ394" s="23" t="str">
        <x:f>IF($A394="","",SUM(AO394:AP394))</x:f>
      </x:c>
      <x:c r="AR394" s="23" t="str">
        <x:f>IF($A394="","",AQ394-X394)</x:f>
      </x:c>
      <x:c r="AS394" s="22" t="str">
        <x:f>IF($A394="","",IF(W394=0,"n.a.",V394/W394))</x:f>
      </x:c>
      <x:c r="AT394" s="26" t="str">
        <x:f>IF($A394="",IF(COUNTA(B394:Y394)&gt;0,"Missing ID",""),IF(COUNTIFS($A$9:$A$508,A394)&gt;1,"Duplicate ID",IF(OR(B394="",C394="",D394="",E394="",COUNT(F394:X394)&lt;&gt;19),"Missing / text input",IF(OR(COUNTIFS(Settings!$A$59:$A$64,B394)&lt;&gt;1,COUNTIFS(Settings!$A$29:$A$33,E394)&lt;&gt;1),"Unknown department / grade",IF(OR(F394&lt;=0,F394&gt;1,G394&lt;=0,L394&lt;=0,H394&lt;0,I394&lt;0,J394&lt;0,K394&lt;0,K394&gt;1,MIN(M394:X394)&lt;0,W394=0,V394&gt;W394,M394&gt;W394-V394,P394&gt;8,Q394&gt;4,R394&gt;12,S394&gt;12,T394&gt;1,AB394&lt;0),"Review quantity / rate",IF(OR(N394&gt;Settings!$C$17,AK394&gt;Settings!$C$19),"Review benefit ceiling","OK"))))))</x:f>
      </x:c>
    </x:row>
    <x:row r="395" ht="23" customHeight="1">
      <x:c r="A395" s="8"/>
      <x:c r="B395" s="8"/>
      <x:c r="C395" s="8"/>
      <x:c r="D395" s="8"/>
      <x:c r="E395" s="8"/>
      <x:c r="F395" s="20"/>
      <x:c r="G395" s="12"/>
      <x:c r="H395" s="21"/>
      <x:c r="I395" s="20"/>
      <x:c r="J395" s="20"/>
      <x:c r="K395" s="20"/>
      <x:c r="L395" s="12"/>
      <x:c r="M395" s="8"/>
      <x:c r="N395" s="12"/>
      <x:c r="O395" s="8"/>
      <x:c r="P395" s="8"/>
      <x:c r="Q395" s="8"/>
      <x:c r="R395" s="8"/>
      <x:c r="S395" s="8"/>
      <x:c r="T395" s="8"/>
      <x:c r="U395" s="12"/>
      <x:c r="V395" s="8"/>
      <x:c r="W395" s="8"/>
      <x:c r="X395" s="12"/>
      <x:c r="Y395" s="21"/>
      <x:c r="Z395" s="24" t="str">
        <x:f>IF($A395="","",INDEX(Settings!$C$29:$C$33,MATCH(E395,Settings!$A$29:$A$33,0)))</x:f>
      </x:c>
      <x:c r="AA395" s="22" t="str">
        <x:f>IF($A395="","",G395/Z395)</x:f>
      </x:c>
      <x:c r="AB395" s="25" t="str">
        <x:f>IF($A395="","",IF(ISNUMBER(Y395),Y395,Settings!$B$10))</x:f>
      </x:c>
      <x:c r="AC395" s="23" t="str">
        <x:f>IF($A395="","",G395*(1+AB395))</x:f>
      </x:c>
      <x:c r="AD395" s="23" t="str">
        <x:f>IF($A395="","",G395*F395*12)</x:f>
      </x:c>
      <x:c r="AE395" s="23" t="str">
        <x:f>IF($A395="","",G395*F395*J395)</x:f>
      </x:c>
      <x:c r="AF395" s="24" t="str">
        <x:f>IF($A395="","",L395*F395*K395*Settings!$B$13)</x:f>
      </x:c>
      <x:c r="AG395" s="23" t="str">
        <x:f>IF($A395="","",AD395*H395*I395)</x:f>
      </x:c>
      <x:c r="AH395" s="24" t="str">
        <x:f>IF($A395="","",SUM(AD395:AE395,AG395)*SUM(Settings!$B$11:$B$12))</x:f>
      </x:c>
      <x:c r="AI395" s="24" t="str">
        <x:f>IF($A395="","",M395*Settings!$B$16)</x:f>
      </x:c>
      <x:c r="AJ395" s="24" t="str">
        <x:f>IF($A395="","",M395*Settings!$B$15)</x:f>
      </x:c>
      <x:c r="AK395" s="24" t="str">
        <x:f>IF($A395="","",O395*Settings!$B$18)</x:f>
      </x:c>
      <x:c r="AL395" s="24" t="str">
        <x:f>IF($A395="","",P395*Settings!$B$20+Q395*Settings!$B$21+R395*Settings!$B$22+S395*Settings!$B$23)</x:f>
      </x:c>
      <x:c r="AM395" s="24" t="str">
        <x:f>IF($A395="","",T395*Settings!$B$24)</x:f>
      </x:c>
      <x:c r="AN395" s="23" t="str">
        <x:f>IF($A395="","",SUM(AI395,N395,AK395:AM395,U395))</x:f>
      </x:c>
      <x:c r="AO395" s="23" t="str">
        <x:f>IF($A395="","",SUM(AD395:AI395,N395,AK395:AM395,U395))</x:f>
      </x:c>
      <x:c r="AP395" s="24" t="str">
        <x:f>IF($A395="","",G395*F395*AB395*((13-Settings!$B$9)*(1+H395*I395)+J395)*(1+SUM(Settings!$B$11:$B$12)))</x:f>
      </x:c>
      <x:c r="AQ395" s="23" t="str">
        <x:f>IF($A395="","",SUM(AO395:AP395))</x:f>
      </x:c>
      <x:c r="AR395" s="23" t="str">
        <x:f>IF($A395="","",AQ395-X395)</x:f>
      </x:c>
      <x:c r="AS395" s="22" t="str">
        <x:f>IF($A395="","",IF(W395=0,"n.a.",V395/W395))</x:f>
      </x:c>
      <x:c r="AT395" s="26" t="str">
        <x:f>IF($A395="",IF(COUNTA(B395:Y395)&gt;0,"Missing ID",""),IF(COUNTIFS($A$9:$A$508,A395)&gt;1,"Duplicate ID",IF(OR(B395="",C395="",D395="",E395="",COUNT(F395:X395)&lt;&gt;19),"Missing / text input",IF(OR(COUNTIFS(Settings!$A$59:$A$64,B395)&lt;&gt;1,COUNTIFS(Settings!$A$29:$A$33,E395)&lt;&gt;1),"Unknown department / grade",IF(OR(F395&lt;=0,F395&gt;1,G395&lt;=0,L395&lt;=0,H395&lt;0,I395&lt;0,J395&lt;0,K395&lt;0,K395&gt;1,MIN(M395:X395)&lt;0,W395=0,V395&gt;W395,M395&gt;W395-V395,P395&gt;8,Q395&gt;4,R395&gt;12,S395&gt;12,T395&gt;1,AB395&lt;0),"Review quantity / rate",IF(OR(N395&gt;Settings!$C$17,AK395&gt;Settings!$C$19),"Review benefit ceiling","OK"))))))</x:f>
      </x:c>
    </x:row>
    <x:row r="396" ht="23" customHeight="1">
      <x:c r="A396" s="8"/>
      <x:c r="B396" s="8"/>
      <x:c r="C396" s="8"/>
      <x:c r="D396" s="8"/>
      <x:c r="E396" s="8"/>
      <x:c r="F396" s="20"/>
      <x:c r="G396" s="12"/>
      <x:c r="H396" s="21"/>
      <x:c r="I396" s="20"/>
      <x:c r="J396" s="20"/>
      <x:c r="K396" s="20"/>
      <x:c r="L396" s="12"/>
      <x:c r="M396" s="8"/>
      <x:c r="N396" s="12"/>
      <x:c r="O396" s="8"/>
      <x:c r="P396" s="8"/>
      <x:c r="Q396" s="8"/>
      <x:c r="R396" s="8"/>
      <x:c r="S396" s="8"/>
      <x:c r="T396" s="8"/>
      <x:c r="U396" s="12"/>
      <x:c r="V396" s="8"/>
      <x:c r="W396" s="8"/>
      <x:c r="X396" s="12"/>
      <x:c r="Y396" s="21"/>
      <x:c r="Z396" s="24" t="str">
        <x:f>IF($A396="","",INDEX(Settings!$C$29:$C$33,MATCH(E396,Settings!$A$29:$A$33,0)))</x:f>
      </x:c>
      <x:c r="AA396" s="22" t="str">
        <x:f>IF($A396="","",G396/Z396)</x:f>
      </x:c>
      <x:c r="AB396" s="25" t="str">
        <x:f>IF($A396="","",IF(ISNUMBER(Y396),Y396,Settings!$B$10))</x:f>
      </x:c>
      <x:c r="AC396" s="23" t="str">
        <x:f>IF($A396="","",G396*(1+AB396))</x:f>
      </x:c>
      <x:c r="AD396" s="23" t="str">
        <x:f>IF($A396="","",G396*F396*12)</x:f>
      </x:c>
      <x:c r="AE396" s="23" t="str">
        <x:f>IF($A396="","",G396*F396*J396)</x:f>
      </x:c>
      <x:c r="AF396" s="24" t="str">
        <x:f>IF($A396="","",L396*F396*K396*Settings!$B$13)</x:f>
      </x:c>
      <x:c r="AG396" s="23" t="str">
        <x:f>IF($A396="","",AD396*H396*I396)</x:f>
      </x:c>
      <x:c r="AH396" s="24" t="str">
        <x:f>IF($A396="","",SUM(AD396:AE396,AG396)*SUM(Settings!$B$11:$B$12))</x:f>
      </x:c>
      <x:c r="AI396" s="24" t="str">
        <x:f>IF($A396="","",M396*Settings!$B$16)</x:f>
      </x:c>
      <x:c r="AJ396" s="24" t="str">
        <x:f>IF($A396="","",M396*Settings!$B$15)</x:f>
      </x:c>
      <x:c r="AK396" s="24" t="str">
        <x:f>IF($A396="","",O396*Settings!$B$18)</x:f>
      </x:c>
      <x:c r="AL396" s="24" t="str">
        <x:f>IF($A396="","",P396*Settings!$B$20+Q396*Settings!$B$21+R396*Settings!$B$22+S396*Settings!$B$23)</x:f>
      </x:c>
      <x:c r="AM396" s="24" t="str">
        <x:f>IF($A396="","",T396*Settings!$B$24)</x:f>
      </x:c>
      <x:c r="AN396" s="23" t="str">
        <x:f>IF($A396="","",SUM(AI396,N396,AK396:AM396,U396))</x:f>
      </x:c>
      <x:c r="AO396" s="23" t="str">
        <x:f>IF($A396="","",SUM(AD396:AI396,N396,AK396:AM396,U396))</x:f>
      </x:c>
      <x:c r="AP396" s="24" t="str">
        <x:f>IF($A396="","",G396*F396*AB396*((13-Settings!$B$9)*(1+H396*I396)+J396)*(1+SUM(Settings!$B$11:$B$12)))</x:f>
      </x:c>
      <x:c r="AQ396" s="23" t="str">
        <x:f>IF($A396="","",SUM(AO396:AP396))</x:f>
      </x:c>
      <x:c r="AR396" s="23" t="str">
        <x:f>IF($A396="","",AQ396-X396)</x:f>
      </x:c>
      <x:c r="AS396" s="22" t="str">
        <x:f>IF($A396="","",IF(W396=0,"n.a.",V396/W396))</x:f>
      </x:c>
      <x:c r="AT396" s="26" t="str">
        <x:f>IF($A396="",IF(COUNTA(B396:Y396)&gt;0,"Missing ID",""),IF(COUNTIFS($A$9:$A$508,A396)&gt;1,"Duplicate ID",IF(OR(B396="",C396="",D396="",E396="",COUNT(F396:X396)&lt;&gt;19),"Missing / text input",IF(OR(COUNTIFS(Settings!$A$59:$A$64,B396)&lt;&gt;1,COUNTIFS(Settings!$A$29:$A$33,E396)&lt;&gt;1),"Unknown department / grade",IF(OR(F396&lt;=0,F396&gt;1,G396&lt;=0,L396&lt;=0,H396&lt;0,I396&lt;0,J396&lt;0,K396&lt;0,K396&gt;1,MIN(M396:X396)&lt;0,W396=0,V396&gt;W396,M396&gt;W396-V396,P396&gt;8,Q396&gt;4,R396&gt;12,S396&gt;12,T396&gt;1,AB396&lt;0),"Review quantity / rate",IF(OR(N396&gt;Settings!$C$17,AK396&gt;Settings!$C$19),"Review benefit ceiling","OK"))))))</x:f>
      </x:c>
    </x:row>
    <x:row r="397" ht="23" customHeight="1">
      <x:c r="A397" s="8"/>
      <x:c r="B397" s="8"/>
      <x:c r="C397" s="8"/>
      <x:c r="D397" s="8"/>
      <x:c r="E397" s="8"/>
      <x:c r="F397" s="20"/>
      <x:c r="G397" s="12"/>
      <x:c r="H397" s="21"/>
      <x:c r="I397" s="20"/>
      <x:c r="J397" s="20"/>
      <x:c r="K397" s="20"/>
      <x:c r="L397" s="12"/>
      <x:c r="M397" s="8"/>
      <x:c r="N397" s="12"/>
      <x:c r="O397" s="8"/>
      <x:c r="P397" s="8"/>
      <x:c r="Q397" s="8"/>
      <x:c r="R397" s="8"/>
      <x:c r="S397" s="8"/>
      <x:c r="T397" s="8"/>
      <x:c r="U397" s="12"/>
      <x:c r="V397" s="8"/>
      <x:c r="W397" s="8"/>
      <x:c r="X397" s="12"/>
      <x:c r="Y397" s="21"/>
      <x:c r="Z397" s="24" t="str">
        <x:f>IF($A397="","",INDEX(Settings!$C$29:$C$33,MATCH(E397,Settings!$A$29:$A$33,0)))</x:f>
      </x:c>
      <x:c r="AA397" s="22" t="str">
        <x:f>IF($A397="","",G397/Z397)</x:f>
      </x:c>
      <x:c r="AB397" s="25" t="str">
        <x:f>IF($A397="","",IF(ISNUMBER(Y397),Y397,Settings!$B$10))</x:f>
      </x:c>
      <x:c r="AC397" s="23" t="str">
        <x:f>IF($A397="","",G397*(1+AB397))</x:f>
      </x:c>
      <x:c r="AD397" s="23" t="str">
        <x:f>IF($A397="","",G397*F397*12)</x:f>
      </x:c>
      <x:c r="AE397" s="23" t="str">
        <x:f>IF($A397="","",G397*F397*J397)</x:f>
      </x:c>
      <x:c r="AF397" s="24" t="str">
        <x:f>IF($A397="","",L397*F397*K397*Settings!$B$13)</x:f>
      </x:c>
      <x:c r="AG397" s="23" t="str">
        <x:f>IF($A397="","",AD397*H397*I397)</x:f>
      </x:c>
      <x:c r="AH397" s="24" t="str">
        <x:f>IF($A397="","",SUM(AD397:AE397,AG397)*SUM(Settings!$B$11:$B$12))</x:f>
      </x:c>
      <x:c r="AI397" s="24" t="str">
        <x:f>IF($A397="","",M397*Settings!$B$16)</x:f>
      </x:c>
      <x:c r="AJ397" s="24" t="str">
        <x:f>IF($A397="","",M397*Settings!$B$15)</x:f>
      </x:c>
      <x:c r="AK397" s="24" t="str">
        <x:f>IF($A397="","",O397*Settings!$B$18)</x:f>
      </x:c>
      <x:c r="AL397" s="24" t="str">
        <x:f>IF($A397="","",P397*Settings!$B$20+Q397*Settings!$B$21+R397*Settings!$B$22+S397*Settings!$B$23)</x:f>
      </x:c>
      <x:c r="AM397" s="24" t="str">
        <x:f>IF($A397="","",T397*Settings!$B$24)</x:f>
      </x:c>
      <x:c r="AN397" s="23" t="str">
        <x:f>IF($A397="","",SUM(AI397,N397,AK397:AM397,U397))</x:f>
      </x:c>
      <x:c r="AO397" s="23" t="str">
        <x:f>IF($A397="","",SUM(AD397:AI397,N397,AK397:AM397,U397))</x:f>
      </x:c>
      <x:c r="AP397" s="24" t="str">
        <x:f>IF($A397="","",G397*F397*AB397*((13-Settings!$B$9)*(1+H397*I397)+J397)*(1+SUM(Settings!$B$11:$B$12)))</x:f>
      </x:c>
      <x:c r="AQ397" s="23" t="str">
        <x:f>IF($A397="","",SUM(AO397:AP397))</x:f>
      </x:c>
      <x:c r="AR397" s="23" t="str">
        <x:f>IF($A397="","",AQ397-X397)</x:f>
      </x:c>
      <x:c r="AS397" s="22" t="str">
        <x:f>IF($A397="","",IF(W397=0,"n.a.",V397/W397))</x:f>
      </x:c>
      <x:c r="AT397" s="26" t="str">
        <x:f>IF($A397="",IF(COUNTA(B397:Y397)&gt;0,"Missing ID",""),IF(COUNTIFS($A$9:$A$508,A397)&gt;1,"Duplicate ID",IF(OR(B397="",C397="",D397="",E397="",COUNT(F397:X397)&lt;&gt;19),"Missing / text input",IF(OR(COUNTIFS(Settings!$A$59:$A$64,B397)&lt;&gt;1,COUNTIFS(Settings!$A$29:$A$33,E397)&lt;&gt;1),"Unknown department / grade",IF(OR(F397&lt;=0,F397&gt;1,G397&lt;=0,L397&lt;=0,H397&lt;0,I397&lt;0,J397&lt;0,K397&lt;0,K397&gt;1,MIN(M397:X397)&lt;0,W397=0,V397&gt;W397,M397&gt;W397-V397,P397&gt;8,Q397&gt;4,R397&gt;12,S397&gt;12,T397&gt;1,AB397&lt;0),"Review quantity / rate",IF(OR(N397&gt;Settings!$C$17,AK397&gt;Settings!$C$19),"Review benefit ceiling","OK"))))))</x:f>
      </x:c>
    </x:row>
    <x:row r="398" ht="23" customHeight="1">
      <x:c r="A398" s="8"/>
      <x:c r="B398" s="8"/>
      <x:c r="C398" s="8"/>
      <x:c r="D398" s="8"/>
      <x:c r="E398" s="8"/>
      <x:c r="F398" s="20"/>
      <x:c r="G398" s="12"/>
      <x:c r="H398" s="21"/>
      <x:c r="I398" s="20"/>
      <x:c r="J398" s="20"/>
      <x:c r="K398" s="20"/>
      <x:c r="L398" s="12"/>
      <x:c r="M398" s="8"/>
      <x:c r="N398" s="12"/>
      <x:c r="O398" s="8"/>
      <x:c r="P398" s="8"/>
      <x:c r="Q398" s="8"/>
      <x:c r="R398" s="8"/>
      <x:c r="S398" s="8"/>
      <x:c r="T398" s="8"/>
      <x:c r="U398" s="12"/>
      <x:c r="V398" s="8"/>
      <x:c r="W398" s="8"/>
      <x:c r="X398" s="12"/>
      <x:c r="Y398" s="21"/>
      <x:c r="Z398" s="24" t="str">
        <x:f>IF($A398="","",INDEX(Settings!$C$29:$C$33,MATCH(E398,Settings!$A$29:$A$33,0)))</x:f>
      </x:c>
      <x:c r="AA398" s="22" t="str">
        <x:f>IF($A398="","",G398/Z398)</x:f>
      </x:c>
      <x:c r="AB398" s="25" t="str">
        <x:f>IF($A398="","",IF(ISNUMBER(Y398),Y398,Settings!$B$10))</x:f>
      </x:c>
      <x:c r="AC398" s="23" t="str">
        <x:f>IF($A398="","",G398*(1+AB398))</x:f>
      </x:c>
      <x:c r="AD398" s="23" t="str">
        <x:f>IF($A398="","",G398*F398*12)</x:f>
      </x:c>
      <x:c r="AE398" s="23" t="str">
        <x:f>IF($A398="","",G398*F398*J398)</x:f>
      </x:c>
      <x:c r="AF398" s="24" t="str">
        <x:f>IF($A398="","",L398*F398*K398*Settings!$B$13)</x:f>
      </x:c>
      <x:c r="AG398" s="23" t="str">
        <x:f>IF($A398="","",AD398*H398*I398)</x:f>
      </x:c>
      <x:c r="AH398" s="24" t="str">
        <x:f>IF($A398="","",SUM(AD398:AE398,AG398)*SUM(Settings!$B$11:$B$12))</x:f>
      </x:c>
      <x:c r="AI398" s="24" t="str">
        <x:f>IF($A398="","",M398*Settings!$B$16)</x:f>
      </x:c>
      <x:c r="AJ398" s="24" t="str">
        <x:f>IF($A398="","",M398*Settings!$B$15)</x:f>
      </x:c>
      <x:c r="AK398" s="24" t="str">
        <x:f>IF($A398="","",O398*Settings!$B$18)</x:f>
      </x:c>
      <x:c r="AL398" s="24" t="str">
        <x:f>IF($A398="","",P398*Settings!$B$20+Q398*Settings!$B$21+R398*Settings!$B$22+S398*Settings!$B$23)</x:f>
      </x:c>
      <x:c r="AM398" s="24" t="str">
        <x:f>IF($A398="","",T398*Settings!$B$24)</x:f>
      </x:c>
      <x:c r="AN398" s="23" t="str">
        <x:f>IF($A398="","",SUM(AI398,N398,AK398:AM398,U398))</x:f>
      </x:c>
      <x:c r="AO398" s="23" t="str">
        <x:f>IF($A398="","",SUM(AD398:AI398,N398,AK398:AM398,U398))</x:f>
      </x:c>
      <x:c r="AP398" s="24" t="str">
        <x:f>IF($A398="","",G398*F398*AB398*((13-Settings!$B$9)*(1+H398*I398)+J398)*(1+SUM(Settings!$B$11:$B$12)))</x:f>
      </x:c>
      <x:c r="AQ398" s="23" t="str">
        <x:f>IF($A398="","",SUM(AO398:AP398))</x:f>
      </x:c>
      <x:c r="AR398" s="23" t="str">
        <x:f>IF($A398="","",AQ398-X398)</x:f>
      </x:c>
      <x:c r="AS398" s="22" t="str">
        <x:f>IF($A398="","",IF(W398=0,"n.a.",V398/W398))</x:f>
      </x:c>
      <x:c r="AT398" s="26" t="str">
        <x:f>IF($A398="",IF(COUNTA(B398:Y398)&gt;0,"Missing ID",""),IF(COUNTIFS($A$9:$A$508,A398)&gt;1,"Duplicate ID",IF(OR(B398="",C398="",D398="",E398="",COUNT(F398:X398)&lt;&gt;19),"Missing / text input",IF(OR(COUNTIFS(Settings!$A$59:$A$64,B398)&lt;&gt;1,COUNTIFS(Settings!$A$29:$A$33,E398)&lt;&gt;1),"Unknown department / grade",IF(OR(F398&lt;=0,F398&gt;1,G398&lt;=0,L398&lt;=0,H398&lt;0,I398&lt;0,J398&lt;0,K398&lt;0,K398&gt;1,MIN(M398:X398)&lt;0,W398=0,V398&gt;W398,M398&gt;W398-V398,P398&gt;8,Q398&gt;4,R398&gt;12,S398&gt;12,T398&gt;1,AB398&lt;0),"Review quantity / rate",IF(OR(N398&gt;Settings!$C$17,AK398&gt;Settings!$C$19),"Review benefit ceiling","OK"))))))</x:f>
      </x:c>
    </x:row>
    <x:row r="399" ht="23" customHeight="1">
      <x:c r="A399" s="8"/>
      <x:c r="B399" s="8"/>
      <x:c r="C399" s="8"/>
      <x:c r="D399" s="8"/>
      <x:c r="E399" s="8"/>
      <x:c r="F399" s="20"/>
      <x:c r="G399" s="12"/>
      <x:c r="H399" s="21"/>
      <x:c r="I399" s="20"/>
      <x:c r="J399" s="20"/>
      <x:c r="K399" s="20"/>
      <x:c r="L399" s="12"/>
      <x:c r="M399" s="8"/>
      <x:c r="N399" s="12"/>
      <x:c r="O399" s="8"/>
      <x:c r="P399" s="8"/>
      <x:c r="Q399" s="8"/>
      <x:c r="R399" s="8"/>
      <x:c r="S399" s="8"/>
      <x:c r="T399" s="8"/>
      <x:c r="U399" s="12"/>
      <x:c r="V399" s="8"/>
      <x:c r="W399" s="8"/>
      <x:c r="X399" s="12"/>
      <x:c r="Y399" s="21"/>
      <x:c r="Z399" s="24" t="str">
        <x:f>IF($A399="","",INDEX(Settings!$C$29:$C$33,MATCH(E399,Settings!$A$29:$A$33,0)))</x:f>
      </x:c>
      <x:c r="AA399" s="22" t="str">
        <x:f>IF($A399="","",G399/Z399)</x:f>
      </x:c>
      <x:c r="AB399" s="25" t="str">
        <x:f>IF($A399="","",IF(ISNUMBER(Y399),Y399,Settings!$B$10))</x:f>
      </x:c>
      <x:c r="AC399" s="23" t="str">
        <x:f>IF($A399="","",G399*(1+AB399))</x:f>
      </x:c>
      <x:c r="AD399" s="23" t="str">
        <x:f>IF($A399="","",G399*F399*12)</x:f>
      </x:c>
      <x:c r="AE399" s="23" t="str">
        <x:f>IF($A399="","",G399*F399*J399)</x:f>
      </x:c>
      <x:c r="AF399" s="24" t="str">
        <x:f>IF($A399="","",L399*F399*K399*Settings!$B$13)</x:f>
      </x:c>
      <x:c r="AG399" s="23" t="str">
        <x:f>IF($A399="","",AD399*H399*I399)</x:f>
      </x:c>
      <x:c r="AH399" s="24" t="str">
        <x:f>IF($A399="","",SUM(AD399:AE399,AG399)*SUM(Settings!$B$11:$B$12))</x:f>
      </x:c>
      <x:c r="AI399" s="24" t="str">
        <x:f>IF($A399="","",M399*Settings!$B$16)</x:f>
      </x:c>
      <x:c r="AJ399" s="24" t="str">
        <x:f>IF($A399="","",M399*Settings!$B$15)</x:f>
      </x:c>
      <x:c r="AK399" s="24" t="str">
        <x:f>IF($A399="","",O399*Settings!$B$18)</x:f>
      </x:c>
      <x:c r="AL399" s="24" t="str">
        <x:f>IF($A399="","",P399*Settings!$B$20+Q399*Settings!$B$21+R399*Settings!$B$22+S399*Settings!$B$23)</x:f>
      </x:c>
      <x:c r="AM399" s="24" t="str">
        <x:f>IF($A399="","",T399*Settings!$B$24)</x:f>
      </x:c>
      <x:c r="AN399" s="23" t="str">
        <x:f>IF($A399="","",SUM(AI399,N399,AK399:AM399,U399))</x:f>
      </x:c>
      <x:c r="AO399" s="23" t="str">
        <x:f>IF($A399="","",SUM(AD399:AI399,N399,AK399:AM399,U399))</x:f>
      </x:c>
      <x:c r="AP399" s="24" t="str">
        <x:f>IF($A399="","",G399*F399*AB399*((13-Settings!$B$9)*(1+H399*I399)+J399)*(1+SUM(Settings!$B$11:$B$12)))</x:f>
      </x:c>
      <x:c r="AQ399" s="23" t="str">
        <x:f>IF($A399="","",SUM(AO399:AP399))</x:f>
      </x:c>
      <x:c r="AR399" s="23" t="str">
        <x:f>IF($A399="","",AQ399-X399)</x:f>
      </x:c>
      <x:c r="AS399" s="22" t="str">
        <x:f>IF($A399="","",IF(W399=0,"n.a.",V399/W399))</x:f>
      </x:c>
      <x:c r="AT399" s="26" t="str">
        <x:f>IF($A399="",IF(COUNTA(B399:Y399)&gt;0,"Missing ID",""),IF(COUNTIFS($A$9:$A$508,A399)&gt;1,"Duplicate ID",IF(OR(B399="",C399="",D399="",E399="",COUNT(F399:X399)&lt;&gt;19),"Missing / text input",IF(OR(COUNTIFS(Settings!$A$59:$A$64,B399)&lt;&gt;1,COUNTIFS(Settings!$A$29:$A$33,E399)&lt;&gt;1),"Unknown department / grade",IF(OR(F399&lt;=0,F399&gt;1,G399&lt;=0,L399&lt;=0,H399&lt;0,I399&lt;0,J399&lt;0,K399&lt;0,K399&gt;1,MIN(M399:X399)&lt;0,W399=0,V399&gt;W399,M399&gt;W399-V399,P399&gt;8,Q399&gt;4,R399&gt;12,S399&gt;12,T399&gt;1,AB399&lt;0),"Review quantity / rate",IF(OR(N399&gt;Settings!$C$17,AK399&gt;Settings!$C$19),"Review benefit ceiling","OK"))))))</x:f>
      </x:c>
    </x:row>
    <x:row r="400" ht="23" customHeight="1">
      <x:c r="A400" s="8"/>
      <x:c r="B400" s="8"/>
      <x:c r="C400" s="8"/>
      <x:c r="D400" s="8"/>
      <x:c r="E400" s="8"/>
      <x:c r="F400" s="20"/>
      <x:c r="G400" s="12"/>
      <x:c r="H400" s="21"/>
      <x:c r="I400" s="20"/>
      <x:c r="J400" s="20"/>
      <x:c r="K400" s="20"/>
      <x:c r="L400" s="12"/>
      <x:c r="M400" s="8"/>
      <x:c r="N400" s="12"/>
      <x:c r="O400" s="8"/>
      <x:c r="P400" s="8"/>
      <x:c r="Q400" s="8"/>
      <x:c r="R400" s="8"/>
      <x:c r="S400" s="8"/>
      <x:c r="T400" s="8"/>
      <x:c r="U400" s="12"/>
      <x:c r="V400" s="8"/>
      <x:c r="W400" s="8"/>
      <x:c r="X400" s="12"/>
      <x:c r="Y400" s="21"/>
      <x:c r="Z400" s="24" t="str">
        <x:f>IF($A400="","",INDEX(Settings!$C$29:$C$33,MATCH(E400,Settings!$A$29:$A$33,0)))</x:f>
      </x:c>
      <x:c r="AA400" s="22" t="str">
        <x:f>IF($A400="","",G400/Z400)</x:f>
      </x:c>
      <x:c r="AB400" s="25" t="str">
        <x:f>IF($A400="","",IF(ISNUMBER(Y400),Y400,Settings!$B$10))</x:f>
      </x:c>
      <x:c r="AC400" s="23" t="str">
        <x:f>IF($A400="","",G400*(1+AB400))</x:f>
      </x:c>
      <x:c r="AD400" s="23" t="str">
        <x:f>IF($A400="","",G400*F400*12)</x:f>
      </x:c>
      <x:c r="AE400" s="23" t="str">
        <x:f>IF($A400="","",G400*F400*J400)</x:f>
      </x:c>
      <x:c r="AF400" s="24" t="str">
        <x:f>IF($A400="","",L400*F400*K400*Settings!$B$13)</x:f>
      </x:c>
      <x:c r="AG400" s="23" t="str">
        <x:f>IF($A400="","",AD400*H400*I400)</x:f>
      </x:c>
      <x:c r="AH400" s="24" t="str">
        <x:f>IF($A400="","",SUM(AD400:AE400,AG400)*SUM(Settings!$B$11:$B$12))</x:f>
      </x:c>
      <x:c r="AI400" s="24" t="str">
        <x:f>IF($A400="","",M400*Settings!$B$16)</x:f>
      </x:c>
      <x:c r="AJ400" s="24" t="str">
        <x:f>IF($A400="","",M400*Settings!$B$15)</x:f>
      </x:c>
      <x:c r="AK400" s="24" t="str">
        <x:f>IF($A400="","",O400*Settings!$B$18)</x:f>
      </x:c>
      <x:c r="AL400" s="24" t="str">
        <x:f>IF($A400="","",P400*Settings!$B$20+Q400*Settings!$B$21+R400*Settings!$B$22+S400*Settings!$B$23)</x:f>
      </x:c>
      <x:c r="AM400" s="24" t="str">
        <x:f>IF($A400="","",T400*Settings!$B$24)</x:f>
      </x:c>
      <x:c r="AN400" s="23" t="str">
        <x:f>IF($A400="","",SUM(AI400,N400,AK400:AM400,U400))</x:f>
      </x:c>
      <x:c r="AO400" s="23" t="str">
        <x:f>IF($A400="","",SUM(AD400:AI400,N400,AK400:AM400,U400))</x:f>
      </x:c>
      <x:c r="AP400" s="24" t="str">
        <x:f>IF($A400="","",G400*F400*AB400*((13-Settings!$B$9)*(1+H400*I400)+J400)*(1+SUM(Settings!$B$11:$B$12)))</x:f>
      </x:c>
      <x:c r="AQ400" s="23" t="str">
        <x:f>IF($A400="","",SUM(AO400:AP400))</x:f>
      </x:c>
      <x:c r="AR400" s="23" t="str">
        <x:f>IF($A400="","",AQ400-X400)</x:f>
      </x:c>
      <x:c r="AS400" s="22" t="str">
        <x:f>IF($A400="","",IF(W400=0,"n.a.",V400/W400))</x:f>
      </x:c>
      <x:c r="AT400" s="26" t="str">
        <x:f>IF($A400="",IF(COUNTA(B400:Y400)&gt;0,"Missing ID",""),IF(COUNTIFS($A$9:$A$508,A400)&gt;1,"Duplicate ID",IF(OR(B400="",C400="",D400="",E400="",COUNT(F400:X400)&lt;&gt;19),"Missing / text input",IF(OR(COUNTIFS(Settings!$A$59:$A$64,B400)&lt;&gt;1,COUNTIFS(Settings!$A$29:$A$33,E400)&lt;&gt;1),"Unknown department / grade",IF(OR(F400&lt;=0,F400&gt;1,G400&lt;=0,L400&lt;=0,H400&lt;0,I400&lt;0,J400&lt;0,K400&lt;0,K400&gt;1,MIN(M400:X400)&lt;0,W400=0,V400&gt;W400,M400&gt;W400-V400,P400&gt;8,Q400&gt;4,R400&gt;12,S400&gt;12,T400&gt;1,AB400&lt;0),"Review quantity / rate",IF(OR(N400&gt;Settings!$C$17,AK400&gt;Settings!$C$19),"Review benefit ceiling","OK"))))))</x:f>
      </x:c>
    </x:row>
    <x:row r="401" ht="23" customHeight="1">
      <x:c r="A401" s="8"/>
      <x:c r="B401" s="8"/>
      <x:c r="C401" s="8"/>
      <x:c r="D401" s="8"/>
      <x:c r="E401" s="8"/>
      <x:c r="F401" s="20"/>
      <x:c r="G401" s="12"/>
      <x:c r="H401" s="21"/>
      <x:c r="I401" s="20"/>
      <x:c r="J401" s="20"/>
      <x:c r="K401" s="20"/>
      <x:c r="L401" s="12"/>
      <x:c r="M401" s="8"/>
      <x:c r="N401" s="12"/>
      <x:c r="O401" s="8"/>
      <x:c r="P401" s="8"/>
      <x:c r="Q401" s="8"/>
      <x:c r="R401" s="8"/>
      <x:c r="S401" s="8"/>
      <x:c r="T401" s="8"/>
      <x:c r="U401" s="12"/>
      <x:c r="V401" s="8"/>
      <x:c r="W401" s="8"/>
      <x:c r="X401" s="12"/>
      <x:c r="Y401" s="21"/>
      <x:c r="Z401" s="24" t="str">
        <x:f>IF($A401="","",INDEX(Settings!$C$29:$C$33,MATCH(E401,Settings!$A$29:$A$33,0)))</x:f>
      </x:c>
      <x:c r="AA401" s="22" t="str">
        <x:f>IF($A401="","",G401/Z401)</x:f>
      </x:c>
      <x:c r="AB401" s="25" t="str">
        <x:f>IF($A401="","",IF(ISNUMBER(Y401),Y401,Settings!$B$10))</x:f>
      </x:c>
      <x:c r="AC401" s="23" t="str">
        <x:f>IF($A401="","",G401*(1+AB401))</x:f>
      </x:c>
      <x:c r="AD401" s="23" t="str">
        <x:f>IF($A401="","",G401*F401*12)</x:f>
      </x:c>
      <x:c r="AE401" s="23" t="str">
        <x:f>IF($A401="","",G401*F401*J401)</x:f>
      </x:c>
      <x:c r="AF401" s="24" t="str">
        <x:f>IF($A401="","",L401*F401*K401*Settings!$B$13)</x:f>
      </x:c>
      <x:c r="AG401" s="23" t="str">
        <x:f>IF($A401="","",AD401*H401*I401)</x:f>
      </x:c>
      <x:c r="AH401" s="24" t="str">
        <x:f>IF($A401="","",SUM(AD401:AE401,AG401)*SUM(Settings!$B$11:$B$12))</x:f>
      </x:c>
      <x:c r="AI401" s="24" t="str">
        <x:f>IF($A401="","",M401*Settings!$B$16)</x:f>
      </x:c>
      <x:c r="AJ401" s="24" t="str">
        <x:f>IF($A401="","",M401*Settings!$B$15)</x:f>
      </x:c>
      <x:c r="AK401" s="24" t="str">
        <x:f>IF($A401="","",O401*Settings!$B$18)</x:f>
      </x:c>
      <x:c r="AL401" s="24" t="str">
        <x:f>IF($A401="","",P401*Settings!$B$20+Q401*Settings!$B$21+R401*Settings!$B$22+S401*Settings!$B$23)</x:f>
      </x:c>
      <x:c r="AM401" s="24" t="str">
        <x:f>IF($A401="","",T401*Settings!$B$24)</x:f>
      </x:c>
      <x:c r="AN401" s="23" t="str">
        <x:f>IF($A401="","",SUM(AI401,N401,AK401:AM401,U401))</x:f>
      </x:c>
      <x:c r="AO401" s="23" t="str">
        <x:f>IF($A401="","",SUM(AD401:AI401,N401,AK401:AM401,U401))</x:f>
      </x:c>
      <x:c r="AP401" s="24" t="str">
        <x:f>IF($A401="","",G401*F401*AB401*((13-Settings!$B$9)*(1+H401*I401)+J401)*(1+SUM(Settings!$B$11:$B$12)))</x:f>
      </x:c>
      <x:c r="AQ401" s="23" t="str">
        <x:f>IF($A401="","",SUM(AO401:AP401))</x:f>
      </x:c>
      <x:c r="AR401" s="23" t="str">
        <x:f>IF($A401="","",AQ401-X401)</x:f>
      </x:c>
      <x:c r="AS401" s="22" t="str">
        <x:f>IF($A401="","",IF(W401=0,"n.a.",V401/W401))</x:f>
      </x:c>
      <x:c r="AT401" s="26" t="str">
        <x:f>IF($A401="",IF(COUNTA(B401:Y401)&gt;0,"Missing ID",""),IF(COUNTIFS($A$9:$A$508,A401)&gt;1,"Duplicate ID",IF(OR(B401="",C401="",D401="",E401="",COUNT(F401:X401)&lt;&gt;19),"Missing / text input",IF(OR(COUNTIFS(Settings!$A$59:$A$64,B401)&lt;&gt;1,COUNTIFS(Settings!$A$29:$A$33,E401)&lt;&gt;1),"Unknown department / grade",IF(OR(F401&lt;=0,F401&gt;1,G401&lt;=0,L401&lt;=0,H401&lt;0,I401&lt;0,J401&lt;0,K401&lt;0,K401&gt;1,MIN(M401:X401)&lt;0,W401=0,V401&gt;W401,M401&gt;W401-V401,P401&gt;8,Q401&gt;4,R401&gt;12,S401&gt;12,T401&gt;1,AB401&lt;0),"Review quantity / rate",IF(OR(N401&gt;Settings!$C$17,AK401&gt;Settings!$C$19),"Review benefit ceiling","OK"))))))</x:f>
      </x:c>
    </x:row>
    <x:row r="402" ht="23" customHeight="1">
      <x:c r="A402" s="8"/>
      <x:c r="B402" s="8"/>
      <x:c r="C402" s="8"/>
      <x:c r="D402" s="8"/>
      <x:c r="E402" s="8"/>
      <x:c r="F402" s="20"/>
      <x:c r="G402" s="12"/>
      <x:c r="H402" s="21"/>
      <x:c r="I402" s="20"/>
      <x:c r="J402" s="20"/>
      <x:c r="K402" s="20"/>
      <x:c r="L402" s="12"/>
      <x:c r="M402" s="8"/>
      <x:c r="N402" s="12"/>
      <x:c r="O402" s="8"/>
      <x:c r="P402" s="8"/>
      <x:c r="Q402" s="8"/>
      <x:c r="R402" s="8"/>
      <x:c r="S402" s="8"/>
      <x:c r="T402" s="8"/>
      <x:c r="U402" s="12"/>
      <x:c r="V402" s="8"/>
      <x:c r="W402" s="8"/>
      <x:c r="X402" s="12"/>
      <x:c r="Y402" s="21"/>
      <x:c r="Z402" s="24" t="str">
        <x:f>IF($A402="","",INDEX(Settings!$C$29:$C$33,MATCH(E402,Settings!$A$29:$A$33,0)))</x:f>
      </x:c>
      <x:c r="AA402" s="22" t="str">
        <x:f>IF($A402="","",G402/Z402)</x:f>
      </x:c>
      <x:c r="AB402" s="25" t="str">
        <x:f>IF($A402="","",IF(ISNUMBER(Y402),Y402,Settings!$B$10))</x:f>
      </x:c>
      <x:c r="AC402" s="23" t="str">
        <x:f>IF($A402="","",G402*(1+AB402))</x:f>
      </x:c>
      <x:c r="AD402" s="23" t="str">
        <x:f>IF($A402="","",G402*F402*12)</x:f>
      </x:c>
      <x:c r="AE402" s="23" t="str">
        <x:f>IF($A402="","",G402*F402*J402)</x:f>
      </x:c>
      <x:c r="AF402" s="24" t="str">
        <x:f>IF($A402="","",L402*F402*K402*Settings!$B$13)</x:f>
      </x:c>
      <x:c r="AG402" s="23" t="str">
        <x:f>IF($A402="","",AD402*H402*I402)</x:f>
      </x:c>
      <x:c r="AH402" s="24" t="str">
        <x:f>IF($A402="","",SUM(AD402:AE402,AG402)*SUM(Settings!$B$11:$B$12))</x:f>
      </x:c>
      <x:c r="AI402" s="24" t="str">
        <x:f>IF($A402="","",M402*Settings!$B$16)</x:f>
      </x:c>
      <x:c r="AJ402" s="24" t="str">
        <x:f>IF($A402="","",M402*Settings!$B$15)</x:f>
      </x:c>
      <x:c r="AK402" s="24" t="str">
        <x:f>IF($A402="","",O402*Settings!$B$18)</x:f>
      </x:c>
      <x:c r="AL402" s="24" t="str">
        <x:f>IF($A402="","",P402*Settings!$B$20+Q402*Settings!$B$21+R402*Settings!$B$22+S402*Settings!$B$23)</x:f>
      </x:c>
      <x:c r="AM402" s="24" t="str">
        <x:f>IF($A402="","",T402*Settings!$B$24)</x:f>
      </x:c>
      <x:c r="AN402" s="23" t="str">
        <x:f>IF($A402="","",SUM(AI402,N402,AK402:AM402,U402))</x:f>
      </x:c>
      <x:c r="AO402" s="23" t="str">
        <x:f>IF($A402="","",SUM(AD402:AI402,N402,AK402:AM402,U402))</x:f>
      </x:c>
      <x:c r="AP402" s="24" t="str">
        <x:f>IF($A402="","",G402*F402*AB402*((13-Settings!$B$9)*(1+H402*I402)+J402)*(1+SUM(Settings!$B$11:$B$12)))</x:f>
      </x:c>
      <x:c r="AQ402" s="23" t="str">
        <x:f>IF($A402="","",SUM(AO402:AP402))</x:f>
      </x:c>
      <x:c r="AR402" s="23" t="str">
        <x:f>IF($A402="","",AQ402-X402)</x:f>
      </x:c>
      <x:c r="AS402" s="22" t="str">
        <x:f>IF($A402="","",IF(W402=0,"n.a.",V402/W402))</x:f>
      </x:c>
      <x:c r="AT402" s="26" t="str">
        <x:f>IF($A402="",IF(COUNTA(B402:Y402)&gt;0,"Missing ID",""),IF(COUNTIFS($A$9:$A$508,A402)&gt;1,"Duplicate ID",IF(OR(B402="",C402="",D402="",E402="",COUNT(F402:X402)&lt;&gt;19),"Missing / text input",IF(OR(COUNTIFS(Settings!$A$59:$A$64,B402)&lt;&gt;1,COUNTIFS(Settings!$A$29:$A$33,E402)&lt;&gt;1),"Unknown department / grade",IF(OR(F402&lt;=0,F402&gt;1,G402&lt;=0,L402&lt;=0,H402&lt;0,I402&lt;0,J402&lt;0,K402&lt;0,K402&gt;1,MIN(M402:X402)&lt;0,W402=0,V402&gt;W402,M402&gt;W402-V402,P402&gt;8,Q402&gt;4,R402&gt;12,S402&gt;12,T402&gt;1,AB402&lt;0),"Review quantity / rate",IF(OR(N402&gt;Settings!$C$17,AK402&gt;Settings!$C$19),"Review benefit ceiling","OK"))))))</x:f>
      </x:c>
    </x:row>
    <x:row r="403" ht="23" customHeight="1">
      <x:c r="A403" s="8"/>
      <x:c r="B403" s="8"/>
      <x:c r="C403" s="8"/>
      <x:c r="D403" s="8"/>
      <x:c r="E403" s="8"/>
      <x:c r="F403" s="20"/>
      <x:c r="G403" s="12"/>
      <x:c r="H403" s="21"/>
      <x:c r="I403" s="20"/>
      <x:c r="J403" s="20"/>
      <x:c r="K403" s="20"/>
      <x:c r="L403" s="12"/>
      <x:c r="M403" s="8"/>
      <x:c r="N403" s="12"/>
      <x:c r="O403" s="8"/>
      <x:c r="P403" s="8"/>
      <x:c r="Q403" s="8"/>
      <x:c r="R403" s="8"/>
      <x:c r="S403" s="8"/>
      <x:c r="T403" s="8"/>
      <x:c r="U403" s="12"/>
      <x:c r="V403" s="8"/>
      <x:c r="W403" s="8"/>
      <x:c r="X403" s="12"/>
      <x:c r="Y403" s="21"/>
      <x:c r="Z403" s="24" t="str">
        <x:f>IF($A403="","",INDEX(Settings!$C$29:$C$33,MATCH(E403,Settings!$A$29:$A$33,0)))</x:f>
      </x:c>
      <x:c r="AA403" s="22" t="str">
        <x:f>IF($A403="","",G403/Z403)</x:f>
      </x:c>
      <x:c r="AB403" s="25" t="str">
        <x:f>IF($A403="","",IF(ISNUMBER(Y403),Y403,Settings!$B$10))</x:f>
      </x:c>
      <x:c r="AC403" s="23" t="str">
        <x:f>IF($A403="","",G403*(1+AB403))</x:f>
      </x:c>
      <x:c r="AD403" s="23" t="str">
        <x:f>IF($A403="","",G403*F403*12)</x:f>
      </x:c>
      <x:c r="AE403" s="23" t="str">
        <x:f>IF($A403="","",G403*F403*J403)</x:f>
      </x:c>
      <x:c r="AF403" s="24" t="str">
        <x:f>IF($A403="","",L403*F403*K403*Settings!$B$13)</x:f>
      </x:c>
      <x:c r="AG403" s="23" t="str">
        <x:f>IF($A403="","",AD403*H403*I403)</x:f>
      </x:c>
      <x:c r="AH403" s="24" t="str">
        <x:f>IF($A403="","",SUM(AD403:AE403,AG403)*SUM(Settings!$B$11:$B$12))</x:f>
      </x:c>
      <x:c r="AI403" s="24" t="str">
        <x:f>IF($A403="","",M403*Settings!$B$16)</x:f>
      </x:c>
      <x:c r="AJ403" s="24" t="str">
        <x:f>IF($A403="","",M403*Settings!$B$15)</x:f>
      </x:c>
      <x:c r="AK403" s="24" t="str">
        <x:f>IF($A403="","",O403*Settings!$B$18)</x:f>
      </x:c>
      <x:c r="AL403" s="24" t="str">
        <x:f>IF($A403="","",P403*Settings!$B$20+Q403*Settings!$B$21+R403*Settings!$B$22+S403*Settings!$B$23)</x:f>
      </x:c>
      <x:c r="AM403" s="24" t="str">
        <x:f>IF($A403="","",T403*Settings!$B$24)</x:f>
      </x:c>
      <x:c r="AN403" s="23" t="str">
        <x:f>IF($A403="","",SUM(AI403,N403,AK403:AM403,U403))</x:f>
      </x:c>
      <x:c r="AO403" s="23" t="str">
        <x:f>IF($A403="","",SUM(AD403:AI403,N403,AK403:AM403,U403))</x:f>
      </x:c>
      <x:c r="AP403" s="24" t="str">
        <x:f>IF($A403="","",G403*F403*AB403*((13-Settings!$B$9)*(1+H403*I403)+J403)*(1+SUM(Settings!$B$11:$B$12)))</x:f>
      </x:c>
      <x:c r="AQ403" s="23" t="str">
        <x:f>IF($A403="","",SUM(AO403:AP403))</x:f>
      </x:c>
      <x:c r="AR403" s="23" t="str">
        <x:f>IF($A403="","",AQ403-X403)</x:f>
      </x:c>
      <x:c r="AS403" s="22" t="str">
        <x:f>IF($A403="","",IF(W403=0,"n.a.",V403/W403))</x:f>
      </x:c>
      <x:c r="AT403" s="26" t="str">
        <x:f>IF($A403="",IF(COUNTA(B403:Y403)&gt;0,"Missing ID",""),IF(COUNTIFS($A$9:$A$508,A403)&gt;1,"Duplicate ID",IF(OR(B403="",C403="",D403="",E403="",COUNT(F403:X403)&lt;&gt;19),"Missing / text input",IF(OR(COUNTIFS(Settings!$A$59:$A$64,B403)&lt;&gt;1,COUNTIFS(Settings!$A$29:$A$33,E403)&lt;&gt;1),"Unknown department / grade",IF(OR(F403&lt;=0,F403&gt;1,G403&lt;=0,L403&lt;=0,H403&lt;0,I403&lt;0,J403&lt;0,K403&lt;0,K403&gt;1,MIN(M403:X403)&lt;0,W403=0,V403&gt;W403,M403&gt;W403-V403,P403&gt;8,Q403&gt;4,R403&gt;12,S403&gt;12,T403&gt;1,AB403&lt;0),"Review quantity / rate",IF(OR(N403&gt;Settings!$C$17,AK403&gt;Settings!$C$19),"Review benefit ceiling","OK"))))))</x:f>
      </x:c>
    </x:row>
    <x:row r="404" ht="23" customHeight="1">
      <x:c r="A404" s="8"/>
      <x:c r="B404" s="8"/>
      <x:c r="C404" s="8"/>
      <x:c r="D404" s="8"/>
      <x:c r="E404" s="8"/>
      <x:c r="F404" s="20"/>
      <x:c r="G404" s="12"/>
      <x:c r="H404" s="21"/>
      <x:c r="I404" s="20"/>
      <x:c r="J404" s="20"/>
      <x:c r="K404" s="20"/>
      <x:c r="L404" s="12"/>
      <x:c r="M404" s="8"/>
      <x:c r="N404" s="12"/>
      <x:c r="O404" s="8"/>
      <x:c r="P404" s="8"/>
      <x:c r="Q404" s="8"/>
      <x:c r="R404" s="8"/>
      <x:c r="S404" s="8"/>
      <x:c r="T404" s="8"/>
      <x:c r="U404" s="12"/>
      <x:c r="V404" s="8"/>
      <x:c r="W404" s="8"/>
      <x:c r="X404" s="12"/>
      <x:c r="Y404" s="21"/>
      <x:c r="Z404" s="24" t="str">
        <x:f>IF($A404="","",INDEX(Settings!$C$29:$C$33,MATCH(E404,Settings!$A$29:$A$33,0)))</x:f>
      </x:c>
      <x:c r="AA404" s="22" t="str">
        <x:f>IF($A404="","",G404/Z404)</x:f>
      </x:c>
      <x:c r="AB404" s="25" t="str">
        <x:f>IF($A404="","",IF(ISNUMBER(Y404),Y404,Settings!$B$10))</x:f>
      </x:c>
      <x:c r="AC404" s="23" t="str">
        <x:f>IF($A404="","",G404*(1+AB404))</x:f>
      </x:c>
      <x:c r="AD404" s="23" t="str">
        <x:f>IF($A404="","",G404*F404*12)</x:f>
      </x:c>
      <x:c r="AE404" s="23" t="str">
        <x:f>IF($A404="","",G404*F404*J404)</x:f>
      </x:c>
      <x:c r="AF404" s="24" t="str">
        <x:f>IF($A404="","",L404*F404*K404*Settings!$B$13)</x:f>
      </x:c>
      <x:c r="AG404" s="23" t="str">
        <x:f>IF($A404="","",AD404*H404*I404)</x:f>
      </x:c>
      <x:c r="AH404" s="24" t="str">
        <x:f>IF($A404="","",SUM(AD404:AE404,AG404)*SUM(Settings!$B$11:$B$12))</x:f>
      </x:c>
      <x:c r="AI404" s="24" t="str">
        <x:f>IF($A404="","",M404*Settings!$B$16)</x:f>
      </x:c>
      <x:c r="AJ404" s="24" t="str">
        <x:f>IF($A404="","",M404*Settings!$B$15)</x:f>
      </x:c>
      <x:c r="AK404" s="24" t="str">
        <x:f>IF($A404="","",O404*Settings!$B$18)</x:f>
      </x:c>
      <x:c r="AL404" s="24" t="str">
        <x:f>IF($A404="","",P404*Settings!$B$20+Q404*Settings!$B$21+R404*Settings!$B$22+S404*Settings!$B$23)</x:f>
      </x:c>
      <x:c r="AM404" s="24" t="str">
        <x:f>IF($A404="","",T404*Settings!$B$24)</x:f>
      </x:c>
      <x:c r="AN404" s="23" t="str">
        <x:f>IF($A404="","",SUM(AI404,N404,AK404:AM404,U404))</x:f>
      </x:c>
      <x:c r="AO404" s="23" t="str">
        <x:f>IF($A404="","",SUM(AD404:AI404,N404,AK404:AM404,U404))</x:f>
      </x:c>
      <x:c r="AP404" s="24" t="str">
        <x:f>IF($A404="","",G404*F404*AB404*((13-Settings!$B$9)*(1+H404*I404)+J404)*(1+SUM(Settings!$B$11:$B$12)))</x:f>
      </x:c>
      <x:c r="AQ404" s="23" t="str">
        <x:f>IF($A404="","",SUM(AO404:AP404))</x:f>
      </x:c>
      <x:c r="AR404" s="23" t="str">
        <x:f>IF($A404="","",AQ404-X404)</x:f>
      </x:c>
      <x:c r="AS404" s="22" t="str">
        <x:f>IF($A404="","",IF(W404=0,"n.a.",V404/W404))</x:f>
      </x:c>
      <x:c r="AT404" s="26" t="str">
        <x:f>IF($A404="",IF(COUNTA(B404:Y404)&gt;0,"Missing ID",""),IF(COUNTIFS($A$9:$A$508,A404)&gt;1,"Duplicate ID",IF(OR(B404="",C404="",D404="",E404="",COUNT(F404:X404)&lt;&gt;19),"Missing / text input",IF(OR(COUNTIFS(Settings!$A$59:$A$64,B404)&lt;&gt;1,COUNTIFS(Settings!$A$29:$A$33,E404)&lt;&gt;1),"Unknown department / grade",IF(OR(F404&lt;=0,F404&gt;1,G404&lt;=0,L404&lt;=0,H404&lt;0,I404&lt;0,J404&lt;0,K404&lt;0,K404&gt;1,MIN(M404:X404)&lt;0,W404=0,V404&gt;W404,M404&gt;W404-V404,P404&gt;8,Q404&gt;4,R404&gt;12,S404&gt;12,T404&gt;1,AB404&lt;0),"Review quantity / rate",IF(OR(N404&gt;Settings!$C$17,AK404&gt;Settings!$C$19),"Review benefit ceiling","OK"))))))</x:f>
      </x:c>
    </x:row>
    <x:row r="405" ht="23" customHeight="1">
      <x:c r="A405" s="8"/>
      <x:c r="B405" s="8"/>
      <x:c r="C405" s="8"/>
      <x:c r="D405" s="8"/>
      <x:c r="E405" s="8"/>
      <x:c r="F405" s="20"/>
      <x:c r="G405" s="12"/>
      <x:c r="H405" s="21"/>
      <x:c r="I405" s="20"/>
      <x:c r="J405" s="20"/>
      <x:c r="K405" s="20"/>
      <x:c r="L405" s="12"/>
      <x:c r="M405" s="8"/>
      <x:c r="N405" s="12"/>
      <x:c r="O405" s="8"/>
      <x:c r="P405" s="8"/>
      <x:c r="Q405" s="8"/>
      <x:c r="R405" s="8"/>
      <x:c r="S405" s="8"/>
      <x:c r="T405" s="8"/>
      <x:c r="U405" s="12"/>
      <x:c r="V405" s="8"/>
      <x:c r="W405" s="8"/>
      <x:c r="X405" s="12"/>
      <x:c r="Y405" s="21"/>
      <x:c r="Z405" s="24" t="str">
        <x:f>IF($A405="","",INDEX(Settings!$C$29:$C$33,MATCH(E405,Settings!$A$29:$A$33,0)))</x:f>
      </x:c>
      <x:c r="AA405" s="22" t="str">
        <x:f>IF($A405="","",G405/Z405)</x:f>
      </x:c>
      <x:c r="AB405" s="25" t="str">
        <x:f>IF($A405="","",IF(ISNUMBER(Y405),Y405,Settings!$B$10))</x:f>
      </x:c>
      <x:c r="AC405" s="23" t="str">
        <x:f>IF($A405="","",G405*(1+AB405))</x:f>
      </x:c>
      <x:c r="AD405" s="23" t="str">
        <x:f>IF($A405="","",G405*F405*12)</x:f>
      </x:c>
      <x:c r="AE405" s="23" t="str">
        <x:f>IF($A405="","",G405*F405*J405)</x:f>
      </x:c>
      <x:c r="AF405" s="24" t="str">
        <x:f>IF($A405="","",L405*F405*K405*Settings!$B$13)</x:f>
      </x:c>
      <x:c r="AG405" s="23" t="str">
        <x:f>IF($A405="","",AD405*H405*I405)</x:f>
      </x:c>
      <x:c r="AH405" s="24" t="str">
        <x:f>IF($A405="","",SUM(AD405:AE405,AG405)*SUM(Settings!$B$11:$B$12))</x:f>
      </x:c>
      <x:c r="AI405" s="24" t="str">
        <x:f>IF($A405="","",M405*Settings!$B$16)</x:f>
      </x:c>
      <x:c r="AJ405" s="24" t="str">
        <x:f>IF($A405="","",M405*Settings!$B$15)</x:f>
      </x:c>
      <x:c r="AK405" s="24" t="str">
        <x:f>IF($A405="","",O405*Settings!$B$18)</x:f>
      </x:c>
      <x:c r="AL405" s="24" t="str">
        <x:f>IF($A405="","",P405*Settings!$B$20+Q405*Settings!$B$21+R405*Settings!$B$22+S405*Settings!$B$23)</x:f>
      </x:c>
      <x:c r="AM405" s="24" t="str">
        <x:f>IF($A405="","",T405*Settings!$B$24)</x:f>
      </x:c>
      <x:c r="AN405" s="23" t="str">
        <x:f>IF($A405="","",SUM(AI405,N405,AK405:AM405,U405))</x:f>
      </x:c>
      <x:c r="AO405" s="23" t="str">
        <x:f>IF($A405="","",SUM(AD405:AI405,N405,AK405:AM405,U405))</x:f>
      </x:c>
      <x:c r="AP405" s="24" t="str">
        <x:f>IF($A405="","",G405*F405*AB405*((13-Settings!$B$9)*(1+H405*I405)+J405)*(1+SUM(Settings!$B$11:$B$12)))</x:f>
      </x:c>
      <x:c r="AQ405" s="23" t="str">
        <x:f>IF($A405="","",SUM(AO405:AP405))</x:f>
      </x:c>
      <x:c r="AR405" s="23" t="str">
        <x:f>IF($A405="","",AQ405-X405)</x:f>
      </x:c>
      <x:c r="AS405" s="22" t="str">
        <x:f>IF($A405="","",IF(W405=0,"n.a.",V405/W405))</x:f>
      </x:c>
      <x:c r="AT405" s="26" t="str">
        <x:f>IF($A405="",IF(COUNTA(B405:Y405)&gt;0,"Missing ID",""),IF(COUNTIFS($A$9:$A$508,A405)&gt;1,"Duplicate ID",IF(OR(B405="",C405="",D405="",E405="",COUNT(F405:X405)&lt;&gt;19),"Missing / text input",IF(OR(COUNTIFS(Settings!$A$59:$A$64,B405)&lt;&gt;1,COUNTIFS(Settings!$A$29:$A$33,E405)&lt;&gt;1),"Unknown department / grade",IF(OR(F405&lt;=0,F405&gt;1,G405&lt;=0,L405&lt;=0,H405&lt;0,I405&lt;0,J405&lt;0,K405&lt;0,K405&gt;1,MIN(M405:X405)&lt;0,W405=0,V405&gt;W405,M405&gt;W405-V405,P405&gt;8,Q405&gt;4,R405&gt;12,S405&gt;12,T405&gt;1,AB405&lt;0),"Review quantity / rate",IF(OR(N405&gt;Settings!$C$17,AK405&gt;Settings!$C$19),"Review benefit ceiling","OK"))))))</x:f>
      </x:c>
    </x:row>
    <x:row r="406" ht="23" customHeight="1">
      <x:c r="A406" s="8"/>
      <x:c r="B406" s="8"/>
      <x:c r="C406" s="8"/>
      <x:c r="D406" s="8"/>
      <x:c r="E406" s="8"/>
      <x:c r="F406" s="20"/>
      <x:c r="G406" s="12"/>
      <x:c r="H406" s="21"/>
      <x:c r="I406" s="20"/>
      <x:c r="J406" s="20"/>
      <x:c r="K406" s="20"/>
      <x:c r="L406" s="12"/>
      <x:c r="M406" s="8"/>
      <x:c r="N406" s="12"/>
      <x:c r="O406" s="8"/>
      <x:c r="P406" s="8"/>
      <x:c r="Q406" s="8"/>
      <x:c r="R406" s="8"/>
      <x:c r="S406" s="8"/>
      <x:c r="T406" s="8"/>
      <x:c r="U406" s="12"/>
      <x:c r="V406" s="8"/>
      <x:c r="W406" s="8"/>
      <x:c r="X406" s="12"/>
      <x:c r="Y406" s="21"/>
      <x:c r="Z406" s="24" t="str">
        <x:f>IF($A406="","",INDEX(Settings!$C$29:$C$33,MATCH(E406,Settings!$A$29:$A$33,0)))</x:f>
      </x:c>
      <x:c r="AA406" s="22" t="str">
        <x:f>IF($A406="","",G406/Z406)</x:f>
      </x:c>
      <x:c r="AB406" s="25" t="str">
        <x:f>IF($A406="","",IF(ISNUMBER(Y406),Y406,Settings!$B$10))</x:f>
      </x:c>
      <x:c r="AC406" s="23" t="str">
        <x:f>IF($A406="","",G406*(1+AB406))</x:f>
      </x:c>
      <x:c r="AD406" s="23" t="str">
        <x:f>IF($A406="","",G406*F406*12)</x:f>
      </x:c>
      <x:c r="AE406" s="23" t="str">
        <x:f>IF($A406="","",G406*F406*J406)</x:f>
      </x:c>
      <x:c r="AF406" s="24" t="str">
        <x:f>IF($A406="","",L406*F406*K406*Settings!$B$13)</x:f>
      </x:c>
      <x:c r="AG406" s="23" t="str">
        <x:f>IF($A406="","",AD406*H406*I406)</x:f>
      </x:c>
      <x:c r="AH406" s="24" t="str">
        <x:f>IF($A406="","",SUM(AD406:AE406,AG406)*SUM(Settings!$B$11:$B$12))</x:f>
      </x:c>
      <x:c r="AI406" s="24" t="str">
        <x:f>IF($A406="","",M406*Settings!$B$16)</x:f>
      </x:c>
      <x:c r="AJ406" s="24" t="str">
        <x:f>IF($A406="","",M406*Settings!$B$15)</x:f>
      </x:c>
      <x:c r="AK406" s="24" t="str">
        <x:f>IF($A406="","",O406*Settings!$B$18)</x:f>
      </x:c>
      <x:c r="AL406" s="24" t="str">
        <x:f>IF($A406="","",P406*Settings!$B$20+Q406*Settings!$B$21+R406*Settings!$B$22+S406*Settings!$B$23)</x:f>
      </x:c>
      <x:c r="AM406" s="24" t="str">
        <x:f>IF($A406="","",T406*Settings!$B$24)</x:f>
      </x:c>
      <x:c r="AN406" s="23" t="str">
        <x:f>IF($A406="","",SUM(AI406,N406,AK406:AM406,U406))</x:f>
      </x:c>
      <x:c r="AO406" s="23" t="str">
        <x:f>IF($A406="","",SUM(AD406:AI406,N406,AK406:AM406,U406))</x:f>
      </x:c>
      <x:c r="AP406" s="24" t="str">
        <x:f>IF($A406="","",G406*F406*AB406*((13-Settings!$B$9)*(1+H406*I406)+J406)*(1+SUM(Settings!$B$11:$B$12)))</x:f>
      </x:c>
      <x:c r="AQ406" s="23" t="str">
        <x:f>IF($A406="","",SUM(AO406:AP406))</x:f>
      </x:c>
      <x:c r="AR406" s="23" t="str">
        <x:f>IF($A406="","",AQ406-X406)</x:f>
      </x:c>
      <x:c r="AS406" s="22" t="str">
        <x:f>IF($A406="","",IF(W406=0,"n.a.",V406/W406))</x:f>
      </x:c>
      <x:c r="AT406" s="26" t="str">
        <x:f>IF($A406="",IF(COUNTA(B406:Y406)&gt;0,"Missing ID",""),IF(COUNTIFS($A$9:$A$508,A406)&gt;1,"Duplicate ID",IF(OR(B406="",C406="",D406="",E406="",COUNT(F406:X406)&lt;&gt;19),"Missing / text input",IF(OR(COUNTIFS(Settings!$A$59:$A$64,B406)&lt;&gt;1,COUNTIFS(Settings!$A$29:$A$33,E406)&lt;&gt;1),"Unknown department / grade",IF(OR(F406&lt;=0,F406&gt;1,G406&lt;=0,L406&lt;=0,H406&lt;0,I406&lt;0,J406&lt;0,K406&lt;0,K406&gt;1,MIN(M406:X406)&lt;0,W406=0,V406&gt;W406,M406&gt;W406-V406,P406&gt;8,Q406&gt;4,R406&gt;12,S406&gt;12,T406&gt;1,AB406&lt;0),"Review quantity / rate",IF(OR(N406&gt;Settings!$C$17,AK406&gt;Settings!$C$19),"Review benefit ceiling","OK"))))))</x:f>
      </x:c>
    </x:row>
    <x:row r="407" ht="23" customHeight="1">
      <x:c r="A407" s="8"/>
      <x:c r="B407" s="8"/>
      <x:c r="C407" s="8"/>
      <x:c r="D407" s="8"/>
      <x:c r="E407" s="8"/>
      <x:c r="F407" s="20"/>
      <x:c r="G407" s="12"/>
      <x:c r="H407" s="21"/>
      <x:c r="I407" s="20"/>
      <x:c r="J407" s="20"/>
      <x:c r="K407" s="20"/>
      <x:c r="L407" s="12"/>
      <x:c r="M407" s="8"/>
      <x:c r="N407" s="12"/>
      <x:c r="O407" s="8"/>
      <x:c r="P407" s="8"/>
      <x:c r="Q407" s="8"/>
      <x:c r="R407" s="8"/>
      <x:c r="S407" s="8"/>
      <x:c r="T407" s="8"/>
      <x:c r="U407" s="12"/>
      <x:c r="V407" s="8"/>
      <x:c r="W407" s="8"/>
      <x:c r="X407" s="12"/>
      <x:c r="Y407" s="21"/>
      <x:c r="Z407" s="24" t="str">
        <x:f>IF($A407="","",INDEX(Settings!$C$29:$C$33,MATCH(E407,Settings!$A$29:$A$33,0)))</x:f>
      </x:c>
      <x:c r="AA407" s="22" t="str">
        <x:f>IF($A407="","",G407/Z407)</x:f>
      </x:c>
      <x:c r="AB407" s="25" t="str">
        <x:f>IF($A407="","",IF(ISNUMBER(Y407),Y407,Settings!$B$10))</x:f>
      </x:c>
      <x:c r="AC407" s="23" t="str">
        <x:f>IF($A407="","",G407*(1+AB407))</x:f>
      </x:c>
      <x:c r="AD407" s="23" t="str">
        <x:f>IF($A407="","",G407*F407*12)</x:f>
      </x:c>
      <x:c r="AE407" s="23" t="str">
        <x:f>IF($A407="","",G407*F407*J407)</x:f>
      </x:c>
      <x:c r="AF407" s="24" t="str">
        <x:f>IF($A407="","",L407*F407*K407*Settings!$B$13)</x:f>
      </x:c>
      <x:c r="AG407" s="23" t="str">
        <x:f>IF($A407="","",AD407*H407*I407)</x:f>
      </x:c>
      <x:c r="AH407" s="24" t="str">
        <x:f>IF($A407="","",SUM(AD407:AE407,AG407)*SUM(Settings!$B$11:$B$12))</x:f>
      </x:c>
      <x:c r="AI407" s="24" t="str">
        <x:f>IF($A407="","",M407*Settings!$B$16)</x:f>
      </x:c>
      <x:c r="AJ407" s="24" t="str">
        <x:f>IF($A407="","",M407*Settings!$B$15)</x:f>
      </x:c>
      <x:c r="AK407" s="24" t="str">
        <x:f>IF($A407="","",O407*Settings!$B$18)</x:f>
      </x:c>
      <x:c r="AL407" s="24" t="str">
        <x:f>IF($A407="","",P407*Settings!$B$20+Q407*Settings!$B$21+R407*Settings!$B$22+S407*Settings!$B$23)</x:f>
      </x:c>
      <x:c r="AM407" s="24" t="str">
        <x:f>IF($A407="","",T407*Settings!$B$24)</x:f>
      </x:c>
      <x:c r="AN407" s="23" t="str">
        <x:f>IF($A407="","",SUM(AI407,N407,AK407:AM407,U407))</x:f>
      </x:c>
      <x:c r="AO407" s="23" t="str">
        <x:f>IF($A407="","",SUM(AD407:AI407,N407,AK407:AM407,U407))</x:f>
      </x:c>
      <x:c r="AP407" s="24" t="str">
        <x:f>IF($A407="","",G407*F407*AB407*((13-Settings!$B$9)*(1+H407*I407)+J407)*(1+SUM(Settings!$B$11:$B$12)))</x:f>
      </x:c>
      <x:c r="AQ407" s="23" t="str">
        <x:f>IF($A407="","",SUM(AO407:AP407))</x:f>
      </x:c>
      <x:c r="AR407" s="23" t="str">
        <x:f>IF($A407="","",AQ407-X407)</x:f>
      </x:c>
      <x:c r="AS407" s="22" t="str">
        <x:f>IF($A407="","",IF(W407=0,"n.a.",V407/W407))</x:f>
      </x:c>
      <x:c r="AT407" s="26" t="str">
        <x:f>IF($A407="",IF(COUNTA(B407:Y407)&gt;0,"Missing ID",""),IF(COUNTIFS($A$9:$A$508,A407)&gt;1,"Duplicate ID",IF(OR(B407="",C407="",D407="",E407="",COUNT(F407:X407)&lt;&gt;19),"Missing / text input",IF(OR(COUNTIFS(Settings!$A$59:$A$64,B407)&lt;&gt;1,COUNTIFS(Settings!$A$29:$A$33,E407)&lt;&gt;1),"Unknown department / grade",IF(OR(F407&lt;=0,F407&gt;1,G407&lt;=0,L407&lt;=0,H407&lt;0,I407&lt;0,J407&lt;0,K407&lt;0,K407&gt;1,MIN(M407:X407)&lt;0,W407=0,V407&gt;W407,M407&gt;W407-V407,P407&gt;8,Q407&gt;4,R407&gt;12,S407&gt;12,T407&gt;1,AB407&lt;0),"Review quantity / rate",IF(OR(N407&gt;Settings!$C$17,AK407&gt;Settings!$C$19),"Review benefit ceiling","OK"))))))</x:f>
      </x:c>
    </x:row>
    <x:row r="408" ht="23" customHeight="1">
      <x:c r="A408" s="8"/>
      <x:c r="B408" s="8"/>
      <x:c r="C408" s="8"/>
      <x:c r="D408" s="8"/>
      <x:c r="E408" s="8"/>
      <x:c r="F408" s="20"/>
      <x:c r="G408" s="12"/>
      <x:c r="H408" s="21"/>
      <x:c r="I408" s="20"/>
      <x:c r="J408" s="20"/>
      <x:c r="K408" s="20"/>
      <x:c r="L408" s="12"/>
      <x:c r="M408" s="8"/>
      <x:c r="N408" s="12"/>
      <x:c r="O408" s="8"/>
      <x:c r="P408" s="8"/>
      <x:c r="Q408" s="8"/>
      <x:c r="R408" s="8"/>
      <x:c r="S408" s="8"/>
      <x:c r="T408" s="8"/>
      <x:c r="U408" s="12"/>
      <x:c r="V408" s="8"/>
      <x:c r="W408" s="8"/>
      <x:c r="X408" s="12"/>
      <x:c r="Y408" s="21"/>
      <x:c r="Z408" s="24" t="str">
        <x:f>IF($A408="","",INDEX(Settings!$C$29:$C$33,MATCH(E408,Settings!$A$29:$A$33,0)))</x:f>
      </x:c>
      <x:c r="AA408" s="22" t="str">
        <x:f>IF($A408="","",G408/Z408)</x:f>
      </x:c>
      <x:c r="AB408" s="25" t="str">
        <x:f>IF($A408="","",IF(ISNUMBER(Y408),Y408,Settings!$B$10))</x:f>
      </x:c>
      <x:c r="AC408" s="23" t="str">
        <x:f>IF($A408="","",G408*(1+AB408))</x:f>
      </x:c>
      <x:c r="AD408" s="23" t="str">
        <x:f>IF($A408="","",G408*F408*12)</x:f>
      </x:c>
      <x:c r="AE408" s="23" t="str">
        <x:f>IF($A408="","",G408*F408*J408)</x:f>
      </x:c>
      <x:c r="AF408" s="24" t="str">
        <x:f>IF($A408="","",L408*F408*K408*Settings!$B$13)</x:f>
      </x:c>
      <x:c r="AG408" s="23" t="str">
        <x:f>IF($A408="","",AD408*H408*I408)</x:f>
      </x:c>
      <x:c r="AH408" s="24" t="str">
        <x:f>IF($A408="","",SUM(AD408:AE408,AG408)*SUM(Settings!$B$11:$B$12))</x:f>
      </x:c>
      <x:c r="AI408" s="24" t="str">
        <x:f>IF($A408="","",M408*Settings!$B$16)</x:f>
      </x:c>
      <x:c r="AJ408" s="24" t="str">
        <x:f>IF($A408="","",M408*Settings!$B$15)</x:f>
      </x:c>
      <x:c r="AK408" s="24" t="str">
        <x:f>IF($A408="","",O408*Settings!$B$18)</x:f>
      </x:c>
      <x:c r="AL408" s="24" t="str">
        <x:f>IF($A408="","",P408*Settings!$B$20+Q408*Settings!$B$21+R408*Settings!$B$22+S408*Settings!$B$23)</x:f>
      </x:c>
      <x:c r="AM408" s="24" t="str">
        <x:f>IF($A408="","",T408*Settings!$B$24)</x:f>
      </x:c>
      <x:c r="AN408" s="23" t="str">
        <x:f>IF($A408="","",SUM(AI408,N408,AK408:AM408,U408))</x:f>
      </x:c>
      <x:c r="AO408" s="23" t="str">
        <x:f>IF($A408="","",SUM(AD408:AI408,N408,AK408:AM408,U408))</x:f>
      </x:c>
      <x:c r="AP408" s="24" t="str">
        <x:f>IF($A408="","",G408*F408*AB408*((13-Settings!$B$9)*(1+H408*I408)+J408)*(1+SUM(Settings!$B$11:$B$12)))</x:f>
      </x:c>
      <x:c r="AQ408" s="23" t="str">
        <x:f>IF($A408="","",SUM(AO408:AP408))</x:f>
      </x:c>
      <x:c r="AR408" s="23" t="str">
        <x:f>IF($A408="","",AQ408-X408)</x:f>
      </x:c>
      <x:c r="AS408" s="22" t="str">
        <x:f>IF($A408="","",IF(W408=0,"n.a.",V408/W408))</x:f>
      </x:c>
      <x:c r="AT408" s="26" t="str">
        <x:f>IF($A408="",IF(COUNTA(B408:Y408)&gt;0,"Missing ID",""),IF(COUNTIFS($A$9:$A$508,A408)&gt;1,"Duplicate ID",IF(OR(B408="",C408="",D408="",E408="",COUNT(F408:X408)&lt;&gt;19),"Missing / text input",IF(OR(COUNTIFS(Settings!$A$59:$A$64,B408)&lt;&gt;1,COUNTIFS(Settings!$A$29:$A$33,E408)&lt;&gt;1),"Unknown department / grade",IF(OR(F408&lt;=0,F408&gt;1,G408&lt;=0,L408&lt;=0,H408&lt;0,I408&lt;0,J408&lt;0,K408&lt;0,K408&gt;1,MIN(M408:X408)&lt;0,W408=0,V408&gt;W408,M408&gt;W408-V408,P408&gt;8,Q408&gt;4,R408&gt;12,S408&gt;12,T408&gt;1,AB408&lt;0),"Review quantity / rate",IF(OR(N408&gt;Settings!$C$17,AK408&gt;Settings!$C$19),"Review benefit ceiling","OK"))))))</x:f>
      </x:c>
    </x:row>
    <x:row r="409" ht="23" customHeight="1">
      <x:c r="A409" s="8"/>
      <x:c r="B409" s="8"/>
      <x:c r="C409" s="8"/>
      <x:c r="D409" s="8"/>
      <x:c r="E409" s="8"/>
      <x:c r="F409" s="20"/>
      <x:c r="G409" s="12"/>
      <x:c r="H409" s="21"/>
      <x:c r="I409" s="20"/>
      <x:c r="J409" s="20"/>
      <x:c r="K409" s="20"/>
      <x:c r="L409" s="12"/>
      <x:c r="M409" s="8"/>
      <x:c r="N409" s="12"/>
      <x:c r="O409" s="8"/>
      <x:c r="P409" s="8"/>
      <x:c r="Q409" s="8"/>
      <x:c r="R409" s="8"/>
      <x:c r="S409" s="8"/>
      <x:c r="T409" s="8"/>
      <x:c r="U409" s="12"/>
      <x:c r="V409" s="8"/>
      <x:c r="W409" s="8"/>
      <x:c r="X409" s="12"/>
      <x:c r="Y409" s="21"/>
      <x:c r="Z409" s="24" t="str">
        <x:f>IF($A409="","",INDEX(Settings!$C$29:$C$33,MATCH(E409,Settings!$A$29:$A$33,0)))</x:f>
      </x:c>
      <x:c r="AA409" s="22" t="str">
        <x:f>IF($A409="","",G409/Z409)</x:f>
      </x:c>
      <x:c r="AB409" s="25" t="str">
        <x:f>IF($A409="","",IF(ISNUMBER(Y409),Y409,Settings!$B$10))</x:f>
      </x:c>
      <x:c r="AC409" s="23" t="str">
        <x:f>IF($A409="","",G409*(1+AB409))</x:f>
      </x:c>
      <x:c r="AD409" s="23" t="str">
        <x:f>IF($A409="","",G409*F409*12)</x:f>
      </x:c>
      <x:c r="AE409" s="23" t="str">
        <x:f>IF($A409="","",G409*F409*J409)</x:f>
      </x:c>
      <x:c r="AF409" s="24" t="str">
        <x:f>IF($A409="","",L409*F409*K409*Settings!$B$13)</x:f>
      </x:c>
      <x:c r="AG409" s="23" t="str">
        <x:f>IF($A409="","",AD409*H409*I409)</x:f>
      </x:c>
      <x:c r="AH409" s="24" t="str">
        <x:f>IF($A409="","",SUM(AD409:AE409,AG409)*SUM(Settings!$B$11:$B$12))</x:f>
      </x:c>
      <x:c r="AI409" s="24" t="str">
        <x:f>IF($A409="","",M409*Settings!$B$16)</x:f>
      </x:c>
      <x:c r="AJ409" s="24" t="str">
        <x:f>IF($A409="","",M409*Settings!$B$15)</x:f>
      </x:c>
      <x:c r="AK409" s="24" t="str">
        <x:f>IF($A409="","",O409*Settings!$B$18)</x:f>
      </x:c>
      <x:c r="AL409" s="24" t="str">
        <x:f>IF($A409="","",P409*Settings!$B$20+Q409*Settings!$B$21+R409*Settings!$B$22+S409*Settings!$B$23)</x:f>
      </x:c>
      <x:c r="AM409" s="24" t="str">
        <x:f>IF($A409="","",T409*Settings!$B$24)</x:f>
      </x:c>
      <x:c r="AN409" s="23" t="str">
        <x:f>IF($A409="","",SUM(AI409,N409,AK409:AM409,U409))</x:f>
      </x:c>
      <x:c r="AO409" s="23" t="str">
        <x:f>IF($A409="","",SUM(AD409:AI409,N409,AK409:AM409,U409))</x:f>
      </x:c>
      <x:c r="AP409" s="24" t="str">
        <x:f>IF($A409="","",G409*F409*AB409*((13-Settings!$B$9)*(1+H409*I409)+J409)*(1+SUM(Settings!$B$11:$B$12)))</x:f>
      </x:c>
      <x:c r="AQ409" s="23" t="str">
        <x:f>IF($A409="","",SUM(AO409:AP409))</x:f>
      </x:c>
      <x:c r="AR409" s="23" t="str">
        <x:f>IF($A409="","",AQ409-X409)</x:f>
      </x:c>
      <x:c r="AS409" s="22" t="str">
        <x:f>IF($A409="","",IF(W409=0,"n.a.",V409/W409))</x:f>
      </x:c>
      <x:c r="AT409" s="26" t="str">
        <x:f>IF($A409="",IF(COUNTA(B409:Y409)&gt;0,"Missing ID",""),IF(COUNTIFS($A$9:$A$508,A409)&gt;1,"Duplicate ID",IF(OR(B409="",C409="",D409="",E409="",COUNT(F409:X409)&lt;&gt;19),"Missing / text input",IF(OR(COUNTIFS(Settings!$A$59:$A$64,B409)&lt;&gt;1,COUNTIFS(Settings!$A$29:$A$33,E409)&lt;&gt;1),"Unknown department / grade",IF(OR(F409&lt;=0,F409&gt;1,G409&lt;=0,L409&lt;=0,H409&lt;0,I409&lt;0,J409&lt;0,K409&lt;0,K409&gt;1,MIN(M409:X409)&lt;0,W409=0,V409&gt;W409,M409&gt;W409-V409,P409&gt;8,Q409&gt;4,R409&gt;12,S409&gt;12,T409&gt;1,AB409&lt;0),"Review quantity / rate",IF(OR(N409&gt;Settings!$C$17,AK409&gt;Settings!$C$19),"Review benefit ceiling","OK"))))))</x:f>
      </x:c>
    </x:row>
    <x:row r="410" ht="23" customHeight="1">
      <x:c r="A410" s="8"/>
      <x:c r="B410" s="8"/>
      <x:c r="C410" s="8"/>
      <x:c r="D410" s="8"/>
      <x:c r="E410" s="8"/>
      <x:c r="F410" s="20"/>
      <x:c r="G410" s="12"/>
      <x:c r="H410" s="21"/>
      <x:c r="I410" s="20"/>
      <x:c r="J410" s="20"/>
      <x:c r="K410" s="20"/>
      <x:c r="L410" s="12"/>
      <x:c r="M410" s="8"/>
      <x:c r="N410" s="12"/>
      <x:c r="O410" s="8"/>
      <x:c r="P410" s="8"/>
      <x:c r="Q410" s="8"/>
      <x:c r="R410" s="8"/>
      <x:c r="S410" s="8"/>
      <x:c r="T410" s="8"/>
      <x:c r="U410" s="12"/>
      <x:c r="V410" s="8"/>
      <x:c r="W410" s="8"/>
      <x:c r="X410" s="12"/>
      <x:c r="Y410" s="21"/>
      <x:c r="Z410" s="24" t="str">
        <x:f>IF($A410="","",INDEX(Settings!$C$29:$C$33,MATCH(E410,Settings!$A$29:$A$33,0)))</x:f>
      </x:c>
      <x:c r="AA410" s="22" t="str">
        <x:f>IF($A410="","",G410/Z410)</x:f>
      </x:c>
      <x:c r="AB410" s="25" t="str">
        <x:f>IF($A410="","",IF(ISNUMBER(Y410),Y410,Settings!$B$10))</x:f>
      </x:c>
      <x:c r="AC410" s="23" t="str">
        <x:f>IF($A410="","",G410*(1+AB410))</x:f>
      </x:c>
      <x:c r="AD410" s="23" t="str">
        <x:f>IF($A410="","",G410*F410*12)</x:f>
      </x:c>
      <x:c r="AE410" s="23" t="str">
        <x:f>IF($A410="","",G410*F410*J410)</x:f>
      </x:c>
      <x:c r="AF410" s="24" t="str">
        <x:f>IF($A410="","",L410*F410*K410*Settings!$B$13)</x:f>
      </x:c>
      <x:c r="AG410" s="23" t="str">
        <x:f>IF($A410="","",AD410*H410*I410)</x:f>
      </x:c>
      <x:c r="AH410" s="24" t="str">
        <x:f>IF($A410="","",SUM(AD410:AE410,AG410)*SUM(Settings!$B$11:$B$12))</x:f>
      </x:c>
      <x:c r="AI410" s="24" t="str">
        <x:f>IF($A410="","",M410*Settings!$B$16)</x:f>
      </x:c>
      <x:c r="AJ410" s="24" t="str">
        <x:f>IF($A410="","",M410*Settings!$B$15)</x:f>
      </x:c>
      <x:c r="AK410" s="24" t="str">
        <x:f>IF($A410="","",O410*Settings!$B$18)</x:f>
      </x:c>
      <x:c r="AL410" s="24" t="str">
        <x:f>IF($A410="","",P410*Settings!$B$20+Q410*Settings!$B$21+R410*Settings!$B$22+S410*Settings!$B$23)</x:f>
      </x:c>
      <x:c r="AM410" s="24" t="str">
        <x:f>IF($A410="","",T410*Settings!$B$24)</x:f>
      </x:c>
      <x:c r="AN410" s="23" t="str">
        <x:f>IF($A410="","",SUM(AI410,N410,AK410:AM410,U410))</x:f>
      </x:c>
      <x:c r="AO410" s="23" t="str">
        <x:f>IF($A410="","",SUM(AD410:AI410,N410,AK410:AM410,U410))</x:f>
      </x:c>
      <x:c r="AP410" s="24" t="str">
        <x:f>IF($A410="","",G410*F410*AB410*((13-Settings!$B$9)*(1+H410*I410)+J410)*(1+SUM(Settings!$B$11:$B$12)))</x:f>
      </x:c>
      <x:c r="AQ410" s="23" t="str">
        <x:f>IF($A410="","",SUM(AO410:AP410))</x:f>
      </x:c>
      <x:c r="AR410" s="23" t="str">
        <x:f>IF($A410="","",AQ410-X410)</x:f>
      </x:c>
      <x:c r="AS410" s="22" t="str">
        <x:f>IF($A410="","",IF(W410=0,"n.a.",V410/W410))</x:f>
      </x:c>
      <x:c r="AT410" s="26" t="str">
        <x:f>IF($A410="",IF(COUNTA(B410:Y410)&gt;0,"Missing ID",""),IF(COUNTIFS($A$9:$A$508,A410)&gt;1,"Duplicate ID",IF(OR(B410="",C410="",D410="",E410="",COUNT(F410:X410)&lt;&gt;19),"Missing / text input",IF(OR(COUNTIFS(Settings!$A$59:$A$64,B410)&lt;&gt;1,COUNTIFS(Settings!$A$29:$A$33,E410)&lt;&gt;1),"Unknown department / grade",IF(OR(F410&lt;=0,F410&gt;1,G410&lt;=0,L410&lt;=0,H410&lt;0,I410&lt;0,J410&lt;0,K410&lt;0,K410&gt;1,MIN(M410:X410)&lt;0,W410=0,V410&gt;W410,M410&gt;W410-V410,P410&gt;8,Q410&gt;4,R410&gt;12,S410&gt;12,T410&gt;1,AB410&lt;0),"Review quantity / rate",IF(OR(N410&gt;Settings!$C$17,AK410&gt;Settings!$C$19),"Review benefit ceiling","OK"))))))</x:f>
      </x:c>
    </x:row>
    <x:row r="411" ht="23" customHeight="1">
      <x:c r="A411" s="8"/>
      <x:c r="B411" s="8"/>
      <x:c r="C411" s="8"/>
      <x:c r="D411" s="8"/>
      <x:c r="E411" s="8"/>
      <x:c r="F411" s="20"/>
      <x:c r="G411" s="12"/>
      <x:c r="H411" s="21"/>
      <x:c r="I411" s="20"/>
      <x:c r="J411" s="20"/>
      <x:c r="K411" s="20"/>
      <x:c r="L411" s="12"/>
      <x:c r="M411" s="8"/>
      <x:c r="N411" s="12"/>
      <x:c r="O411" s="8"/>
      <x:c r="P411" s="8"/>
      <x:c r="Q411" s="8"/>
      <x:c r="R411" s="8"/>
      <x:c r="S411" s="8"/>
      <x:c r="T411" s="8"/>
      <x:c r="U411" s="12"/>
      <x:c r="V411" s="8"/>
      <x:c r="W411" s="8"/>
      <x:c r="X411" s="12"/>
      <x:c r="Y411" s="21"/>
      <x:c r="Z411" s="24" t="str">
        <x:f>IF($A411="","",INDEX(Settings!$C$29:$C$33,MATCH(E411,Settings!$A$29:$A$33,0)))</x:f>
      </x:c>
      <x:c r="AA411" s="22" t="str">
        <x:f>IF($A411="","",G411/Z411)</x:f>
      </x:c>
      <x:c r="AB411" s="25" t="str">
        <x:f>IF($A411="","",IF(ISNUMBER(Y411),Y411,Settings!$B$10))</x:f>
      </x:c>
      <x:c r="AC411" s="23" t="str">
        <x:f>IF($A411="","",G411*(1+AB411))</x:f>
      </x:c>
      <x:c r="AD411" s="23" t="str">
        <x:f>IF($A411="","",G411*F411*12)</x:f>
      </x:c>
      <x:c r="AE411" s="23" t="str">
        <x:f>IF($A411="","",G411*F411*J411)</x:f>
      </x:c>
      <x:c r="AF411" s="24" t="str">
        <x:f>IF($A411="","",L411*F411*K411*Settings!$B$13)</x:f>
      </x:c>
      <x:c r="AG411" s="23" t="str">
        <x:f>IF($A411="","",AD411*H411*I411)</x:f>
      </x:c>
      <x:c r="AH411" s="24" t="str">
        <x:f>IF($A411="","",SUM(AD411:AE411,AG411)*SUM(Settings!$B$11:$B$12))</x:f>
      </x:c>
      <x:c r="AI411" s="24" t="str">
        <x:f>IF($A411="","",M411*Settings!$B$16)</x:f>
      </x:c>
      <x:c r="AJ411" s="24" t="str">
        <x:f>IF($A411="","",M411*Settings!$B$15)</x:f>
      </x:c>
      <x:c r="AK411" s="24" t="str">
        <x:f>IF($A411="","",O411*Settings!$B$18)</x:f>
      </x:c>
      <x:c r="AL411" s="24" t="str">
        <x:f>IF($A411="","",P411*Settings!$B$20+Q411*Settings!$B$21+R411*Settings!$B$22+S411*Settings!$B$23)</x:f>
      </x:c>
      <x:c r="AM411" s="24" t="str">
        <x:f>IF($A411="","",T411*Settings!$B$24)</x:f>
      </x:c>
      <x:c r="AN411" s="23" t="str">
        <x:f>IF($A411="","",SUM(AI411,N411,AK411:AM411,U411))</x:f>
      </x:c>
      <x:c r="AO411" s="23" t="str">
        <x:f>IF($A411="","",SUM(AD411:AI411,N411,AK411:AM411,U411))</x:f>
      </x:c>
      <x:c r="AP411" s="24" t="str">
        <x:f>IF($A411="","",G411*F411*AB411*((13-Settings!$B$9)*(1+H411*I411)+J411)*(1+SUM(Settings!$B$11:$B$12)))</x:f>
      </x:c>
      <x:c r="AQ411" s="23" t="str">
        <x:f>IF($A411="","",SUM(AO411:AP411))</x:f>
      </x:c>
      <x:c r="AR411" s="23" t="str">
        <x:f>IF($A411="","",AQ411-X411)</x:f>
      </x:c>
      <x:c r="AS411" s="22" t="str">
        <x:f>IF($A411="","",IF(W411=0,"n.a.",V411/W411))</x:f>
      </x:c>
      <x:c r="AT411" s="26" t="str">
        <x:f>IF($A411="",IF(COUNTA(B411:Y411)&gt;0,"Missing ID",""),IF(COUNTIFS($A$9:$A$508,A411)&gt;1,"Duplicate ID",IF(OR(B411="",C411="",D411="",E411="",COUNT(F411:X411)&lt;&gt;19),"Missing / text input",IF(OR(COUNTIFS(Settings!$A$59:$A$64,B411)&lt;&gt;1,COUNTIFS(Settings!$A$29:$A$33,E411)&lt;&gt;1),"Unknown department / grade",IF(OR(F411&lt;=0,F411&gt;1,G411&lt;=0,L411&lt;=0,H411&lt;0,I411&lt;0,J411&lt;0,K411&lt;0,K411&gt;1,MIN(M411:X411)&lt;0,W411=0,V411&gt;W411,M411&gt;W411-V411,P411&gt;8,Q411&gt;4,R411&gt;12,S411&gt;12,T411&gt;1,AB411&lt;0),"Review quantity / rate",IF(OR(N411&gt;Settings!$C$17,AK411&gt;Settings!$C$19),"Review benefit ceiling","OK"))))))</x:f>
      </x:c>
    </x:row>
    <x:row r="412" ht="23" customHeight="1">
      <x:c r="A412" s="8"/>
      <x:c r="B412" s="8"/>
      <x:c r="C412" s="8"/>
      <x:c r="D412" s="8"/>
      <x:c r="E412" s="8"/>
      <x:c r="F412" s="20"/>
      <x:c r="G412" s="12"/>
      <x:c r="H412" s="21"/>
      <x:c r="I412" s="20"/>
      <x:c r="J412" s="20"/>
      <x:c r="K412" s="20"/>
      <x:c r="L412" s="12"/>
      <x:c r="M412" s="8"/>
      <x:c r="N412" s="12"/>
      <x:c r="O412" s="8"/>
      <x:c r="P412" s="8"/>
      <x:c r="Q412" s="8"/>
      <x:c r="R412" s="8"/>
      <x:c r="S412" s="8"/>
      <x:c r="T412" s="8"/>
      <x:c r="U412" s="12"/>
      <x:c r="V412" s="8"/>
      <x:c r="W412" s="8"/>
      <x:c r="X412" s="12"/>
      <x:c r="Y412" s="21"/>
      <x:c r="Z412" s="24" t="str">
        <x:f>IF($A412="","",INDEX(Settings!$C$29:$C$33,MATCH(E412,Settings!$A$29:$A$33,0)))</x:f>
      </x:c>
      <x:c r="AA412" s="22" t="str">
        <x:f>IF($A412="","",G412/Z412)</x:f>
      </x:c>
      <x:c r="AB412" s="25" t="str">
        <x:f>IF($A412="","",IF(ISNUMBER(Y412),Y412,Settings!$B$10))</x:f>
      </x:c>
      <x:c r="AC412" s="23" t="str">
        <x:f>IF($A412="","",G412*(1+AB412))</x:f>
      </x:c>
      <x:c r="AD412" s="23" t="str">
        <x:f>IF($A412="","",G412*F412*12)</x:f>
      </x:c>
      <x:c r="AE412" s="23" t="str">
        <x:f>IF($A412="","",G412*F412*J412)</x:f>
      </x:c>
      <x:c r="AF412" s="24" t="str">
        <x:f>IF($A412="","",L412*F412*K412*Settings!$B$13)</x:f>
      </x:c>
      <x:c r="AG412" s="23" t="str">
        <x:f>IF($A412="","",AD412*H412*I412)</x:f>
      </x:c>
      <x:c r="AH412" s="24" t="str">
        <x:f>IF($A412="","",SUM(AD412:AE412,AG412)*SUM(Settings!$B$11:$B$12))</x:f>
      </x:c>
      <x:c r="AI412" s="24" t="str">
        <x:f>IF($A412="","",M412*Settings!$B$16)</x:f>
      </x:c>
      <x:c r="AJ412" s="24" t="str">
        <x:f>IF($A412="","",M412*Settings!$B$15)</x:f>
      </x:c>
      <x:c r="AK412" s="24" t="str">
        <x:f>IF($A412="","",O412*Settings!$B$18)</x:f>
      </x:c>
      <x:c r="AL412" s="24" t="str">
        <x:f>IF($A412="","",P412*Settings!$B$20+Q412*Settings!$B$21+R412*Settings!$B$22+S412*Settings!$B$23)</x:f>
      </x:c>
      <x:c r="AM412" s="24" t="str">
        <x:f>IF($A412="","",T412*Settings!$B$24)</x:f>
      </x:c>
      <x:c r="AN412" s="23" t="str">
        <x:f>IF($A412="","",SUM(AI412,N412,AK412:AM412,U412))</x:f>
      </x:c>
      <x:c r="AO412" s="23" t="str">
        <x:f>IF($A412="","",SUM(AD412:AI412,N412,AK412:AM412,U412))</x:f>
      </x:c>
      <x:c r="AP412" s="24" t="str">
        <x:f>IF($A412="","",G412*F412*AB412*((13-Settings!$B$9)*(1+H412*I412)+J412)*(1+SUM(Settings!$B$11:$B$12)))</x:f>
      </x:c>
      <x:c r="AQ412" s="23" t="str">
        <x:f>IF($A412="","",SUM(AO412:AP412))</x:f>
      </x:c>
      <x:c r="AR412" s="23" t="str">
        <x:f>IF($A412="","",AQ412-X412)</x:f>
      </x:c>
      <x:c r="AS412" s="22" t="str">
        <x:f>IF($A412="","",IF(W412=0,"n.a.",V412/W412))</x:f>
      </x:c>
      <x:c r="AT412" s="26" t="str">
        <x:f>IF($A412="",IF(COUNTA(B412:Y412)&gt;0,"Missing ID",""),IF(COUNTIFS($A$9:$A$508,A412)&gt;1,"Duplicate ID",IF(OR(B412="",C412="",D412="",E412="",COUNT(F412:X412)&lt;&gt;19),"Missing / text input",IF(OR(COUNTIFS(Settings!$A$59:$A$64,B412)&lt;&gt;1,COUNTIFS(Settings!$A$29:$A$33,E412)&lt;&gt;1),"Unknown department / grade",IF(OR(F412&lt;=0,F412&gt;1,G412&lt;=0,L412&lt;=0,H412&lt;0,I412&lt;0,J412&lt;0,K412&lt;0,K412&gt;1,MIN(M412:X412)&lt;0,W412=0,V412&gt;W412,M412&gt;W412-V412,P412&gt;8,Q412&gt;4,R412&gt;12,S412&gt;12,T412&gt;1,AB412&lt;0),"Review quantity / rate",IF(OR(N412&gt;Settings!$C$17,AK412&gt;Settings!$C$19),"Review benefit ceiling","OK"))))))</x:f>
      </x:c>
    </x:row>
    <x:row r="413" ht="23" customHeight="1">
      <x:c r="A413" s="8"/>
      <x:c r="B413" s="8"/>
      <x:c r="C413" s="8"/>
      <x:c r="D413" s="8"/>
      <x:c r="E413" s="8"/>
      <x:c r="F413" s="20"/>
      <x:c r="G413" s="12"/>
      <x:c r="H413" s="21"/>
      <x:c r="I413" s="20"/>
      <x:c r="J413" s="20"/>
      <x:c r="K413" s="20"/>
      <x:c r="L413" s="12"/>
      <x:c r="M413" s="8"/>
      <x:c r="N413" s="12"/>
      <x:c r="O413" s="8"/>
      <x:c r="P413" s="8"/>
      <x:c r="Q413" s="8"/>
      <x:c r="R413" s="8"/>
      <x:c r="S413" s="8"/>
      <x:c r="T413" s="8"/>
      <x:c r="U413" s="12"/>
      <x:c r="V413" s="8"/>
      <x:c r="W413" s="8"/>
      <x:c r="X413" s="12"/>
      <x:c r="Y413" s="21"/>
      <x:c r="Z413" s="24" t="str">
        <x:f>IF($A413="","",INDEX(Settings!$C$29:$C$33,MATCH(E413,Settings!$A$29:$A$33,0)))</x:f>
      </x:c>
      <x:c r="AA413" s="22" t="str">
        <x:f>IF($A413="","",G413/Z413)</x:f>
      </x:c>
      <x:c r="AB413" s="25" t="str">
        <x:f>IF($A413="","",IF(ISNUMBER(Y413),Y413,Settings!$B$10))</x:f>
      </x:c>
      <x:c r="AC413" s="23" t="str">
        <x:f>IF($A413="","",G413*(1+AB413))</x:f>
      </x:c>
      <x:c r="AD413" s="23" t="str">
        <x:f>IF($A413="","",G413*F413*12)</x:f>
      </x:c>
      <x:c r="AE413" s="23" t="str">
        <x:f>IF($A413="","",G413*F413*J413)</x:f>
      </x:c>
      <x:c r="AF413" s="24" t="str">
        <x:f>IF($A413="","",L413*F413*K413*Settings!$B$13)</x:f>
      </x:c>
      <x:c r="AG413" s="23" t="str">
        <x:f>IF($A413="","",AD413*H413*I413)</x:f>
      </x:c>
      <x:c r="AH413" s="24" t="str">
        <x:f>IF($A413="","",SUM(AD413:AE413,AG413)*SUM(Settings!$B$11:$B$12))</x:f>
      </x:c>
      <x:c r="AI413" s="24" t="str">
        <x:f>IF($A413="","",M413*Settings!$B$16)</x:f>
      </x:c>
      <x:c r="AJ413" s="24" t="str">
        <x:f>IF($A413="","",M413*Settings!$B$15)</x:f>
      </x:c>
      <x:c r="AK413" s="24" t="str">
        <x:f>IF($A413="","",O413*Settings!$B$18)</x:f>
      </x:c>
      <x:c r="AL413" s="24" t="str">
        <x:f>IF($A413="","",P413*Settings!$B$20+Q413*Settings!$B$21+R413*Settings!$B$22+S413*Settings!$B$23)</x:f>
      </x:c>
      <x:c r="AM413" s="24" t="str">
        <x:f>IF($A413="","",T413*Settings!$B$24)</x:f>
      </x:c>
      <x:c r="AN413" s="23" t="str">
        <x:f>IF($A413="","",SUM(AI413,N413,AK413:AM413,U413))</x:f>
      </x:c>
      <x:c r="AO413" s="23" t="str">
        <x:f>IF($A413="","",SUM(AD413:AI413,N413,AK413:AM413,U413))</x:f>
      </x:c>
      <x:c r="AP413" s="24" t="str">
        <x:f>IF($A413="","",G413*F413*AB413*((13-Settings!$B$9)*(1+H413*I413)+J413)*(1+SUM(Settings!$B$11:$B$12)))</x:f>
      </x:c>
      <x:c r="AQ413" s="23" t="str">
        <x:f>IF($A413="","",SUM(AO413:AP413))</x:f>
      </x:c>
      <x:c r="AR413" s="23" t="str">
        <x:f>IF($A413="","",AQ413-X413)</x:f>
      </x:c>
      <x:c r="AS413" s="22" t="str">
        <x:f>IF($A413="","",IF(W413=0,"n.a.",V413/W413))</x:f>
      </x:c>
      <x:c r="AT413" s="26" t="str">
        <x:f>IF($A413="",IF(COUNTA(B413:Y413)&gt;0,"Missing ID",""),IF(COUNTIFS($A$9:$A$508,A413)&gt;1,"Duplicate ID",IF(OR(B413="",C413="",D413="",E413="",COUNT(F413:X413)&lt;&gt;19),"Missing / text input",IF(OR(COUNTIFS(Settings!$A$59:$A$64,B413)&lt;&gt;1,COUNTIFS(Settings!$A$29:$A$33,E413)&lt;&gt;1),"Unknown department / grade",IF(OR(F413&lt;=0,F413&gt;1,G413&lt;=0,L413&lt;=0,H413&lt;0,I413&lt;0,J413&lt;0,K413&lt;0,K413&gt;1,MIN(M413:X413)&lt;0,W413=0,V413&gt;W413,M413&gt;W413-V413,P413&gt;8,Q413&gt;4,R413&gt;12,S413&gt;12,T413&gt;1,AB413&lt;0),"Review quantity / rate",IF(OR(N413&gt;Settings!$C$17,AK413&gt;Settings!$C$19),"Review benefit ceiling","OK"))))))</x:f>
      </x:c>
    </x:row>
    <x:row r="414" ht="23" customHeight="1">
      <x:c r="A414" s="8"/>
      <x:c r="B414" s="8"/>
      <x:c r="C414" s="8"/>
      <x:c r="D414" s="8"/>
      <x:c r="E414" s="8"/>
      <x:c r="F414" s="20"/>
      <x:c r="G414" s="12"/>
      <x:c r="H414" s="21"/>
      <x:c r="I414" s="20"/>
      <x:c r="J414" s="20"/>
      <x:c r="K414" s="20"/>
      <x:c r="L414" s="12"/>
      <x:c r="M414" s="8"/>
      <x:c r="N414" s="12"/>
      <x:c r="O414" s="8"/>
      <x:c r="P414" s="8"/>
      <x:c r="Q414" s="8"/>
      <x:c r="R414" s="8"/>
      <x:c r="S414" s="8"/>
      <x:c r="T414" s="8"/>
      <x:c r="U414" s="12"/>
      <x:c r="V414" s="8"/>
      <x:c r="W414" s="8"/>
      <x:c r="X414" s="12"/>
      <x:c r="Y414" s="21"/>
      <x:c r="Z414" s="24" t="str">
        <x:f>IF($A414="","",INDEX(Settings!$C$29:$C$33,MATCH(E414,Settings!$A$29:$A$33,0)))</x:f>
      </x:c>
      <x:c r="AA414" s="22" t="str">
        <x:f>IF($A414="","",G414/Z414)</x:f>
      </x:c>
      <x:c r="AB414" s="25" t="str">
        <x:f>IF($A414="","",IF(ISNUMBER(Y414),Y414,Settings!$B$10))</x:f>
      </x:c>
      <x:c r="AC414" s="23" t="str">
        <x:f>IF($A414="","",G414*(1+AB414))</x:f>
      </x:c>
      <x:c r="AD414" s="23" t="str">
        <x:f>IF($A414="","",G414*F414*12)</x:f>
      </x:c>
      <x:c r="AE414" s="23" t="str">
        <x:f>IF($A414="","",G414*F414*J414)</x:f>
      </x:c>
      <x:c r="AF414" s="24" t="str">
        <x:f>IF($A414="","",L414*F414*K414*Settings!$B$13)</x:f>
      </x:c>
      <x:c r="AG414" s="23" t="str">
        <x:f>IF($A414="","",AD414*H414*I414)</x:f>
      </x:c>
      <x:c r="AH414" s="24" t="str">
        <x:f>IF($A414="","",SUM(AD414:AE414,AG414)*SUM(Settings!$B$11:$B$12))</x:f>
      </x:c>
      <x:c r="AI414" s="24" t="str">
        <x:f>IF($A414="","",M414*Settings!$B$16)</x:f>
      </x:c>
      <x:c r="AJ414" s="24" t="str">
        <x:f>IF($A414="","",M414*Settings!$B$15)</x:f>
      </x:c>
      <x:c r="AK414" s="24" t="str">
        <x:f>IF($A414="","",O414*Settings!$B$18)</x:f>
      </x:c>
      <x:c r="AL414" s="24" t="str">
        <x:f>IF($A414="","",P414*Settings!$B$20+Q414*Settings!$B$21+R414*Settings!$B$22+S414*Settings!$B$23)</x:f>
      </x:c>
      <x:c r="AM414" s="24" t="str">
        <x:f>IF($A414="","",T414*Settings!$B$24)</x:f>
      </x:c>
      <x:c r="AN414" s="23" t="str">
        <x:f>IF($A414="","",SUM(AI414,N414,AK414:AM414,U414))</x:f>
      </x:c>
      <x:c r="AO414" s="23" t="str">
        <x:f>IF($A414="","",SUM(AD414:AI414,N414,AK414:AM414,U414))</x:f>
      </x:c>
      <x:c r="AP414" s="24" t="str">
        <x:f>IF($A414="","",G414*F414*AB414*((13-Settings!$B$9)*(1+H414*I414)+J414)*(1+SUM(Settings!$B$11:$B$12)))</x:f>
      </x:c>
      <x:c r="AQ414" s="23" t="str">
        <x:f>IF($A414="","",SUM(AO414:AP414))</x:f>
      </x:c>
      <x:c r="AR414" s="23" t="str">
        <x:f>IF($A414="","",AQ414-X414)</x:f>
      </x:c>
      <x:c r="AS414" s="22" t="str">
        <x:f>IF($A414="","",IF(W414=0,"n.a.",V414/W414))</x:f>
      </x:c>
      <x:c r="AT414" s="26" t="str">
        <x:f>IF($A414="",IF(COUNTA(B414:Y414)&gt;0,"Missing ID",""),IF(COUNTIFS($A$9:$A$508,A414)&gt;1,"Duplicate ID",IF(OR(B414="",C414="",D414="",E414="",COUNT(F414:X414)&lt;&gt;19),"Missing / text input",IF(OR(COUNTIFS(Settings!$A$59:$A$64,B414)&lt;&gt;1,COUNTIFS(Settings!$A$29:$A$33,E414)&lt;&gt;1),"Unknown department / grade",IF(OR(F414&lt;=0,F414&gt;1,G414&lt;=0,L414&lt;=0,H414&lt;0,I414&lt;0,J414&lt;0,K414&lt;0,K414&gt;1,MIN(M414:X414)&lt;0,W414=0,V414&gt;W414,M414&gt;W414-V414,P414&gt;8,Q414&gt;4,R414&gt;12,S414&gt;12,T414&gt;1,AB414&lt;0),"Review quantity / rate",IF(OR(N414&gt;Settings!$C$17,AK414&gt;Settings!$C$19),"Review benefit ceiling","OK"))))))</x:f>
      </x:c>
    </x:row>
    <x:row r="415" ht="23" customHeight="1">
      <x:c r="A415" s="8"/>
      <x:c r="B415" s="8"/>
      <x:c r="C415" s="8"/>
      <x:c r="D415" s="8"/>
      <x:c r="E415" s="8"/>
      <x:c r="F415" s="20"/>
      <x:c r="G415" s="12"/>
      <x:c r="H415" s="21"/>
      <x:c r="I415" s="20"/>
      <x:c r="J415" s="20"/>
      <x:c r="K415" s="20"/>
      <x:c r="L415" s="12"/>
      <x:c r="M415" s="8"/>
      <x:c r="N415" s="12"/>
      <x:c r="O415" s="8"/>
      <x:c r="P415" s="8"/>
      <x:c r="Q415" s="8"/>
      <x:c r="R415" s="8"/>
      <x:c r="S415" s="8"/>
      <x:c r="T415" s="8"/>
      <x:c r="U415" s="12"/>
      <x:c r="V415" s="8"/>
      <x:c r="W415" s="8"/>
      <x:c r="X415" s="12"/>
      <x:c r="Y415" s="21"/>
      <x:c r="Z415" s="24" t="str">
        <x:f>IF($A415="","",INDEX(Settings!$C$29:$C$33,MATCH(E415,Settings!$A$29:$A$33,0)))</x:f>
      </x:c>
      <x:c r="AA415" s="22" t="str">
        <x:f>IF($A415="","",G415/Z415)</x:f>
      </x:c>
      <x:c r="AB415" s="25" t="str">
        <x:f>IF($A415="","",IF(ISNUMBER(Y415),Y415,Settings!$B$10))</x:f>
      </x:c>
      <x:c r="AC415" s="23" t="str">
        <x:f>IF($A415="","",G415*(1+AB415))</x:f>
      </x:c>
      <x:c r="AD415" s="23" t="str">
        <x:f>IF($A415="","",G415*F415*12)</x:f>
      </x:c>
      <x:c r="AE415" s="23" t="str">
        <x:f>IF($A415="","",G415*F415*J415)</x:f>
      </x:c>
      <x:c r="AF415" s="24" t="str">
        <x:f>IF($A415="","",L415*F415*K415*Settings!$B$13)</x:f>
      </x:c>
      <x:c r="AG415" s="23" t="str">
        <x:f>IF($A415="","",AD415*H415*I415)</x:f>
      </x:c>
      <x:c r="AH415" s="24" t="str">
        <x:f>IF($A415="","",SUM(AD415:AE415,AG415)*SUM(Settings!$B$11:$B$12))</x:f>
      </x:c>
      <x:c r="AI415" s="24" t="str">
        <x:f>IF($A415="","",M415*Settings!$B$16)</x:f>
      </x:c>
      <x:c r="AJ415" s="24" t="str">
        <x:f>IF($A415="","",M415*Settings!$B$15)</x:f>
      </x:c>
      <x:c r="AK415" s="24" t="str">
        <x:f>IF($A415="","",O415*Settings!$B$18)</x:f>
      </x:c>
      <x:c r="AL415" s="24" t="str">
        <x:f>IF($A415="","",P415*Settings!$B$20+Q415*Settings!$B$21+R415*Settings!$B$22+S415*Settings!$B$23)</x:f>
      </x:c>
      <x:c r="AM415" s="24" t="str">
        <x:f>IF($A415="","",T415*Settings!$B$24)</x:f>
      </x:c>
      <x:c r="AN415" s="23" t="str">
        <x:f>IF($A415="","",SUM(AI415,N415,AK415:AM415,U415))</x:f>
      </x:c>
      <x:c r="AO415" s="23" t="str">
        <x:f>IF($A415="","",SUM(AD415:AI415,N415,AK415:AM415,U415))</x:f>
      </x:c>
      <x:c r="AP415" s="24" t="str">
        <x:f>IF($A415="","",G415*F415*AB415*((13-Settings!$B$9)*(1+H415*I415)+J415)*(1+SUM(Settings!$B$11:$B$12)))</x:f>
      </x:c>
      <x:c r="AQ415" s="23" t="str">
        <x:f>IF($A415="","",SUM(AO415:AP415))</x:f>
      </x:c>
      <x:c r="AR415" s="23" t="str">
        <x:f>IF($A415="","",AQ415-X415)</x:f>
      </x:c>
      <x:c r="AS415" s="22" t="str">
        <x:f>IF($A415="","",IF(W415=0,"n.a.",V415/W415))</x:f>
      </x:c>
      <x:c r="AT415" s="26" t="str">
        <x:f>IF($A415="",IF(COUNTA(B415:Y415)&gt;0,"Missing ID",""),IF(COUNTIFS($A$9:$A$508,A415)&gt;1,"Duplicate ID",IF(OR(B415="",C415="",D415="",E415="",COUNT(F415:X415)&lt;&gt;19),"Missing / text input",IF(OR(COUNTIFS(Settings!$A$59:$A$64,B415)&lt;&gt;1,COUNTIFS(Settings!$A$29:$A$33,E415)&lt;&gt;1),"Unknown department / grade",IF(OR(F415&lt;=0,F415&gt;1,G415&lt;=0,L415&lt;=0,H415&lt;0,I415&lt;0,J415&lt;0,K415&lt;0,K415&gt;1,MIN(M415:X415)&lt;0,W415=0,V415&gt;W415,M415&gt;W415-V415,P415&gt;8,Q415&gt;4,R415&gt;12,S415&gt;12,T415&gt;1,AB415&lt;0),"Review quantity / rate",IF(OR(N415&gt;Settings!$C$17,AK415&gt;Settings!$C$19),"Review benefit ceiling","OK"))))))</x:f>
      </x:c>
    </x:row>
    <x:row r="416" ht="23" customHeight="1">
      <x:c r="A416" s="8"/>
      <x:c r="B416" s="8"/>
      <x:c r="C416" s="8"/>
      <x:c r="D416" s="8"/>
      <x:c r="E416" s="8"/>
      <x:c r="F416" s="20"/>
      <x:c r="G416" s="12"/>
      <x:c r="H416" s="21"/>
      <x:c r="I416" s="20"/>
      <x:c r="J416" s="20"/>
      <x:c r="K416" s="20"/>
      <x:c r="L416" s="12"/>
      <x:c r="M416" s="8"/>
      <x:c r="N416" s="12"/>
      <x:c r="O416" s="8"/>
      <x:c r="P416" s="8"/>
      <x:c r="Q416" s="8"/>
      <x:c r="R416" s="8"/>
      <x:c r="S416" s="8"/>
      <x:c r="T416" s="8"/>
      <x:c r="U416" s="12"/>
      <x:c r="V416" s="8"/>
      <x:c r="W416" s="8"/>
      <x:c r="X416" s="12"/>
      <x:c r="Y416" s="21"/>
      <x:c r="Z416" s="24" t="str">
        <x:f>IF($A416="","",INDEX(Settings!$C$29:$C$33,MATCH(E416,Settings!$A$29:$A$33,0)))</x:f>
      </x:c>
      <x:c r="AA416" s="22" t="str">
        <x:f>IF($A416="","",G416/Z416)</x:f>
      </x:c>
      <x:c r="AB416" s="25" t="str">
        <x:f>IF($A416="","",IF(ISNUMBER(Y416),Y416,Settings!$B$10))</x:f>
      </x:c>
      <x:c r="AC416" s="23" t="str">
        <x:f>IF($A416="","",G416*(1+AB416))</x:f>
      </x:c>
      <x:c r="AD416" s="23" t="str">
        <x:f>IF($A416="","",G416*F416*12)</x:f>
      </x:c>
      <x:c r="AE416" s="23" t="str">
        <x:f>IF($A416="","",G416*F416*J416)</x:f>
      </x:c>
      <x:c r="AF416" s="24" t="str">
        <x:f>IF($A416="","",L416*F416*K416*Settings!$B$13)</x:f>
      </x:c>
      <x:c r="AG416" s="23" t="str">
        <x:f>IF($A416="","",AD416*H416*I416)</x:f>
      </x:c>
      <x:c r="AH416" s="24" t="str">
        <x:f>IF($A416="","",SUM(AD416:AE416,AG416)*SUM(Settings!$B$11:$B$12))</x:f>
      </x:c>
      <x:c r="AI416" s="24" t="str">
        <x:f>IF($A416="","",M416*Settings!$B$16)</x:f>
      </x:c>
      <x:c r="AJ416" s="24" t="str">
        <x:f>IF($A416="","",M416*Settings!$B$15)</x:f>
      </x:c>
      <x:c r="AK416" s="24" t="str">
        <x:f>IF($A416="","",O416*Settings!$B$18)</x:f>
      </x:c>
      <x:c r="AL416" s="24" t="str">
        <x:f>IF($A416="","",P416*Settings!$B$20+Q416*Settings!$B$21+R416*Settings!$B$22+S416*Settings!$B$23)</x:f>
      </x:c>
      <x:c r="AM416" s="24" t="str">
        <x:f>IF($A416="","",T416*Settings!$B$24)</x:f>
      </x:c>
      <x:c r="AN416" s="23" t="str">
        <x:f>IF($A416="","",SUM(AI416,N416,AK416:AM416,U416))</x:f>
      </x:c>
      <x:c r="AO416" s="23" t="str">
        <x:f>IF($A416="","",SUM(AD416:AI416,N416,AK416:AM416,U416))</x:f>
      </x:c>
      <x:c r="AP416" s="24" t="str">
        <x:f>IF($A416="","",G416*F416*AB416*((13-Settings!$B$9)*(1+H416*I416)+J416)*(1+SUM(Settings!$B$11:$B$12)))</x:f>
      </x:c>
      <x:c r="AQ416" s="23" t="str">
        <x:f>IF($A416="","",SUM(AO416:AP416))</x:f>
      </x:c>
      <x:c r="AR416" s="23" t="str">
        <x:f>IF($A416="","",AQ416-X416)</x:f>
      </x:c>
      <x:c r="AS416" s="22" t="str">
        <x:f>IF($A416="","",IF(W416=0,"n.a.",V416/W416))</x:f>
      </x:c>
      <x:c r="AT416" s="26" t="str">
        <x:f>IF($A416="",IF(COUNTA(B416:Y416)&gt;0,"Missing ID",""),IF(COUNTIFS($A$9:$A$508,A416)&gt;1,"Duplicate ID",IF(OR(B416="",C416="",D416="",E416="",COUNT(F416:X416)&lt;&gt;19),"Missing / text input",IF(OR(COUNTIFS(Settings!$A$59:$A$64,B416)&lt;&gt;1,COUNTIFS(Settings!$A$29:$A$33,E416)&lt;&gt;1),"Unknown department / grade",IF(OR(F416&lt;=0,F416&gt;1,G416&lt;=0,L416&lt;=0,H416&lt;0,I416&lt;0,J416&lt;0,K416&lt;0,K416&gt;1,MIN(M416:X416)&lt;0,W416=0,V416&gt;W416,M416&gt;W416-V416,P416&gt;8,Q416&gt;4,R416&gt;12,S416&gt;12,T416&gt;1,AB416&lt;0),"Review quantity / rate",IF(OR(N416&gt;Settings!$C$17,AK416&gt;Settings!$C$19),"Review benefit ceiling","OK"))))))</x:f>
      </x:c>
    </x:row>
    <x:row r="417" ht="23" customHeight="1">
      <x:c r="A417" s="8"/>
      <x:c r="B417" s="8"/>
      <x:c r="C417" s="8"/>
      <x:c r="D417" s="8"/>
      <x:c r="E417" s="8"/>
      <x:c r="F417" s="20"/>
      <x:c r="G417" s="12"/>
      <x:c r="H417" s="21"/>
      <x:c r="I417" s="20"/>
      <x:c r="J417" s="20"/>
      <x:c r="K417" s="20"/>
      <x:c r="L417" s="12"/>
      <x:c r="M417" s="8"/>
      <x:c r="N417" s="12"/>
      <x:c r="O417" s="8"/>
      <x:c r="P417" s="8"/>
      <x:c r="Q417" s="8"/>
      <x:c r="R417" s="8"/>
      <x:c r="S417" s="8"/>
      <x:c r="T417" s="8"/>
      <x:c r="U417" s="12"/>
      <x:c r="V417" s="8"/>
      <x:c r="W417" s="8"/>
      <x:c r="X417" s="12"/>
      <x:c r="Y417" s="21"/>
      <x:c r="Z417" s="24" t="str">
        <x:f>IF($A417="","",INDEX(Settings!$C$29:$C$33,MATCH(E417,Settings!$A$29:$A$33,0)))</x:f>
      </x:c>
      <x:c r="AA417" s="22" t="str">
        <x:f>IF($A417="","",G417/Z417)</x:f>
      </x:c>
      <x:c r="AB417" s="25" t="str">
        <x:f>IF($A417="","",IF(ISNUMBER(Y417),Y417,Settings!$B$10))</x:f>
      </x:c>
      <x:c r="AC417" s="23" t="str">
        <x:f>IF($A417="","",G417*(1+AB417))</x:f>
      </x:c>
      <x:c r="AD417" s="23" t="str">
        <x:f>IF($A417="","",G417*F417*12)</x:f>
      </x:c>
      <x:c r="AE417" s="23" t="str">
        <x:f>IF($A417="","",G417*F417*J417)</x:f>
      </x:c>
      <x:c r="AF417" s="24" t="str">
        <x:f>IF($A417="","",L417*F417*K417*Settings!$B$13)</x:f>
      </x:c>
      <x:c r="AG417" s="23" t="str">
        <x:f>IF($A417="","",AD417*H417*I417)</x:f>
      </x:c>
      <x:c r="AH417" s="24" t="str">
        <x:f>IF($A417="","",SUM(AD417:AE417,AG417)*SUM(Settings!$B$11:$B$12))</x:f>
      </x:c>
      <x:c r="AI417" s="24" t="str">
        <x:f>IF($A417="","",M417*Settings!$B$16)</x:f>
      </x:c>
      <x:c r="AJ417" s="24" t="str">
        <x:f>IF($A417="","",M417*Settings!$B$15)</x:f>
      </x:c>
      <x:c r="AK417" s="24" t="str">
        <x:f>IF($A417="","",O417*Settings!$B$18)</x:f>
      </x:c>
      <x:c r="AL417" s="24" t="str">
        <x:f>IF($A417="","",P417*Settings!$B$20+Q417*Settings!$B$21+R417*Settings!$B$22+S417*Settings!$B$23)</x:f>
      </x:c>
      <x:c r="AM417" s="24" t="str">
        <x:f>IF($A417="","",T417*Settings!$B$24)</x:f>
      </x:c>
      <x:c r="AN417" s="23" t="str">
        <x:f>IF($A417="","",SUM(AI417,N417,AK417:AM417,U417))</x:f>
      </x:c>
      <x:c r="AO417" s="23" t="str">
        <x:f>IF($A417="","",SUM(AD417:AI417,N417,AK417:AM417,U417))</x:f>
      </x:c>
      <x:c r="AP417" s="24" t="str">
        <x:f>IF($A417="","",G417*F417*AB417*((13-Settings!$B$9)*(1+H417*I417)+J417)*(1+SUM(Settings!$B$11:$B$12)))</x:f>
      </x:c>
      <x:c r="AQ417" s="23" t="str">
        <x:f>IF($A417="","",SUM(AO417:AP417))</x:f>
      </x:c>
      <x:c r="AR417" s="23" t="str">
        <x:f>IF($A417="","",AQ417-X417)</x:f>
      </x:c>
      <x:c r="AS417" s="22" t="str">
        <x:f>IF($A417="","",IF(W417=0,"n.a.",V417/W417))</x:f>
      </x:c>
      <x:c r="AT417" s="26" t="str">
        <x:f>IF($A417="",IF(COUNTA(B417:Y417)&gt;0,"Missing ID",""),IF(COUNTIFS($A$9:$A$508,A417)&gt;1,"Duplicate ID",IF(OR(B417="",C417="",D417="",E417="",COUNT(F417:X417)&lt;&gt;19),"Missing / text input",IF(OR(COUNTIFS(Settings!$A$59:$A$64,B417)&lt;&gt;1,COUNTIFS(Settings!$A$29:$A$33,E417)&lt;&gt;1),"Unknown department / grade",IF(OR(F417&lt;=0,F417&gt;1,G417&lt;=0,L417&lt;=0,H417&lt;0,I417&lt;0,J417&lt;0,K417&lt;0,K417&gt;1,MIN(M417:X417)&lt;0,W417=0,V417&gt;W417,M417&gt;W417-V417,P417&gt;8,Q417&gt;4,R417&gt;12,S417&gt;12,T417&gt;1,AB417&lt;0),"Review quantity / rate",IF(OR(N417&gt;Settings!$C$17,AK417&gt;Settings!$C$19),"Review benefit ceiling","OK"))))))</x:f>
      </x:c>
    </x:row>
    <x:row r="418" ht="23" customHeight="1">
      <x:c r="A418" s="8"/>
      <x:c r="B418" s="8"/>
      <x:c r="C418" s="8"/>
      <x:c r="D418" s="8"/>
      <x:c r="E418" s="8"/>
      <x:c r="F418" s="20"/>
      <x:c r="G418" s="12"/>
      <x:c r="H418" s="21"/>
      <x:c r="I418" s="20"/>
      <x:c r="J418" s="20"/>
      <x:c r="K418" s="20"/>
      <x:c r="L418" s="12"/>
      <x:c r="M418" s="8"/>
      <x:c r="N418" s="12"/>
      <x:c r="O418" s="8"/>
      <x:c r="P418" s="8"/>
      <x:c r="Q418" s="8"/>
      <x:c r="R418" s="8"/>
      <x:c r="S418" s="8"/>
      <x:c r="T418" s="8"/>
      <x:c r="U418" s="12"/>
      <x:c r="V418" s="8"/>
      <x:c r="W418" s="8"/>
      <x:c r="X418" s="12"/>
      <x:c r="Y418" s="21"/>
      <x:c r="Z418" s="24" t="str">
        <x:f>IF($A418="","",INDEX(Settings!$C$29:$C$33,MATCH(E418,Settings!$A$29:$A$33,0)))</x:f>
      </x:c>
      <x:c r="AA418" s="22" t="str">
        <x:f>IF($A418="","",G418/Z418)</x:f>
      </x:c>
      <x:c r="AB418" s="25" t="str">
        <x:f>IF($A418="","",IF(ISNUMBER(Y418),Y418,Settings!$B$10))</x:f>
      </x:c>
      <x:c r="AC418" s="23" t="str">
        <x:f>IF($A418="","",G418*(1+AB418))</x:f>
      </x:c>
      <x:c r="AD418" s="23" t="str">
        <x:f>IF($A418="","",G418*F418*12)</x:f>
      </x:c>
      <x:c r="AE418" s="23" t="str">
        <x:f>IF($A418="","",G418*F418*J418)</x:f>
      </x:c>
      <x:c r="AF418" s="24" t="str">
        <x:f>IF($A418="","",L418*F418*K418*Settings!$B$13)</x:f>
      </x:c>
      <x:c r="AG418" s="23" t="str">
        <x:f>IF($A418="","",AD418*H418*I418)</x:f>
      </x:c>
      <x:c r="AH418" s="24" t="str">
        <x:f>IF($A418="","",SUM(AD418:AE418,AG418)*SUM(Settings!$B$11:$B$12))</x:f>
      </x:c>
      <x:c r="AI418" s="24" t="str">
        <x:f>IF($A418="","",M418*Settings!$B$16)</x:f>
      </x:c>
      <x:c r="AJ418" s="24" t="str">
        <x:f>IF($A418="","",M418*Settings!$B$15)</x:f>
      </x:c>
      <x:c r="AK418" s="24" t="str">
        <x:f>IF($A418="","",O418*Settings!$B$18)</x:f>
      </x:c>
      <x:c r="AL418" s="24" t="str">
        <x:f>IF($A418="","",P418*Settings!$B$20+Q418*Settings!$B$21+R418*Settings!$B$22+S418*Settings!$B$23)</x:f>
      </x:c>
      <x:c r="AM418" s="24" t="str">
        <x:f>IF($A418="","",T418*Settings!$B$24)</x:f>
      </x:c>
      <x:c r="AN418" s="23" t="str">
        <x:f>IF($A418="","",SUM(AI418,N418,AK418:AM418,U418))</x:f>
      </x:c>
      <x:c r="AO418" s="23" t="str">
        <x:f>IF($A418="","",SUM(AD418:AI418,N418,AK418:AM418,U418))</x:f>
      </x:c>
      <x:c r="AP418" s="24" t="str">
        <x:f>IF($A418="","",G418*F418*AB418*((13-Settings!$B$9)*(1+H418*I418)+J418)*(1+SUM(Settings!$B$11:$B$12)))</x:f>
      </x:c>
      <x:c r="AQ418" s="23" t="str">
        <x:f>IF($A418="","",SUM(AO418:AP418))</x:f>
      </x:c>
      <x:c r="AR418" s="23" t="str">
        <x:f>IF($A418="","",AQ418-X418)</x:f>
      </x:c>
      <x:c r="AS418" s="22" t="str">
        <x:f>IF($A418="","",IF(W418=0,"n.a.",V418/W418))</x:f>
      </x:c>
      <x:c r="AT418" s="26" t="str">
        <x:f>IF($A418="",IF(COUNTA(B418:Y418)&gt;0,"Missing ID",""),IF(COUNTIFS($A$9:$A$508,A418)&gt;1,"Duplicate ID",IF(OR(B418="",C418="",D418="",E418="",COUNT(F418:X418)&lt;&gt;19),"Missing / text input",IF(OR(COUNTIFS(Settings!$A$59:$A$64,B418)&lt;&gt;1,COUNTIFS(Settings!$A$29:$A$33,E418)&lt;&gt;1),"Unknown department / grade",IF(OR(F418&lt;=0,F418&gt;1,G418&lt;=0,L418&lt;=0,H418&lt;0,I418&lt;0,J418&lt;0,K418&lt;0,K418&gt;1,MIN(M418:X418)&lt;0,W418=0,V418&gt;W418,M418&gt;W418-V418,P418&gt;8,Q418&gt;4,R418&gt;12,S418&gt;12,T418&gt;1,AB418&lt;0),"Review quantity / rate",IF(OR(N418&gt;Settings!$C$17,AK418&gt;Settings!$C$19),"Review benefit ceiling","OK"))))))</x:f>
      </x:c>
    </x:row>
    <x:row r="419" ht="23" customHeight="1">
      <x:c r="A419" s="8"/>
      <x:c r="B419" s="8"/>
      <x:c r="C419" s="8"/>
      <x:c r="D419" s="8"/>
      <x:c r="E419" s="8"/>
      <x:c r="F419" s="20"/>
      <x:c r="G419" s="12"/>
      <x:c r="H419" s="21"/>
      <x:c r="I419" s="20"/>
      <x:c r="J419" s="20"/>
      <x:c r="K419" s="20"/>
      <x:c r="L419" s="12"/>
      <x:c r="M419" s="8"/>
      <x:c r="N419" s="12"/>
      <x:c r="O419" s="8"/>
      <x:c r="P419" s="8"/>
      <x:c r="Q419" s="8"/>
      <x:c r="R419" s="8"/>
      <x:c r="S419" s="8"/>
      <x:c r="T419" s="8"/>
      <x:c r="U419" s="12"/>
      <x:c r="V419" s="8"/>
      <x:c r="W419" s="8"/>
      <x:c r="X419" s="12"/>
      <x:c r="Y419" s="21"/>
      <x:c r="Z419" s="24" t="str">
        <x:f>IF($A419="","",INDEX(Settings!$C$29:$C$33,MATCH(E419,Settings!$A$29:$A$33,0)))</x:f>
      </x:c>
      <x:c r="AA419" s="22" t="str">
        <x:f>IF($A419="","",G419/Z419)</x:f>
      </x:c>
      <x:c r="AB419" s="25" t="str">
        <x:f>IF($A419="","",IF(ISNUMBER(Y419),Y419,Settings!$B$10))</x:f>
      </x:c>
      <x:c r="AC419" s="23" t="str">
        <x:f>IF($A419="","",G419*(1+AB419))</x:f>
      </x:c>
      <x:c r="AD419" s="23" t="str">
        <x:f>IF($A419="","",G419*F419*12)</x:f>
      </x:c>
      <x:c r="AE419" s="23" t="str">
        <x:f>IF($A419="","",G419*F419*J419)</x:f>
      </x:c>
      <x:c r="AF419" s="24" t="str">
        <x:f>IF($A419="","",L419*F419*K419*Settings!$B$13)</x:f>
      </x:c>
      <x:c r="AG419" s="23" t="str">
        <x:f>IF($A419="","",AD419*H419*I419)</x:f>
      </x:c>
      <x:c r="AH419" s="24" t="str">
        <x:f>IF($A419="","",SUM(AD419:AE419,AG419)*SUM(Settings!$B$11:$B$12))</x:f>
      </x:c>
      <x:c r="AI419" s="24" t="str">
        <x:f>IF($A419="","",M419*Settings!$B$16)</x:f>
      </x:c>
      <x:c r="AJ419" s="24" t="str">
        <x:f>IF($A419="","",M419*Settings!$B$15)</x:f>
      </x:c>
      <x:c r="AK419" s="24" t="str">
        <x:f>IF($A419="","",O419*Settings!$B$18)</x:f>
      </x:c>
      <x:c r="AL419" s="24" t="str">
        <x:f>IF($A419="","",P419*Settings!$B$20+Q419*Settings!$B$21+R419*Settings!$B$22+S419*Settings!$B$23)</x:f>
      </x:c>
      <x:c r="AM419" s="24" t="str">
        <x:f>IF($A419="","",T419*Settings!$B$24)</x:f>
      </x:c>
      <x:c r="AN419" s="23" t="str">
        <x:f>IF($A419="","",SUM(AI419,N419,AK419:AM419,U419))</x:f>
      </x:c>
      <x:c r="AO419" s="23" t="str">
        <x:f>IF($A419="","",SUM(AD419:AI419,N419,AK419:AM419,U419))</x:f>
      </x:c>
      <x:c r="AP419" s="24" t="str">
        <x:f>IF($A419="","",G419*F419*AB419*((13-Settings!$B$9)*(1+H419*I419)+J419)*(1+SUM(Settings!$B$11:$B$12)))</x:f>
      </x:c>
      <x:c r="AQ419" s="23" t="str">
        <x:f>IF($A419="","",SUM(AO419:AP419))</x:f>
      </x:c>
      <x:c r="AR419" s="23" t="str">
        <x:f>IF($A419="","",AQ419-X419)</x:f>
      </x:c>
      <x:c r="AS419" s="22" t="str">
        <x:f>IF($A419="","",IF(W419=0,"n.a.",V419/W419))</x:f>
      </x:c>
      <x:c r="AT419" s="26" t="str">
        <x:f>IF($A419="",IF(COUNTA(B419:Y419)&gt;0,"Missing ID",""),IF(COUNTIFS($A$9:$A$508,A419)&gt;1,"Duplicate ID",IF(OR(B419="",C419="",D419="",E419="",COUNT(F419:X419)&lt;&gt;19),"Missing / text input",IF(OR(COUNTIFS(Settings!$A$59:$A$64,B419)&lt;&gt;1,COUNTIFS(Settings!$A$29:$A$33,E419)&lt;&gt;1),"Unknown department / grade",IF(OR(F419&lt;=0,F419&gt;1,G419&lt;=0,L419&lt;=0,H419&lt;0,I419&lt;0,J419&lt;0,K419&lt;0,K419&gt;1,MIN(M419:X419)&lt;0,W419=0,V419&gt;W419,M419&gt;W419-V419,P419&gt;8,Q419&gt;4,R419&gt;12,S419&gt;12,T419&gt;1,AB419&lt;0),"Review quantity / rate",IF(OR(N419&gt;Settings!$C$17,AK419&gt;Settings!$C$19),"Review benefit ceiling","OK"))))))</x:f>
      </x:c>
    </x:row>
    <x:row r="420" ht="23" customHeight="1">
      <x:c r="A420" s="8"/>
      <x:c r="B420" s="8"/>
      <x:c r="C420" s="8"/>
      <x:c r="D420" s="8"/>
      <x:c r="E420" s="8"/>
      <x:c r="F420" s="20"/>
      <x:c r="G420" s="12"/>
      <x:c r="H420" s="21"/>
      <x:c r="I420" s="20"/>
      <x:c r="J420" s="20"/>
      <x:c r="K420" s="20"/>
      <x:c r="L420" s="12"/>
      <x:c r="M420" s="8"/>
      <x:c r="N420" s="12"/>
      <x:c r="O420" s="8"/>
      <x:c r="P420" s="8"/>
      <x:c r="Q420" s="8"/>
      <x:c r="R420" s="8"/>
      <x:c r="S420" s="8"/>
      <x:c r="T420" s="8"/>
      <x:c r="U420" s="12"/>
      <x:c r="V420" s="8"/>
      <x:c r="W420" s="8"/>
      <x:c r="X420" s="12"/>
      <x:c r="Y420" s="21"/>
      <x:c r="Z420" s="24" t="str">
        <x:f>IF($A420="","",INDEX(Settings!$C$29:$C$33,MATCH(E420,Settings!$A$29:$A$33,0)))</x:f>
      </x:c>
      <x:c r="AA420" s="22" t="str">
        <x:f>IF($A420="","",G420/Z420)</x:f>
      </x:c>
      <x:c r="AB420" s="25" t="str">
        <x:f>IF($A420="","",IF(ISNUMBER(Y420),Y420,Settings!$B$10))</x:f>
      </x:c>
      <x:c r="AC420" s="23" t="str">
        <x:f>IF($A420="","",G420*(1+AB420))</x:f>
      </x:c>
      <x:c r="AD420" s="23" t="str">
        <x:f>IF($A420="","",G420*F420*12)</x:f>
      </x:c>
      <x:c r="AE420" s="23" t="str">
        <x:f>IF($A420="","",G420*F420*J420)</x:f>
      </x:c>
      <x:c r="AF420" s="24" t="str">
        <x:f>IF($A420="","",L420*F420*K420*Settings!$B$13)</x:f>
      </x:c>
      <x:c r="AG420" s="23" t="str">
        <x:f>IF($A420="","",AD420*H420*I420)</x:f>
      </x:c>
      <x:c r="AH420" s="24" t="str">
        <x:f>IF($A420="","",SUM(AD420:AE420,AG420)*SUM(Settings!$B$11:$B$12))</x:f>
      </x:c>
      <x:c r="AI420" s="24" t="str">
        <x:f>IF($A420="","",M420*Settings!$B$16)</x:f>
      </x:c>
      <x:c r="AJ420" s="24" t="str">
        <x:f>IF($A420="","",M420*Settings!$B$15)</x:f>
      </x:c>
      <x:c r="AK420" s="24" t="str">
        <x:f>IF($A420="","",O420*Settings!$B$18)</x:f>
      </x:c>
      <x:c r="AL420" s="24" t="str">
        <x:f>IF($A420="","",P420*Settings!$B$20+Q420*Settings!$B$21+R420*Settings!$B$22+S420*Settings!$B$23)</x:f>
      </x:c>
      <x:c r="AM420" s="24" t="str">
        <x:f>IF($A420="","",T420*Settings!$B$24)</x:f>
      </x:c>
      <x:c r="AN420" s="23" t="str">
        <x:f>IF($A420="","",SUM(AI420,N420,AK420:AM420,U420))</x:f>
      </x:c>
      <x:c r="AO420" s="23" t="str">
        <x:f>IF($A420="","",SUM(AD420:AI420,N420,AK420:AM420,U420))</x:f>
      </x:c>
      <x:c r="AP420" s="24" t="str">
        <x:f>IF($A420="","",G420*F420*AB420*((13-Settings!$B$9)*(1+H420*I420)+J420)*(1+SUM(Settings!$B$11:$B$12)))</x:f>
      </x:c>
      <x:c r="AQ420" s="23" t="str">
        <x:f>IF($A420="","",SUM(AO420:AP420))</x:f>
      </x:c>
      <x:c r="AR420" s="23" t="str">
        <x:f>IF($A420="","",AQ420-X420)</x:f>
      </x:c>
      <x:c r="AS420" s="22" t="str">
        <x:f>IF($A420="","",IF(W420=0,"n.a.",V420/W420))</x:f>
      </x:c>
      <x:c r="AT420" s="26" t="str">
        <x:f>IF($A420="",IF(COUNTA(B420:Y420)&gt;0,"Missing ID",""),IF(COUNTIFS($A$9:$A$508,A420)&gt;1,"Duplicate ID",IF(OR(B420="",C420="",D420="",E420="",COUNT(F420:X420)&lt;&gt;19),"Missing / text input",IF(OR(COUNTIFS(Settings!$A$59:$A$64,B420)&lt;&gt;1,COUNTIFS(Settings!$A$29:$A$33,E420)&lt;&gt;1),"Unknown department / grade",IF(OR(F420&lt;=0,F420&gt;1,G420&lt;=0,L420&lt;=0,H420&lt;0,I420&lt;0,J420&lt;0,K420&lt;0,K420&gt;1,MIN(M420:X420)&lt;0,W420=0,V420&gt;W420,M420&gt;W420-V420,P420&gt;8,Q420&gt;4,R420&gt;12,S420&gt;12,T420&gt;1,AB420&lt;0),"Review quantity / rate",IF(OR(N420&gt;Settings!$C$17,AK420&gt;Settings!$C$19),"Review benefit ceiling","OK"))))))</x:f>
      </x:c>
    </x:row>
    <x:row r="421" ht="23" customHeight="1">
      <x:c r="A421" s="8"/>
      <x:c r="B421" s="8"/>
      <x:c r="C421" s="8"/>
      <x:c r="D421" s="8"/>
      <x:c r="E421" s="8"/>
      <x:c r="F421" s="20"/>
      <x:c r="G421" s="12"/>
      <x:c r="H421" s="21"/>
      <x:c r="I421" s="20"/>
      <x:c r="J421" s="20"/>
      <x:c r="K421" s="20"/>
      <x:c r="L421" s="12"/>
      <x:c r="M421" s="8"/>
      <x:c r="N421" s="12"/>
      <x:c r="O421" s="8"/>
      <x:c r="P421" s="8"/>
      <x:c r="Q421" s="8"/>
      <x:c r="R421" s="8"/>
      <x:c r="S421" s="8"/>
      <x:c r="T421" s="8"/>
      <x:c r="U421" s="12"/>
      <x:c r="V421" s="8"/>
      <x:c r="W421" s="8"/>
      <x:c r="X421" s="12"/>
      <x:c r="Y421" s="21"/>
      <x:c r="Z421" s="24" t="str">
        <x:f>IF($A421="","",INDEX(Settings!$C$29:$C$33,MATCH(E421,Settings!$A$29:$A$33,0)))</x:f>
      </x:c>
      <x:c r="AA421" s="22" t="str">
        <x:f>IF($A421="","",G421/Z421)</x:f>
      </x:c>
      <x:c r="AB421" s="25" t="str">
        <x:f>IF($A421="","",IF(ISNUMBER(Y421),Y421,Settings!$B$10))</x:f>
      </x:c>
      <x:c r="AC421" s="23" t="str">
        <x:f>IF($A421="","",G421*(1+AB421))</x:f>
      </x:c>
      <x:c r="AD421" s="23" t="str">
        <x:f>IF($A421="","",G421*F421*12)</x:f>
      </x:c>
      <x:c r="AE421" s="23" t="str">
        <x:f>IF($A421="","",G421*F421*J421)</x:f>
      </x:c>
      <x:c r="AF421" s="24" t="str">
        <x:f>IF($A421="","",L421*F421*K421*Settings!$B$13)</x:f>
      </x:c>
      <x:c r="AG421" s="23" t="str">
        <x:f>IF($A421="","",AD421*H421*I421)</x:f>
      </x:c>
      <x:c r="AH421" s="24" t="str">
        <x:f>IF($A421="","",SUM(AD421:AE421,AG421)*SUM(Settings!$B$11:$B$12))</x:f>
      </x:c>
      <x:c r="AI421" s="24" t="str">
        <x:f>IF($A421="","",M421*Settings!$B$16)</x:f>
      </x:c>
      <x:c r="AJ421" s="24" t="str">
        <x:f>IF($A421="","",M421*Settings!$B$15)</x:f>
      </x:c>
      <x:c r="AK421" s="24" t="str">
        <x:f>IF($A421="","",O421*Settings!$B$18)</x:f>
      </x:c>
      <x:c r="AL421" s="24" t="str">
        <x:f>IF($A421="","",P421*Settings!$B$20+Q421*Settings!$B$21+R421*Settings!$B$22+S421*Settings!$B$23)</x:f>
      </x:c>
      <x:c r="AM421" s="24" t="str">
        <x:f>IF($A421="","",T421*Settings!$B$24)</x:f>
      </x:c>
      <x:c r="AN421" s="23" t="str">
        <x:f>IF($A421="","",SUM(AI421,N421,AK421:AM421,U421))</x:f>
      </x:c>
      <x:c r="AO421" s="23" t="str">
        <x:f>IF($A421="","",SUM(AD421:AI421,N421,AK421:AM421,U421))</x:f>
      </x:c>
      <x:c r="AP421" s="24" t="str">
        <x:f>IF($A421="","",G421*F421*AB421*((13-Settings!$B$9)*(1+H421*I421)+J421)*(1+SUM(Settings!$B$11:$B$12)))</x:f>
      </x:c>
      <x:c r="AQ421" s="23" t="str">
        <x:f>IF($A421="","",SUM(AO421:AP421))</x:f>
      </x:c>
      <x:c r="AR421" s="23" t="str">
        <x:f>IF($A421="","",AQ421-X421)</x:f>
      </x:c>
      <x:c r="AS421" s="22" t="str">
        <x:f>IF($A421="","",IF(W421=0,"n.a.",V421/W421))</x:f>
      </x:c>
      <x:c r="AT421" s="26" t="str">
        <x:f>IF($A421="",IF(COUNTA(B421:Y421)&gt;0,"Missing ID",""),IF(COUNTIFS($A$9:$A$508,A421)&gt;1,"Duplicate ID",IF(OR(B421="",C421="",D421="",E421="",COUNT(F421:X421)&lt;&gt;19),"Missing / text input",IF(OR(COUNTIFS(Settings!$A$59:$A$64,B421)&lt;&gt;1,COUNTIFS(Settings!$A$29:$A$33,E421)&lt;&gt;1),"Unknown department / grade",IF(OR(F421&lt;=0,F421&gt;1,G421&lt;=0,L421&lt;=0,H421&lt;0,I421&lt;0,J421&lt;0,K421&lt;0,K421&gt;1,MIN(M421:X421)&lt;0,W421=0,V421&gt;W421,M421&gt;W421-V421,P421&gt;8,Q421&gt;4,R421&gt;12,S421&gt;12,T421&gt;1,AB421&lt;0),"Review quantity / rate",IF(OR(N421&gt;Settings!$C$17,AK421&gt;Settings!$C$19),"Review benefit ceiling","OK"))))))</x:f>
      </x:c>
    </x:row>
    <x:row r="422" ht="23" customHeight="1">
      <x:c r="A422" s="8"/>
      <x:c r="B422" s="8"/>
      <x:c r="C422" s="8"/>
      <x:c r="D422" s="8"/>
      <x:c r="E422" s="8"/>
      <x:c r="F422" s="20"/>
      <x:c r="G422" s="12"/>
      <x:c r="H422" s="21"/>
      <x:c r="I422" s="20"/>
      <x:c r="J422" s="20"/>
      <x:c r="K422" s="20"/>
      <x:c r="L422" s="12"/>
      <x:c r="M422" s="8"/>
      <x:c r="N422" s="12"/>
      <x:c r="O422" s="8"/>
      <x:c r="P422" s="8"/>
      <x:c r="Q422" s="8"/>
      <x:c r="R422" s="8"/>
      <x:c r="S422" s="8"/>
      <x:c r="T422" s="8"/>
      <x:c r="U422" s="12"/>
      <x:c r="V422" s="8"/>
      <x:c r="W422" s="8"/>
      <x:c r="X422" s="12"/>
      <x:c r="Y422" s="21"/>
      <x:c r="Z422" s="24" t="str">
        <x:f>IF($A422="","",INDEX(Settings!$C$29:$C$33,MATCH(E422,Settings!$A$29:$A$33,0)))</x:f>
      </x:c>
      <x:c r="AA422" s="22" t="str">
        <x:f>IF($A422="","",G422/Z422)</x:f>
      </x:c>
      <x:c r="AB422" s="25" t="str">
        <x:f>IF($A422="","",IF(ISNUMBER(Y422),Y422,Settings!$B$10))</x:f>
      </x:c>
      <x:c r="AC422" s="23" t="str">
        <x:f>IF($A422="","",G422*(1+AB422))</x:f>
      </x:c>
      <x:c r="AD422" s="23" t="str">
        <x:f>IF($A422="","",G422*F422*12)</x:f>
      </x:c>
      <x:c r="AE422" s="23" t="str">
        <x:f>IF($A422="","",G422*F422*J422)</x:f>
      </x:c>
      <x:c r="AF422" s="24" t="str">
        <x:f>IF($A422="","",L422*F422*K422*Settings!$B$13)</x:f>
      </x:c>
      <x:c r="AG422" s="23" t="str">
        <x:f>IF($A422="","",AD422*H422*I422)</x:f>
      </x:c>
      <x:c r="AH422" s="24" t="str">
        <x:f>IF($A422="","",SUM(AD422:AE422,AG422)*SUM(Settings!$B$11:$B$12))</x:f>
      </x:c>
      <x:c r="AI422" s="24" t="str">
        <x:f>IF($A422="","",M422*Settings!$B$16)</x:f>
      </x:c>
      <x:c r="AJ422" s="24" t="str">
        <x:f>IF($A422="","",M422*Settings!$B$15)</x:f>
      </x:c>
      <x:c r="AK422" s="24" t="str">
        <x:f>IF($A422="","",O422*Settings!$B$18)</x:f>
      </x:c>
      <x:c r="AL422" s="24" t="str">
        <x:f>IF($A422="","",P422*Settings!$B$20+Q422*Settings!$B$21+R422*Settings!$B$22+S422*Settings!$B$23)</x:f>
      </x:c>
      <x:c r="AM422" s="24" t="str">
        <x:f>IF($A422="","",T422*Settings!$B$24)</x:f>
      </x:c>
      <x:c r="AN422" s="23" t="str">
        <x:f>IF($A422="","",SUM(AI422,N422,AK422:AM422,U422))</x:f>
      </x:c>
      <x:c r="AO422" s="23" t="str">
        <x:f>IF($A422="","",SUM(AD422:AI422,N422,AK422:AM422,U422))</x:f>
      </x:c>
      <x:c r="AP422" s="24" t="str">
        <x:f>IF($A422="","",G422*F422*AB422*((13-Settings!$B$9)*(1+H422*I422)+J422)*(1+SUM(Settings!$B$11:$B$12)))</x:f>
      </x:c>
      <x:c r="AQ422" s="23" t="str">
        <x:f>IF($A422="","",SUM(AO422:AP422))</x:f>
      </x:c>
      <x:c r="AR422" s="23" t="str">
        <x:f>IF($A422="","",AQ422-X422)</x:f>
      </x:c>
      <x:c r="AS422" s="22" t="str">
        <x:f>IF($A422="","",IF(W422=0,"n.a.",V422/W422))</x:f>
      </x:c>
      <x:c r="AT422" s="26" t="str">
        <x:f>IF($A422="",IF(COUNTA(B422:Y422)&gt;0,"Missing ID",""),IF(COUNTIFS($A$9:$A$508,A422)&gt;1,"Duplicate ID",IF(OR(B422="",C422="",D422="",E422="",COUNT(F422:X422)&lt;&gt;19),"Missing / text input",IF(OR(COUNTIFS(Settings!$A$59:$A$64,B422)&lt;&gt;1,COUNTIFS(Settings!$A$29:$A$33,E422)&lt;&gt;1),"Unknown department / grade",IF(OR(F422&lt;=0,F422&gt;1,G422&lt;=0,L422&lt;=0,H422&lt;0,I422&lt;0,J422&lt;0,K422&lt;0,K422&gt;1,MIN(M422:X422)&lt;0,W422=0,V422&gt;W422,M422&gt;W422-V422,P422&gt;8,Q422&gt;4,R422&gt;12,S422&gt;12,T422&gt;1,AB422&lt;0),"Review quantity / rate",IF(OR(N422&gt;Settings!$C$17,AK422&gt;Settings!$C$19),"Review benefit ceiling","OK"))))))</x:f>
      </x:c>
    </x:row>
    <x:row r="423" ht="23" customHeight="1">
      <x:c r="A423" s="8"/>
      <x:c r="B423" s="8"/>
      <x:c r="C423" s="8"/>
      <x:c r="D423" s="8"/>
      <x:c r="E423" s="8"/>
      <x:c r="F423" s="20"/>
      <x:c r="G423" s="12"/>
      <x:c r="H423" s="21"/>
      <x:c r="I423" s="20"/>
      <x:c r="J423" s="20"/>
      <x:c r="K423" s="20"/>
      <x:c r="L423" s="12"/>
      <x:c r="M423" s="8"/>
      <x:c r="N423" s="12"/>
      <x:c r="O423" s="8"/>
      <x:c r="P423" s="8"/>
      <x:c r="Q423" s="8"/>
      <x:c r="R423" s="8"/>
      <x:c r="S423" s="8"/>
      <x:c r="T423" s="8"/>
      <x:c r="U423" s="12"/>
      <x:c r="V423" s="8"/>
      <x:c r="W423" s="8"/>
      <x:c r="X423" s="12"/>
      <x:c r="Y423" s="21"/>
      <x:c r="Z423" s="24" t="str">
        <x:f>IF($A423="","",INDEX(Settings!$C$29:$C$33,MATCH(E423,Settings!$A$29:$A$33,0)))</x:f>
      </x:c>
      <x:c r="AA423" s="22" t="str">
        <x:f>IF($A423="","",G423/Z423)</x:f>
      </x:c>
      <x:c r="AB423" s="25" t="str">
        <x:f>IF($A423="","",IF(ISNUMBER(Y423),Y423,Settings!$B$10))</x:f>
      </x:c>
      <x:c r="AC423" s="23" t="str">
        <x:f>IF($A423="","",G423*(1+AB423))</x:f>
      </x:c>
      <x:c r="AD423" s="23" t="str">
        <x:f>IF($A423="","",G423*F423*12)</x:f>
      </x:c>
      <x:c r="AE423" s="23" t="str">
        <x:f>IF($A423="","",G423*F423*J423)</x:f>
      </x:c>
      <x:c r="AF423" s="24" t="str">
        <x:f>IF($A423="","",L423*F423*K423*Settings!$B$13)</x:f>
      </x:c>
      <x:c r="AG423" s="23" t="str">
        <x:f>IF($A423="","",AD423*H423*I423)</x:f>
      </x:c>
      <x:c r="AH423" s="24" t="str">
        <x:f>IF($A423="","",SUM(AD423:AE423,AG423)*SUM(Settings!$B$11:$B$12))</x:f>
      </x:c>
      <x:c r="AI423" s="24" t="str">
        <x:f>IF($A423="","",M423*Settings!$B$16)</x:f>
      </x:c>
      <x:c r="AJ423" s="24" t="str">
        <x:f>IF($A423="","",M423*Settings!$B$15)</x:f>
      </x:c>
      <x:c r="AK423" s="24" t="str">
        <x:f>IF($A423="","",O423*Settings!$B$18)</x:f>
      </x:c>
      <x:c r="AL423" s="24" t="str">
        <x:f>IF($A423="","",P423*Settings!$B$20+Q423*Settings!$B$21+R423*Settings!$B$22+S423*Settings!$B$23)</x:f>
      </x:c>
      <x:c r="AM423" s="24" t="str">
        <x:f>IF($A423="","",T423*Settings!$B$24)</x:f>
      </x:c>
      <x:c r="AN423" s="23" t="str">
        <x:f>IF($A423="","",SUM(AI423,N423,AK423:AM423,U423))</x:f>
      </x:c>
      <x:c r="AO423" s="23" t="str">
        <x:f>IF($A423="","",SUM(AD423:AI423,N423,AK423:AM423,U423))</x:f>
      </x:c>
      <x:c r="AP423" s="24" t="str">
        <x:f>IF($A423="","",G423*F423*AB423*((13-Settings!$B$9)*(1+H423*I423)+J423)*(1+SUM(Settings!$B$11:$B$12)))</x:f>
      </x:c>
      <x:c r="AQ423" s="23" t="str">
        <x:f>IF($A423="","",SUM(AO423:AP423))</x:f>
      </x:c>
      <x:c r="AR423" s="23" t="str">
        <x:f>IF($A423="","",AQ423-X423)</x:f>
      </x:c>
      <x:c r="AS423" s="22" t="str">
        <x:f>IF($A423="","",IF(W423=0,"n.a.",V423/W423))</x:f>
      </x:c>
      <x:c r="AT423" s="26" t="str">
        <x:f>IF($A423="",IF(COUNTA(B423:Y423)&gt;0,"Missing ID",""),IF(COUNTIFS($A$9:$A$508,A423)&gt;1,"Duplicate ID",IF(OR(B423="",C423="",D423="",E423="",COUNT(F423:X423)&lt;&gt;19),"Missing / text input",IF(OR(COUNTIFS(Settings!$A$59:$A$64,B423)&lt;&gt;1,COUNTIFS(Settings!$A$29:$A$33,E423)&lt;&gt;1),"Unknown department / grade",IF(OR(F423&lt;=0,F423&gt;1,G423&lt;=0,L423&lt;=0,H423&lt;0,I423&lt;0,J423&lt;0,K423&lt;0,K423&gt;1,MIN(M423:X423)&lt;0,W423=0,V423&gt;W423,M423&gt;W423-V423,P423&gt;8,Q423&gt;4,R423&gt;12,S423&gt;12,T423&gt;1,AB423&lt;0),"Review quantity / rate",IF(OR(N423&gt;Settings!$C$17,AK423&gt;Settings!$C$19),"Review benefit ceiling","OK"))))))</x:f>
      </x:c>
    </x:row>
    <x:row r="424" ht="23" customHeight="1">
      <x:c r="A424" s="8"/>
      <x:c r="B424" s="8"/>
      <x:c r="C424" s="8"/>
      <x:c r="D424" s="8"/>
      <x:c r="E424" s="8"/>
      <x:c r="F424" s="20"/>
      <x:c r="G424" s="12"/>
      <x:c r="H424" s="21"/>
      <x:c r="I424" s="20"/>
      <x:c r="J424" s="20"/>
      <x:c r="K424" s="20"/>
      <x:c r="L424" s="12"/>
      <x:c r="M424" s="8"/>
      <x:c r="N424" s="12"/>
      <x:c r="O424" s="8"/>
      <x:c r="P424" s="8"/>
      <x:c r="Q424" s="8"/>
      <x:c r="R424" s="8"/>
      <x:c r="S424" s="8"/>
      <x:c r="T424" s="8"/>
      <x:c r="U424" s="12"/>
      <x:c r="V424" s="8"/>
      <x:c r="W424" s="8"/>
      <x:c r="X424" s="12"/>
      <x:c r="Y424" s="21"/>
      <x:c r="Z424" s="24" t="str">
        <x:f>IF($A424="","",INDEX(Settings!$C$29:$C$33,MATCH(E424,Settings!$A$29:$A$33,0)))</x:f>
      </x:c>
      <x:c r="AA424" s="22" t="str">
        <x:f>IF($A424="","",G424/Z424)</x:f>
      </x:c>
      <x:c r="AB424" s="25" t="str">
        <x:f>IF($A424="","",IF(ISNUMBER(Y424),Y424,Settings!$B$10))</x:f>
      </x:c>
      <x:c r="AC424" s="23" t="str">
        <x:f>IF($A424="","",G424*(1+AB424))</x:f>
      </x:c>
      <x:c r="AD424" s="23" t="str">
        <x:f>IF($A424="","",G424*F424*12)</x:f>
      </x:c>
      <x:c r="AE424" s="23" t="str">
        <x:f>IF($A424="","",G424*F424*J424)</x:f>
      </x:c>
      <x:c r="AF424" s="24" t="str">
        <x:f>IF($A424="","",L424*F424*K424*Settings!$B$13)</x:f>
      </x:c>
      <x:c r="AG424" s="23" t="str">
        <x:f>IF($A424="","",AD424*H424*I424)</x:f>
      </x:c>
      <x:c r="AH424" s="24" t="str">
        <x:f>IF($A424="","",SUM(AD424:AE424,AG424)*SUM(Settings!$B$11:$B$12))</x:f>
      </x:c>
      <x:c r="AI424" s="24" t="str">
        <x:f>IF($A424="","",M424*Settings!$B$16)</x:f>
      </x:c>
      <x:c r="AJ424" s="24" t="str">
        <x:f>IF($A424="","",M424*Settings!$B$15)</x:f>
      </x:c>
      <x:c r="AK424" s="24" t="str">
        <x:f>IF($A424="","",O424*Settings!$B$18)</x:f>
      </x:c>
      <x:c r="AL424" s="24" t="str">
        <x:f>IF($A424="","",P424*Settings!$B$20+Q424*Settings!$B$21+R424*Settings!$B$22+S424*Settings!$B$23)</x:f>
      </x:c>
      <x:c r="AM424" s="24" t="str">
        <x:f>IF($A424="","",T424*Settings!$B$24)</x:f>
      </x:c>
      <x:c r="AN424" s="23" t="str">
        <x:f>IF($A424="","",SUM(AI424,N424,AK424:AM424,U424))</x:f>
      </x:c>
      <x:c r="AO424" s="23" t="str">
        <x:f>IF($A424="","",SUM(AD424:AI424,N424,AK424:AM424,U424))</x:f>
      </x:c>
      <x:c r="AP424" s="24" t="str">
        <x:f>IF($A424="","",G424*F424*AB424*((13-Settings!$B$9)*(1+H424*I424)+J424)*(1+SUM(Settings!$B$11:$B$12)))</x:f>
      </x:c>
      <x:c r="AQ424" s="23" t="str">
        <x:f>IF($A424="","",SUM(AO424:AP424))</x:f>
      </x:c>
      <x:c r="AR424" s="23" t="str">
        <x:f>IF($A424="","",AQ424-X424)</x:f>
      </x:c>
      <x:c r="AS424" s="22" t="str">
        <x:f>IF($A424="","",IF(W424=0,"n.a.",V424/W424))</x:f>
      </x:c>
      <x:c r="AT424" s="26" t="str">
        <x:f>IF($A424="",IF(COUNTA(B424:Y424)&gt;0,"Missing ID",""),IF(COUNTIFS($A$9:$A$508,A424)&gt;1,"Duplicate ID",IF(OR(B424="",C424="",D424="",E424="",COUNT(F424:X424)&lt;&gt;19),"Missing / text input",IF(OR(COUNTIFS(Settings!$A$59:$A$64,B424)&lt;&gt;1,COUNTIFS(Settings!$A$29:$A$33,E424)&lt;&gt;1),"Unknown department / grade",IF(OR(F424&lt;=0,F424&gt;1,G424&lt;=0,L424&lt;=0,H424&lt;0,I424&lt;0,J424&lt;0,K424&lt;0,K424&gt;1,MIN(M424:X424)&lt;0,W424=0,V424&gt;W424,M424&gt;W424-V424,P424&gt;8,Q424&gt;4,R424&gt;12,S424&gt;12,T424&gt;1,AB424&lt;0),"Review quantity / rate",IF(OR(N424&gt;Settings!$C$17,AK424&gt;Settings!$C$19),"Review benefit ceiling","OK"))))))</x:f>
      </x:c>
    </x:row>
    <x:row r="425" ht="23" customHeight="1">
      <x:c r="A425" s="8"/>
      <x:c r="B425" s="8"/>
      <x:c r="C425" s="8"/>
      <x:c r="D425" s="8"/>
      <x:c r="E425" s="8"/>
      <x:c r="F425" s="20"/>
      <x:c r="G425" s="12"/>
      <x:c r="H425" s="21"/>
      <x:c r="I425" s="20"/>
      <x:c r="J425" s="20"/>
      <x:c r="K425" s="20"/>
      <x:c r="L425" s="12"/>
      <x:c r="M425" s="8"/>
      <x:c r="N425" s="12"/>
      <x:c r="O425" s="8"/>
      <x:c r="P425" s="8"/>
      <x:c r="Q425" s="8"/>
      <x:c r="R425" s="8"/>
      <x:c r="S425" s="8"/>
      <x:c r="T425" s="8"/>
      <x:c r="U425" s="12"/>
      <x:c r="V425" s="8"/>
      <x:c r="W425" s="8"/>
      <x:c r="X425" s="12"/>
      <x:c r="Y425" s="21"/>
      <x:c r="Z425" s="24" t="str">
        <x:f>IF($A425="","",INDEX(Settings!$C$29:$C$33,MATCH(E425,Settings!$A$29:$A$33,0)))</x:f>
      </x:c>
      <x:c r="AA425" s="22" t="str">
        <x:f>IF($A425="","",G425/Z425)</x:f>
      </x:c>
      <x:c r="AB425" s="25" t="str">
        <x:f>IF($A425="","",IF(ISNUMBER(Y425),Y425,Settings!$B$10))</x:f>
      </x:c>
      <x:c r="AC425" s="23" t="str">
        <x:f>IF($A425="","",G425*(1+AB425))</x:f>
      </x:c>
      <x:c r="AD425" s="23" t="str">
        <x:f>IF($A425="","",G425*F425*12)</x:f>
      </x:c>
      <x:c r="AE425" s="23" t="str">
        <x:f>IF($A425="","",G425*F425*J425)</x:f>
      </x:c>
      <x:c r="AF425" s="24" t="str">
        <x:f>IF($A425="","",L425*F425*K425*Settings!$B$13)</x:f>
      </x:c>
      <x:c r="AG425" s="23" t="str">
        <x:f>IF($A425="","",AD425*H425*I425)</x:f>
      </x:c>
      <x:c r="AH425" s="24" t="str">
        <x:f>IF($A425="","",SUM(AD425:AE425,AG425)*SUM(Settings!$B$11:$B$12))</x:f>
      </x:c>
      <x:c r="AI425" s="24" t="str">
        <x:f>IF($A425="","",M425*Settings!$B$16)</x:f>
      </x:c>
      <x:c r="AJ425" s="24" t="str">
        <x:f>IF($A425="","",M425*Settings!$B$15)</x:f>
      </x:c>
      <x:c r="AK425" s="24" t="str">
        <x:f>IF($A425="","",O425*Settings!$B$18)</x:f>
      </x:c>
      <x:c r="AL425" s="24" t="str">
        <x:f>IF($A425="","",P425*Settings!$B$20+Q425*Settings!$B$21+R425*Settings!$B$22+S425*Settings!$B$23)</x:f>
      </x:c>
      <x:c r="AM425" s="24" t="str">
        <x:f>IF($A425="","",T425*Settings!$B$24)</x:f>
      </x:c>
      <x:c r="AN425" s="23" t="str">
        <x:f>IF($A425="","",SUM(AI425,N425,AK425:AM425,U425))</x:f>
      </x:c>
      <x:c r="AO425" s="23" t="str">
        <x:f>IF($A425="","",SUM(AD425:AI425,N425,AK425:AM425,U425))</x:f>
      </x:c>
      <x:c r="AP425" s="24" t="str">
        <x:f>IF($A425="","",G425*F425*AB425*((13-Settings!$B$9)*(1+H425*I425)+J425)*(1+SUM(Settings!$B$11:$B$12)))</x:f>
      </x:c>
      <x:c r="AQ425" s="23" t="str">
        <x:f>IF($A425="","",SUM(AO425:AP425))</x:f>
      </x:c>
      <x:c r="AR425" s="23" t="str">
        <x:f>IF($A425="","",AQ425-X425)</x:f>
      </x:c>
      <x:c r="AS425" s="22" t="str">
        <x:f>IF($A425="","",IF(W425=0,"n.a.",V425/W425))</x:f>
      </x:c>
      <x:c r="AT425" s="26" t="str">
        <x:f>IF($A425="",IF(COUNTA(B425:Y425)&gt;0,"Missing ID",""),IF(COUNTIFS($A$9:$A$508,A425)&gt;1,"Duplicate ID",IF(OR(B425="",C425="",D425="",E425="",COUNT(F425:X425)&lt;&gt;19),"Missing / text input",IF(OR(COUNTIFS(Settings!$A$59:$A$64,B425)&lt;&gt;1,COUNTIFS(Settings!$A$29:$A$33,E425)&lt;&gt;1),"Unknown department / grade",IF(OR(F425&lt;=0,F425&gt;1,G425&lt;=0,L425&lt;=0,H425&lt;0,I425&lt;0,J425&lt;0,K425&lt;0,K425&gt;1,MIN(M425:X425)&lt;0,W425=0,V425&gt;W425,M425&gt;W425-V425,P425&gt;8,Q425&gt;4,R425&gt;12,S425&gt;12,T425&gt;1,AB425&lt;0),"Review quantity / rate",IF(OR(N425&gt;Settings!$C$17,AK425&gt;Settings!$C$19),"Review benefit ceiling","OK"))))))</x:f>
      </x:c>
    </x:row>
    <x:row r="426" ht="23" customHeight="1">
      <x:c r="A426" s="8"/>
      <x:c r="B426" s="8"/>
      <x:c r="C426" s="8"/>
      <x:c r="D426" s="8"/>
      <x:c r="E426" s="8"/>
      <x:c r="F426" s="20"/>
      <x:c r="G426" s="12"/>
      <x:c r="H426" s="21"/>
      <x:c r="I426" s="20"/>
      <x:c r="J426" s="20"/>
      <x:c r="K426" s="20"/>
      <x:c r="L426" s="12"/>
      <x:c r="M426" s="8"/>
      <x:c r="N426" s="12"/>
      <x:c r="O426" s="8"/>
      <x:c r="P426" s="8"/>
      <x:c r="Q426" s="8"/>
      <x:c r="R426" s="8"/>
      <x:c r="S426" s="8"/>
      <x:c r="T426" s="8"/>
      <x:c r="U426" s="12"/>
      <x:c r="V426" s="8"/>
      <x:c r="W426" s="8"/>
      <x:c r="X426" s="12"/>
      <x:c r="Y426" s="21"/>
      <x:c r="Z426" s="24" t="str">
        <x:f>IF($A426="","",INDEX(Settings!$C$29:$C$33,MATCH(E426,Settings!$A$29:$A$33,0)))</x:f>
      </x:c>
      <x:c r="AA426" s="22" t="str">
        <x:f>IF($A426="","",G426/Z426)</x:f>
      </x:c>
      <x:c r="AB426" s="25" t="str">
        <x:f>IF($A426="","",IF(ISNUMBER(Y426),Y426,Settings!$B$10))</x:f>
      </x:c>
      <x:c r="AC426" s="23" t="str">
        <x:f>IF($A426="","",G426*(1+AB426))</x:f>
      </x:c>
      <x:c r="AD426" s="23" t="str">
        <x:f>IF($A426="","",G426*F426*12)</x:f>
      </x:c>
      <x:c r="AE426" s="23" t="str">
        <x:f>IF($A426="","",G426*F426*J426)</x:f>
      </x:c>
      <x:c r="AF426" s="24" t="str">
        <x:f>IF($A426="","",L426*F426*K426*Settings!$B$13)</x:f>
      </x:c>
      <x:c r="AG426" s="23" t="str">
        <x:f>IF($A426="","",AD426*H426*I426)</x:f>
      </x:c>
      <x:c r="AH426" s="24" t="str">
        <x:f>IF($A426="","",SUM(AD426:AE426,AG426)*SUM(Settings!$B$11:$B$12))</x:f>
      </x:c>
      <x:c r="AI426" s="24" t="str">
        <x:f>IF($A426="","",M426*Settings!$B$16)</x:f>
      </x:c>
      <x:c r="AJ426" s="24" t="str">
        <x:f>IF($A426="","",M426*Settings!$B$15)</x:f>
      </x:c>
      <x:c r="AK426" s="24" t="str">
        <x:f>IF($A426="","",O426*Settings!$B$18)</x:f>
      </x:c>
      <x:c r="AL426" s="24" t="str">
        <x:f>IF($A426="","",P426*Settings!$B$20+Q426*Settings!$B$21+R426*Settings!$B$22+S426*Settings!$B$23)</x:f>
      </x:c>
      <x:c r="AM426" s="24" t="str">
        <x:f>IF($A426="","",T426*Settings!$B$24)</x:f>
      </x:c>
      <x:c r="AN426" s="23" t="str">
        <x:f>IF($A426="","",SUM(AI426,N426,AK426:AM426,U426))</x:f>
      </x:c>
      <x:c r="AO426" s="23" t="str">
        <x:f>IF($A426="","",SUM(AD426:AI426,N426,AK426:AM426,U426))</x:f>
      </x:c>
      <x:c r="AP426" s="24" t="str">
        <x:f>IF($A426="","",G426*F426*AB426*((13-Settings!$B$9)*(1+H426*I426)+J426)*(1+SUM(Settings!$B$11:$B$12)))</x:f>
      </x:c>
      <x:c r="AQ426" s="23" t="str">
        <x:f>IF($A426="","",SUM(AO426:AP426))</x:f>
      </x:c>
      <x:c r="AR426" s="23" t="str">
        <x:f>IF($A426="","",AQ426-X426)</x:f>
      </x:c>
      <x:c r="AS426" s="22" t="str">
        <x:f>IF($A426="","",IF(W426=0,"n.a.",V426/W426))</x:f>
      </x:c>
      <x:c r="AT426" s="26" t="str">
        <x:f>IF($A426="",IF(COUNTA(B426:Y426)&gt;0,"Missing ID",""),IF(COUNTIFS($A$9:$A$508,A426)&gt;1,"Duplicate ID",IF(OR(B426="",C426="",D426="",E426="",COUNT(F426:X426)&lt;&gt;19),"Missing / text input",IF(OR(COUNTIFS(Settings!$A$59:$A$64,B426)&lt;&gt;1,COUNTIFS(Settings!$A$29:$A$33,E426)&lt;&gt;1),"Unknown department / grade",IF(OR(F426&lt;=0,F426&gt;1,G426&lt;=0,L426&lt;=0,H426&lt;0,I426&lt;0,J426&lt;0,K426&lt;0,K426&gt;1,MIN(M426:X426)&lt;0,W426=0,V426&gt;W426,M426&gt;W426-V426,P426&gt;8,Q426&gt;4,R426&gt;12,S426&gt;12,T426&gt;1,AB426&lt;0),"Review quantity / rate",IF(OR(N426&gt;Settings!$C$17,AK426&gt;Settings!$C$19),"Review benefit ceiling","OK"))))))</x:f>
      </x:c>
    </x:row>
    <x:row r="427" ht="23" customHeight="1">
      <x:c r="A427" s="8"/>
      <x:c r="B427" s="8"/>
      <x:c r="C427" s="8"/>
      <x:c r="D427" s="8"/>
      <x:c r="E427" s="8"/>
      <x:c r="F427" s="20"/>
      <x:c r="G427" s="12"/>
      <x:c r="H427" s="21"/>
      <x:c r="I427" s="20"/>
      <x:c r="J427" s="20"/>
      <x:c r="K427" s="20"/>
      <x:c r="L427" s="12"/>
      <x:c r="M427" s="8"/>
      <x:c r="N427" s="12"/>
      <x:c r="O427" s="8"/>
      <x:c r="P427" s="8"/>
      <x:c r="Q427" s="8"/>
      <x:c r="R427" s="8"/>
      <x:c r="S427" s="8"/>
      <x:c r="T427" s="8"/>
      <x:c r="U427" s="12"/>
      <x:c r="V427" s="8"/>
      <x:c r="W427" s="8"/>
      <x:c r="X427" s="12"/>
      <x:c r="Y427" s="21"/>
      <x:c r="Z427" s="24" t="str">
        <x:f>IF($A427="","",INDEX(Settings!$C$29:$C$33,MATCH(E427,Settings!$A$29:$A$33,0)))</x:f>
      </x:c>
      <x:c r="AA427" s="22" t="str">
        <x:f>IF($A427="","",G427/Z427)</x:f>
      </x:c>
      <x:c r="AB427" s="25" t="str">
        <x:f>IF($A427="","",IF(ISNUMBER(Y427),Y427,Settings!$B$10))</x:f>
      </x:c>
      <x:c r="AC427" s="23" t="str">
        <x:f>IF($A427="","",G427*(1+AB427))</x:f>
      </x:c>
      <x:c r="AD427" s="23" t="str">
        <x:f>IF($A427="","",G427*F427*12)</x:f>
      </x:c>
      <x:c r="AE427" s="23" t="str">
        <x:f>IF($A427="","",G427*F427*J427)</x:f>
      </x:c>
      <x:c r="AF427" s="24" t="str">
        <x:f>IF($A427="","",L427*F427*K427*Settings!$B$13)</x:f>
      </x:c>
      <x:c r="AG427" s="23" t="str">
        <x:f>IF($A427="","",AD427*H427*I427)</x:f>
      </x:c>
      <x:c r="AH427" s="24" t="str">
        <x:f>IF($A427="","",SUM(AD427:AE427,AG427)*SUM(Settings!$B$11:$B$12))</x:f>
      </x:c>
      <x:c r="AI427" s="24" t="str">
        <x:f>IF($A427="","",M427*Settings!$B$16)</x:f>
      </x:c>
      <x:c r="AJ427" s="24" t="str">
        <x:f>IF($A427="","",M427*Settings!$B$15)</x:f>
      </x:c>
      <x:c r="AK427" s="24" t="str">
        <x:f>IF($A427="","",O427*Settings!$B$18)</x:f>
      </x:c>
      <x:c r="AL427" s="24" t="str">
        <x:f>IF($A427="","",P427*Settings!$B$20+Q427*Settings!$B$21+R427*Settings!$B$22+S427*Settings!$B$23)</x:f>
      </x:c>
      <x:c r="AM427" s="24" t="str">
        <x:f>IF($A427="","",T427*Settings!$B$24)</x:f>
      </x:c>
      <x:c r="AN427" s="23" t="str">
        <x:f>IF($A427="","",SUM(AI427,N427,AK427:AM427,U427))</x:f>
      </x:c>
      <x:c r="AO427" s="23" t="str">
        <x:f>IF($A427="","",SUM(AD427:AI427,N427,AK427:AM427,U427))</x:f>
      </x:c>
      <x:c r="AP427" s="24" t="str">
        <x:f>IF($A427="","",G427*F427*AB427*((13-Settings!$B$9)*(1+H427*I427)+J427)*(1+SUM(Settings!$B$11:$B$12)))</x:f>
      </x:c>
      <x:c r="AQ427" s="23" t="str">
        <x:f>IF($A427="","",SUM(AO427:AP427))</x:f>
      </x:c>
      <x:c r="AR427" s="23" t="str">
        <x:f>IF($A427="","",AQ427-X427)</x:f>
      </x:c>
      <x:c r="AS427" s="22" t="str">
        <x:f>IF($A427="","",IF(W427=0,"n.a.",V427/W427))</x:f>
      </x:c>
      <x:c r="AT427" s="26" t="str">
        <x:f>IF($A427="",IF(COUNTA(B427:Y427)&gt;0,"Missing ID",""),IF(COUNTIFS($A$9:$A$508,A427)&gt;1,"Duplicate ID",IF(OR(B427="",C427="",D427="",E427="",COUNT(F427:X427)&lt;&gt;19),"Missing / text input",IF(OR(COUNTIFS(Settings!$A$59:$A$64,B427)&lt;&gt;1,COUNTIFS(Settings!$A$29:$A$33,E427)&lt;&gt;1),"Unknown department / grade",IF(OR(F427&lt;=0,F427&gt;1,G427&lt;=0,L427&lt;=0,H427&lt;0,I427&lt;0,J427&lt;0,K427&lt;0,K427&gt;1,MIN(M427:X427)&lt;0,W427=0,V427&gt;W427,M427&gt;W427-V427,P427&gt;8,Q427&gt;4,R427&gt;12,S427&gt;12,T427&gt;1,AB427&lt;0),"Review quantity / rate",IF(OR(N427&gt;Settings!$C$17,AK427&gt;Settings!$C$19),"Review benefit ceiling","OK"))))))</x:f>
      </x:c>
    </x:row>
    <x:row r="428" ht="23" customHeight="1">
      <x:c r="A428" s="8"/>
      <x:c r="B428" s="8"/>
      <x:c r="C428" s="8"/>
      <x:c r="D428" s="8"/>
      <x:c r="E428" s="8"/>
      <x:c r="F428" s="20"/>
      <x:c r="G428" s="12"/>
      <x:c r="H428" s="21"/>
      <x:c r="I428" s="20"/>
      <x:c r="J428" s="20"/>
      <x:c r="K428" s="20"/>
      <x:c r="L428" s="12"/>
      <x:c r="M428" s="8"/>
      <x:c r="N428" s="12"/>
      <x:c r="O428" s="8"/>
      <x:c r="P428" s="8"/>
      <x:c r="Q428" s="8"/>
      <x:c r="R428" s="8"/>
      <x:c r="S428" s="8"/>
      <x:c r="T428" s="8"/>
      <x:c r="U428" s="12"/>
      <x:c r="V428" s="8"/>
      <x:c r="W428" s="8"/>
      <x:c r="X428" s="12"/>
      <x:c r="Y428" s="21"/>
      <x:c r="Z428" s="24" t="str">
        <x:f>IF($A428="","",INDEX(Settings!$C$29:$C$33,MATCH(E428,Settings!$A$29:$A$33,0)))</x:f>
      </x:c>
      <x:c r="AA428" s="22" t="str">
        <x:f>IF($A428="","",G428/Z428)</x:f>
      </x:c>
      <x:c r="AB428" s="25" t="str">
        <x:f>IF($A428="","",IF(ISNUMBER(Y428),Y428,Settings!$B$10))</x:f>
      </x:c>
      <x:c r="AC428" s="23" t="str">
        <x:f>IF($A428="","",G428*(1+AB428))</x:f>
      </x:c>
      <x:c r="AD428" s="23" t="str">
        <x:f>IF($A428="","",G428*F428*12)</x:f>
      </x:c>
      <x:c r="AE428" s="23" t="str">
        <x:f>IF($A428="","",G428*F428*J428)</x:f>
      </x:c>
      <x:c r="AF428" s="24" t="str">
        <x:f>IF($A428="","",L428*F428*K428*Settings!$B$13)</x:f>
      </x:c>
      <x:c r="AG428" s="23" t="str">
        <x:f>IF($A428="","",AD428*H428*I428)</x:f>
      </x:c>
      <x:c r="AH428" s="24" t="str">
        <x:f>IF($A428="","",SUM(AD428:AE428,AG428)*SUM(Settings!$B$11:$B$12))</x:f>
      </x:c>
      <x:c r="AI428" s="24" t="str">
        <x:f>IF($A428="","",M428*Settings!$B$16)</x:f>
      </x:c>
      <x:c r="AJ428" s="24" t="str">
        <x:f>IF($A428="","",M428*Settings!$B$15)</x:f>
      </x:c>
      <x:c r="AK428" s="24" t="str">
        <x:f>IF($A428="","",O428*Settings!$B$18)</x:f>
      </x:c>
      <x:c r="AL428" s="24" t="str">
        <x:f>IF($A428="","",P428*Settings!$B$20+Q428*Settings!$B$21+R428*Settings!$B$22+S428*Settings!$B$23)</x:f>
      </x:c>
      <x:c r="AM428" s="24" t="str">
        <x:f>IF($A428="","",T428*Settings!$B$24)</x:f>
      </x:c>
      <x:c r="AN428" s="23" t="str">
        <x:f>IF($A428="","",SUM(AI428,N428,AK428:AM428,U428))</x:f>
      </x:c>
      <x:c r="AO428" s="23" t="str">
        <x:f>IF($A428="","",SUM(AD428:AI428,N428,AK428:AM428,U428))</x:f>
      </x:c>
      <x:c r="AP428" s="24" t="str">
        <x:f>IF($A428="","",G428*F428*AB428*((13-Settings!$B$9)*(1+H428*I428)+J428)*(1+SUM(Settings!$B$11:$B$12)))</x:f>
      </x:c>
      <x:c r="AQ428" s="23" t="str">
        <x:f>IF($A428="","",SUM(AO428:AP428))</x:f>
      </x:c>
      <x:c r="AR428" s="23" t="str">
        <x:f>IF($A428="","",AQ428-X428)</x:f>
      </x:c>
      <x:c r="AS428" s="22" t="str">
        <x:f>IF($A428="","",IF(W428=0,"n.a.",V428/W428))</x:f>
      </x:c>
      <x:c r="AT428" s="26" t="str">
        <x:f>IF($A428="",IF(COUNTA(B428:Y428)&gt;0,"Missing ID",""),IF(COUNTIFS($A$9:$A$508,A428)&gt;1,"Duplicate ID",IF(OR(B428="",C428="",D428="",E428="",COUNT(F428:X428)&lt;&gt;19),"Missing / text input",IF(OR(COUNTIFS(Settings!$A$59:$A$64,B428)&lt;&gt;1,COUNTIFS(Settings!$A$29:$A$33,E428)&lt;&gt;1),"Unknown department / grade",IF(OR(F428&lt;=0,F428&gt;1,G428&lt;=0,L428&lt;=0,H428&lt;0,I428&lt;0,J428&lt;0,K428&lt;0,K428&gt;1,MIN(M428:X428)&lt;0,W428=0,V428&gt;W428,M428&gt;W428-V428,P428&gt;8,Q428&gt;4,R428&gt;12,S428&gt;12,T428&gt;1,AB428&lt;0),"Review quantity / rate",IF(OR(N428&gt;Settings!$C$17,AK428&gt;Settings!$C$19),"Review benefit ceiling","OK"))))))</x:f>
      </x:c>
    </x:row>
    <x:row r="429" ht="23" customHeight="1">
      <x:c r="A429" s="8"/>
      <x:c r="B429" s="8"/>
      <x:c r="C429" s="8"/>
      <x:c r="D429" s="8"/>
      <x:c r="E429" s="8"/>
      <x:c r="F429" s="20"/>
      <x:c r="G429" s="12"/>
      <x:c r="H429" s="21"/>
      <x:c r="I429" s="20"/>
      <x:c r="J429" s="20"/>
      <x:c r="K429" s="20"/>
      <x:c r="L429" s="12"/>
      <x:c r="M429" s="8"/>
      <x:c r="N429" s="12"/>
      <x:c r="O429" s="8"/>
      <x:c r="P429" s="8"/>
      <x:c r="Q429" s="8"/>
      <x:c r="R429" s="8"/>
      <x:c r="S429" s="8"/>
      <x:c r="T429" s="8"/>
      <x:c r="U429" s="12"/>
      <x:c r="V429" s="8"/>
      <x:c r="W429" s="8"/>
      <x:c r="X429" s="12"/>
      <x:c r="Y429" s="21"/>
      <x:c r="Z429" s="24" t="str">
        <x:f>IF($A429="","",INDEX(Settings!$C$29:$C$33,MATCH(E429,Settings!$A$29:$A$33,0)))</x:f>
      </x:c>
      <x:c r="AA429" s="22" t="str">
        <x:f>IF($A429="","",G429/Z429)</x:f>
      </x:c>
      <x:c r="AB429" s="25" t="str">
        <x:f>IF($A429="","",IF(ISNUMBER(Y429),Y429,Settings!$B$10))</x:f>
      </x:c>
      <x:c r="AC429" s="23" t="str">
        <x:f>IF($A429="","",G429*(1+AB429))</x:f>
      </x:c>
      <x:c r="AD429" s="23" t="str">
        <x:f>IF($A429="","",G429*F429*12)</x:f>
      </x:c>
      <x:c r="AE429" s="23" t="str">
        <x:f>IF($A429="","",G429*F429*J429)</x:f>
      </x:c>
      <x:c r="AF429" s="24" t="str">
        <x:f>IF($A429="","",L429*F429*K429*Settings!$B$13)</x:f>
      </x:c>
      <x:c r="AG429" s="23" t="str">
        <x:f>IF($A429="","",AD429*H429*I429)</x:f>
      </x:c>
      <x:c r="AH429" s="24" t="str">
        <x:f>IF($A429="","",SUM(AD429:AE429,AG429)*SUM(Settings!$B$11:$B$12))</x:f>
      </x:c>
      <x:c r="AI429" s="24" t="str">
        <x:f>IF($A429="","",M429*Settings!$B$16)</x:f>
      </x:c>
      <x:c r="AJ429" s="24" t="str">
        <x:f>IF($A429="","",M429*Settings!$B$15)</x:f>
      </x:c>
      <x:c r="AK429" s="24" t="str">
        <x:f>IF($A429="","",O429*Settings!$B$18)</x:f>
      </x:c>
      <x:c r="AL429" s="24" t="str">
        <x:f>IF($A429="","",P429*Settings!$B$20+Q429*Settings!$B$21+R429*Settings!$B$22+S429*Settings!$B$23)</x:f>
      </x:c>
      <x:c r="AM429" s="24" t="str">
        <x:f>IF($A429="","",T429*Settings!$B$24)</x:f>
      </x:c>
      <x:c r="AN429" s="23" t="str">
        <x:f>IF($A429="","",SUM(AI429,N429,AK429:AM429,U429))</x:f>
      </x:c>
      <x:c r="AO429" s="23" t="str">
        <x:f>IF($A429="","",SUM(AD429:AI429,N429,AK429:AM429,U429))</x:f>
      </x:c>
      <x:c r="AP429" s="24" t="str">
        <x:f>IF($A429="","",G429*F429*AB429*((13-Settings!$B$9)*(1+H429*I429)+J429)*(1+SUM(Settings!$B$11:$B$12)))</x:f>
      </x:c>
      <x:c r="AQ429" s="23" t="str">
        <x:f>IF($A429="","",SUM(AO429:AP429))</x:f>
      </x:c>
      <x:c r="AR429" s="23" t="str">
        <x:f>IF($A429="","",AQ429-X429)</x:f>
      </x:c>
      <x:c r="AS429" s="22" t="str">
        <x:f>IF($A429="","",IF(W429=0,"n.a.",V429/W429))</x:f>
      </x:c>
      <x:c r="AT429" s="26" t="str">
        <x:f>IF($A429="",IF(COUNTA(B429:Y429)&gt;0,"Missing ID",""),IF(COUNTIFS($A$9:$A$508,A429)&gt;1,"Duplicate ID",IF(OR(B429="",C429="",D429="",E429="",COUNT(F429:X429)&lt;&gt;19),"Missing / text input",IF(OR(COUNTIFS(Settings!$A$59:$A$64,B429)&lt;&gt;1,COUNTIFS(Settings!$A$29:$A$33,E429)&lt;&gt;1),"Unknown department / grade",IF(OR(F429&lt;=0,F429&gt;1,G429&lt;=0,L429&lt;=0,H429&lt;0,I429&lt;0,J429&lt;0,K429&lt;0,K429&gt;1,MIN(M429:X429)&lt;0,W429=0,V429&gt;W429,M429&gt;W429-V429,P429&gt;8,Q429&gt;4,R429&gt;12,S429&gt;12,T429&gt;1,AB429&lt;0),"Review quantity / rate",IF(OR(N429&gt;Settings!$C$17,AK429&gt;Settings!$C$19),"Review benefit ceiling","OK"))))))</x:f>
      </x:c>
    </x:row>
    <x:row r="430" ht="23" customHeight="1">
      <x:c r="A430" s="8"/>
      <x:c r="B430" s="8"/>
      <x:c r="C430" s="8"/>
      <x:c r="D430" s="8"/>
      <x:c r="E430" s="8"/>
      <x:c r="F430" s="20"/>
      <x:c r="G430" s="12"/>
      <x:c r="H430" s="21"/>
      <x:c r="I430" s="20"/>
      <x:c r="J430" s="20"/>
      <x:c r="K430" s="20"/>
      <x:c r="L430" s="12"/>
      <x:c r="M430" s="8"/>
      <x:c r="N430" s="12"/>
      <x:c r="O430" s="8"/>
      <x:c r="P430" s="8"/>
      <x:c r="Q430" s="8"/>
      <x:c r="R430" s="8"/>
      <x:c r="S430" s="8"/>
      <x:c r="T430" s="8"/>
      <x:c r="U430" s="12"/>
      <x:c r="V430" s="8"/>
      <x:c r="W430" s="8"/>
      <x:c r="X430" s="12"/>
      <x:c r="Y430" s="21"/>
      <x:c r="Z430" s="24" t="str">
        <x:f>IF($A430="","",INDEX(Settings!$C$29:$C$33,MATCH(E430,Settings!$A$29:$A$33,0)))</x:f>
      </x:c>
      <x:c r="AA430" s="22" t="str">
        <x:f>IF($A430="","",G430/Z430)</x:f>
      </x:c>
      <x:c r="AB430" s="25" t="str">
        <x:f>IF($A430="","",IF(ISNUMBER(Y430),Y430,Settings!$B$10))</x:f>
      </x:c>
      <x:c r="AC430" s="23" t="str">
        <x:f>IF($A430="","",G430*(1+AB430))</x:f>
      </x:c>
      <x:c r="AD430" s="23" t="str">
        <x:f>IF($A430="","",G430*F430*12)</x:f>
      </x:c>
      <x:c r="AE430" s="23" t="str">
        <x:f>IF($A430="","",G430*F430*J430)</x:f>
      </x:c>
      <x:c r="AF430" s="24" t="str">
        <x:f>IF($A430="","",L430*F430*K430*Settings!$B$13)</x:f>
      </x:c>
      <x:c r="AG430" s="23" t="str">
        <x:f>IF($A430="","",AD430*H430*I430)</x:f>
      </x:c>
      <x:c r="AH430" s="24" t="str">
        <x:f>IF($A430="","",SUM(AD430:AE430,AG430)*SUM(Settings!$B$11:$B$12))</x:f>
      </x:c>
      <x:c r="AI430" s="24" t="str">
        <x:f>IF($A430="","",M430*Settings!$B$16)</x:f>
      </x:c>
      <x:c r="AJ430" s="24" t="str">
        <x:f>IF($A430="","",M430*Settings!$B$15)</x:f>
      </x:c>
      <x:c r="AK430" s="24" t="str">
        <x:f>IF($A430="","",O430*Settings!$B$18)</x:f>
      </x:c>
      <x:c r="AL430" s="24" t="str">
        <x:f>IF($A430="","",P430*Settings!$B$20+Q430*Settings!$B$21+R430*Settings!$B$22+S430*Settings!$B$23)</x:f>
      </x:c>
      <x:c r="AM430" s="24" t="str">
        <x:f>IF($A430="","",T430*Settings!$B$24)</x:f>
      </x:c>
      <x:c r="AN430" s="23" t="str">
        <x:f>IF($A430="","",SUM(AI430,N430,AK430:AM430,U430))</x:f>
      </x:c>
      <x:c r="AO430" s="23" t="str">
        <x:f>IF($A430="","",SUM(AD430:AI430,N430,AK430:AM430,U430))</x:f>
      </x:c>
      <x:c r="AP430" s="24" t="str">
        <x:f>IF($A430="","",G430*F430*AB430*((13-Settings!$B$9)*(1+H430*I430)+J430)*(1+SUM(Settings!$B$11:$B$12)))</x:f>
      </x:c>
      <x:c r="AQ430" s="23" t="str">
        <x:f>IF($A430="","",SUM(AO430:AP430))</x:f>
      </x:c>
      <x:c r="AR430" s="23" t="str">
        <x:f>IF($A430="","",AQ430-X430)</x:f>
      </x:c>
      <x:c r="AS430" s="22" t="str">
        <x:f>IF($A430="","",IF(W430=0,"n.a.",V430/W430))</x:f>
      </x:c>
      <x:c r="AT430" s="26" t="str">
        <x:f>IF($A430="",IF(COUNTA(B430:Y430)&gt;0,"Missing ID",""),IF(COUNTIFS($A$9:$A$508,A430)&gt;1,"Duplicate ID",IF(OR(B430="",C430="",D430="",E430="",COUNT(F430:X430)&lt;&gt;19),"Missing / text input",IF(OR(COUNTIFS(Settings!$A$59:$A$64,B430)&lt;&gt;1,COUNTIFS(Settings!$A$29:$A$33,E430)&lt;&gt;1),"Unknown department / grade",IF(OR(F430&lt;=0,F430&gt;1,G430&lt;=0,L430&lt;=0,H430&lt;0,I430&lt;0,J430&lt;0,K430&lt;0,K430&gt;1,MIN(M430:X430)&lt;0,W430=0,V430&gt;W430,M430&gt;W430-V430,P430&gt;8,Q430&gt;4,R430&gt;12,S430&gt;12,T430&gt;1,AB430&lt;0),"Review quantity / rate",IF(OR(N430&gt;Settings!$C$17,AK430&gt;Settings!$C$19),"Review benefit ceiling","OK"))))))</x:f>
      </x:c>
    </x:row>
    <x:row r="431" ht="23" customHeight="1">
      <x:c r="A431" s="8"/>
      <x:c r="B431" s="8"/>
      <x:c r="C431" s="8"/>
      <x:c r="D431" s="8"/>
      <x:c r="E431" s="8"/>
      <x:c r="F431" s="20"/>
      <x:c r="G431" s="12"/>
      <x:c r="H431" s="21"/>
      <x:c r="I431" s="20"/>
      <x:c r="J431" s="20"/>
      <x:c r="K431" s="20"/>
      <x:c r="L431" s="12"/>
      <x:c r="M431" s="8"/>
      <x:c r="N431" s="12"/>
      <x:c r="O431" s="8"/>
      <x:c r="P431" s="8"/>
      <x:c r="Q431" s="8"/>
      <x:c r="R431" s="8"/>
      <x:c r="S431" s="8"/>
      <x:c r="T431" s="8"/>
      <x:c r="U431" s="12"/>
      <x:c r="V431" s="8"/>
      <x:c r="W431" s="8"/>
      <x:c r="X431" s="12"/>
      <x:c r="Y431" s="21"/>
      <x:c r="Z431" s="24" t="str">
        <x:f>IF($A431="","",INDEX(Settings!$C$29:$C$33,MATCH(E431,Settings!$A$29:$A$33,0)))</x:f>
      </x:c>
      <x:c r="AA431" s="22" t="str">
        <x:f>IF($A431="","",G431/Z431)</x:f>
      </x:c>
      <x:c r="AB431" s="25" t="str">
        <x:f>IF($A431="","",IF(ISNUMBER(Y431),Y431,Settings!$B$10))</x:f>
      </x:c>
      <x:c r="AC431" s="23" t="str">
        <x:f>IF($A431="","",G431*(1+AB431))</x:f>
      </x:c>
      <x:c r="AD431" s="23" t="str">
        <x:f>IF($A431="","",G431*F431*12)</x:f>
      </x:c>
      <x:c r="AE431" s="23" t="str">
        <x:f>IF($A431="","",G431*F431*J431)</x:f>
      </x:c>
      <x:c r="AF431" s="24" t="str">
        <x:f>IF($A431="","",L431*F431*K431*Settings!$B$13)</x:f>
      </x:c>
      <x:c r="AG431" s="23" t="str">
        <x:f>IF($A431="","",AD431*H431*I431)</x:f>
      </x:c>
      <x:c r="AH431" s="24" t="str">
        <x:f>IF($A431="","",SUM(AD431:AE431,AG431)*SUM(Settings!$B$11:$B$12))</x:f>
      </x:c>
      <x:c r="AI431" s="24" t="str">
        <x:f>IF($A431="","",M431*Settings!$B$16)</x:f>
      </x:c>
      <x:c r="AJ431" s="24" t="str">
        <x:f>IF($A431="","",M431*Settings!$B$15)</x:f>
      </x:c>
      <x:c r="AK431" s="24" t="str">
        <x:f>IF($A431="","",O431*Settings!$B$18)</x:f>
      </x:c>
      <x:c r="AL431" s="24" t="str">
        <x:f>IF($A431="","",P431*Settings!$B$20+Q431*Settings!$B$21+R431*Settings!$B$22+S431*Settings!$B$23)</x:f>
      </x:c>
      <x:c r="AM431" s="24" t="str">
        <x:f>IF($A431="","",T431*Settings!$B$24)</x:f>
      </x:c>
      <x:c r="AN431" s="23" t="str">
        <x:f>IF($A431="","",SUM(AI431,N431,AK431:AM431,U431))</x:f>
      </x:c>
      <x:c r="AO431" s="23" t="str">
        <x:f>IF($A431="","",SUM(AD431:AI431,N431,AK431:AM431,U431))</x:f>
      </x:c>
      <x:c r="AP431" s="24" t="str">
        <x:f>IF($A431="","",G431*F431*AB431*((13-Settings!$B$9)*(1+H431*I431)+J431)*(1+SUM(Settings!$B$11:$B$12)))</x:f>
      </x:c>
      <x:c r="AQ431" s="23" t="str">
        <x:f>IF($A431="","",SUM(AO431:AP431))</x:f>
      </x:c>
      <x:c r="AR431" s="23" t="str">
        <x:f>IF($A431="","",AQ431-X431)</x:f>
      </x:c>
      <x:c r="AS431" s="22" t="str">
        <x:f>IF($A431="","",IF(W431=0,"n.a.",V431/W431))</x:f>
      </x:c>
      <x:c r="AT431" s="26" t="str">
        <x:f>IF($A431="",IF(COUNTA(B431:Y431)&gt;0,"Missing ID",""),IF(COUNTIFS($A$9:$A$508,A431)&gt;1,"Duplicate ID",IF(OR(B431="",C431="",D431="",E431="",COUNT(F431:X431)&lt;&gt;19),"Missing / text input",IF(OR(COUNTIFS(Settings!$A$59:$A$64,B431)&lt;&gt;1,COUNTIFS(Settings!$A$29:$A$33,E431)&lt;&gt;1),"Unknown department / grade",IF(OR(F431&lt;=0,F431&gt;1,G431&lt;=0,L431&lt;=0,H431&lt;0,I431&lt;0,J431&lt;0,K431&lt;0,K431&gt;1,MIN(M431:X431)&lt;0,W431=0,V431&gt;W431,M431&gt;W431-V431,P431&gt;8,Q431&gt;4,R431&gt;12,S431&gt;12,T431&gt;1,AB431&lt;0),"Review quantity / rate",IF(OR(N431&gt;Settings!$C$17,AK431&gt;Settings!$C$19),"Review benefit ceiling","OK"))))))</x:f>
      </x:c>
    </x:row>
    <x:row r="432" ht="23" customHeight="1">
      <x:c r="A432" s="8"/>
      <x:c r="B432" s="8"/>
      <x:c r="C432" s="8"/>
      <x:c r="D432" s="8"/>
      <x:c r="E432" s="8"/>
      <x:c r="F432" s="20"/>
      <x:c r="G432" s="12"/>
      <x:c r="H432" s="21"/>
      <x:c r="I432" s="20"/>
      <x:c r="J432" s="20"/>
      <x:c r="K432" s="20"/>
      <x:c r="L432" s="12"/>
      <x:c r="M432" s="8"/>
      <x:c r="N432" s="12"/>
      <x:c r="O432" s="8"/>
      <x:c r="P432" s="8"/>
      <x:c r="Q432" s="8"/>
      <x:c r="R432" s="8"/>
      <x:c r="S432" s="8"/>
      <x:c r="T432" s="8"/>
      <x:c r="U432" s="12"/>
      <x:c r="V432" s="8"/>
      <x:c r="W432" s="8"/>
      <x:c r="X432" s="12"/>
      <x:c r="Y432" s="21"/>
      <x:c r="Z432" s="24" t="str">
        <x:f>IF($A432="","",INDEX(Settings!$C$29:$C$33,MATCH(E432,Settings!$A$29:$A$33,0)))</x:f>
      </x:c>
      <x:c r="AA432" s="22" t="str">
        <x:f>IF($A432="","",G432/Z432)</x:f>
      </x:c>
      <x:c r="AB432" s="25" t="str">
        <x:f>IF($A432="","",IF(ISNUMBER(Y432),Y432,Settings!$B$10))</x:f>
      </x:c>
      <x:c r="AC432" s="23" t="str">
        <x:f>IF($A432="","",G432*(1+AB432))</x:f>
      </x:c>
      <x:c r="AD432" s="23" t="str">
        <x:f>IF($A432="","",G432*F432*12)</x:f>
      </x:c>
      <x:c r="AE432" s="23" t="str">
        <x:f>IF($A432="","",G432*F432*J432)</x:f>
      </x:c>
      <x:c r="AF432" s="24" t="str">
        <x:f>IF($A432="","",L432*F432*K432*Settings!$B$13)</x:f>
      </x:c>
      <x:c r="AG432" s="23" t="str">
        <x:f>IF($A432="","",AD432*H432*I432)</x:f>
      </x:c>
      <x:c r="AH432" s="24" t="str">
        <x:f>IF($A432="","",SUM(AD432:AE432,AG432)*SUM(Settings!$B$11:$B$12))</x:f>
      </x:c>
      <x:c r="AI432" s="24" t="str">
        <x:f>IF($A432="","",M432*Settings!$B$16)</x:f>
      </x:c>
      <x:c r="AJ432" s="24" t="str">
        <x:f>IF($A432="","",M432*Settings!$B$15)</x:f>
      </x:c>
      <x:c r="AK432" s="24" t="str">
        <x:f>IF($A432="","",O432*Settings!$B$18)</x:f>
      </x:c>
      <x:c r="AL432" s="24" t="str">
        <x:f>IF($A432="","",P432*Settings!$B$20+Q432*Settings!$B$21+R432*Settings!$B$22+S432*Settings!$B$23)</x:f>
      </x:c>
      <x:c r="AM432" s="24" t="str">
        <x:f>IF($A432="","",T432*Settings!$B$24)</x:f>
      </x:c>
      <x:c r="AN432" s="23" t="str">
        <x:f>IF($A432="","",SUM(AI432,N432,AK432:AM432,U432))</x:f>
      </x:c>
      <x:c r="AO432" s="23" t="str">
        <x:f>IF($A432="","",SUM(AD432:AI432,N432,AK432:AM432,U432))</x:f>
      </x:c>
      <x:c r="AP432" s="24" t="str">
        <x:f>IF($A432="","",G432*F432*AB432*((13-Settings!$B$9)*(1+H432*I432)+J432)*(1+SUM(Settings!$B$11:$B$12)))</x:f>
      </x:c>
      <x:c r="AQ432" s="23" t="str">
        <x:f>IF($A432="","",SUM(AO432:AP432))</x:f>
      </x:c>
      <x:c r="AR432" s="23" t="str">
        <x:f>IF($A432="","",AQ432-X432)</x:f>
      </x:c>
      <x:c r="AS432" s="22" t="str">
        <x:f>IF($A432="","",IF(W432=0,"n.a.",V432/W432))</x:f>
      </x:c>
      <x:c r="AT432" s="26" t="str">
        <x:f>IF($A432="",IF(COUNTA(B432:Y432)&gt;0,"Missing ID",""),IF(COUNTIFS($A$9:$A$508,A432)&gt;1,"Duplicate ID",IF(OR(B432="",C432="",D432="",E432="",COUNT(F432:X432)&lt;&gt;19),"Missing / text input",IF(OR(COUNTIFS(Settings!$A$59:$A$64,B432)&lt;&gt;1,COUNTIFS(Settings!$A$29:$A$33,E432)&lt;&gt;1),"Unknown department / grade",IF(OR(F432&lt;=0,F432&gt;1,G432&lt;=0,L432&lt;=0,H432&lt;0,I432&lt;0,J432&lt;0,K432&lt;0,K432&gt;1,MIN(M432:X432)&lt;0,W432=0,V432&gt;W432,M432&gt;W432-V432,P432&gt;8,Q432&gt;4,R432&gt;12,S432&gt;12,T432&gt;1,AB432&lt;0),"Review quantity / rate",IF(OR(N432&gt;Settings!$C$17,AK432&gt;Settings!$C$19),"Review benefit ceiling","OK"))))))</x:f>
      </x:c>
    </x:row>
    <x:row r="433" ht="23" customHeight="1">
      <x:c r="A433" s="8"/>
      <x:c r="B433" s="8"/>
      <x:c r="C433" s="8"/>
      <x:c r="D433" s="8"/>
      <x:c r="E433" s="8"/>
      <x:c r="F433" s="20"/>
      <x:c r="G433" s="12"/>
      <x:c r="H433" s="21"/>
      <x:c r="I433" s="20"/>
      <x:c r="J433" s="20"/>
      <x:c r="K433" s="20"/>
      <x:c r="L433" s="12"/>
      <x:c r="M433" s="8"/>
      <x:c r="N433" s="12"/>
      <x:c r="O433" s="8"/>
      <x:c r="P433" s="8"/>
      <x:c r="Q433" s="8"/>
      <x:c r="R433" s="8"/>
      <x:c r="S433" s="8"/>
      <x:c r="T433" s="8"/>
      <x:c r="U433" s="12"/>
      <x:c r="V433" s="8"/>
      <x:c r="W433" s="8"/>
      <x:c r="X433" s="12"/>
      <x:c r="Y433" s="21"/>
      <x:c r="Z433" s="24" t="str">
        <x:f>IF($A433="","",INDEX(Settings!$C$29:$C$33,MATCH(E433,Settings!$A$29:$A$33,0)))</x:f>
      </x:c>
      <x:c r="AA433" s="22" t="str">
        <x:f>IF($A433="","",G433/Z433)</x:f>
      </x:c>
      <x:c r="AB433" s="25" t="str">
        <x:f>IF($A433="","",IF(ISNUMBER(Y433),Y433,Settings!$B$10))</x:f>
      </x:c>
      <x:c r="AC433" s="23" t="str">
        <x:f>IF($A433="","",G433*(1+AB433))</x:f>
      </x:c>
      <x:c r="AD433" s="23" t="str">
        <x:f>IF($A433="","",G433*F433*12)</x:f>
      </x:c>
      <x:c r="AE433" s="23" t="str">
        <x:f>IF($A433="","",G433*F433*J433)</x:f>
      </x:c>
      <x:c r="AF433" s="24" t="str">
        <x:f>IF($A433="","",L433*F433*K433*Settings!$B$13)</x:f>
      </x:c>
      <x:c r="AG433" s="23" t="str">
        <x:f>IF($A433="","",AD433*H433*I433)</x:f>
      </x:c>
      <x:c r="AH433" s="24" t="str">
        <x:f>IF($A433="","",SUM(AD433:AE433,AG433)*SUM(Settings!$B$11:$B$12))</x:f>
      </x:c>
      <x:c r="AI433" s="24" t="str">
        <x:f>IF($A433="","",M433*Settings!$B$16)</x:f>
      </x:c>
      <x:c r="AJ433" s="24" t="str">
        <x:f>IF($A433="","",M433*Settings!$B$15)</x:f>
      </x:c>
      <x:c r="AK433" s="24" t="str">
        <x:f>IF($A433="","",O433*Settings!$B$18)</x:f>
      </x:c>
      <x:c r="AL433" s="24" t="str">
        <x:f>IF($A433="","",P433*Settings!$B$20+Q433*Settings!$B$21+R433*Settings!$B$22+S433*Settings!$B$23)</x:f>
      </x:c>
      <x:c r="AM433" s="24" t="str">
        <x:f>IF($A433="","",T433*Settings!$B$24)</x:f>
      </x:c>
      <x:c r="AN433" s="23" t="str">
        <x:f>IF($A433="","",SUM(AI433,N433,AK433:AM433,U433))</x:f>
      </x:c>
      <x:c r="AO433" s="23" t="str">
        <x:f>IF($A433="","",SUM(AD433:AI433,N433,AK433:AM433,U433))</x:f>
      </x:c>
      <x:c r="AP433" s="24" t="str">
        <x:f>IF($A433="","",G433*F433*AB433*((13-Settings!$B$9)*(1+H433*I433)+J433)*(1+SUM(Settings!$B$11:$B$12)))</x:f>
      </x:c>
      <x:c r="AQ433" s="23" t="str">
        <x:f>IF($A433="","",SUM(AO433:AP433))</x:f>
      </x:c>
      <x:c r="AR433" s="23" t="str">
        <x:f>IF($A433="","",AQ433-X433)</x:f>
      </x:c>
      <x:c r="AS433" s="22" t="str">
        <x:f>IF($A433="","",IF(W433=0,"n.a.",V433/W433))</x:f>
      </x:c>
      <x:c r="AT433" s="26" t="str">
        <x:f>IF($A433="",IF(COUNTA(B433:Y433)&gt;0,"Missing ID",""),IF(COUNTIFS($A$9:$A$508,A433)&gt;1,"Duplicate ID",IF(OR(B433="",C433="",D433="",E433="",COUNT(F433:X433)&lt;&gt;19),"Missing / text input",IF(OR(COUNTIFS(Settings!$A$59:$A$64,B433)&lt;&gt;1,COUNTIFS(Settings!$A$29:$A$33,E433)&lt;&gt;1),"Unknown department / grade",IF(OR(F433&lt;=0,F433&gt;1,G433&lt;=0,L433&lt;=0,H433&lt;0,I433&lt;0,J433&lt;0,K433&lt;0,K433&gt;1,MIN(M433:X433)&lt;0,W433=0,V433&gt;W433,M433&gt;W433-V433,P433&gt;8,Q433&gt;4,R433&gt;12,S433&gt;12,T433&gt;1,AB433&lt;0),"Review quantity / rate",IF(OR(N433&gt;Settings!$C$17,AK433&gt;Settings!$C$19),"Review benefit ceiling","OK"))))))</x:f>
      </x:c>
    </x:row>
    <x:row r="434" ht="23" customHeight="1">
      <x:c r="A434" s="8"/>
      <x:c r="B434" s="8"/>
      <x:c r="C434" s="8"/>
      <x:c r="D434" s="8"/>
      <x:c r="E434" s="8"/>
      <x:c r="F434" s="20"/>
      <x:c r="G434" s="12"/>
      <x:c r="H434" s="21"/>
      <x:c r="I434" s="20"/>
      <x:c r="J434" s="20"/>
      <x:c r="K434" s="20"/>
      <x:c r="L434" s="12"/>
      <x:c r="M434" s="8"/>
      <x:c r="N434" s="12"/>
      <x:c r="O434" s="8"/>
      <x:c r="P434" s="8"/>
      <x:c r="Q434" s="8"/>
      <x:c r="R434" s="8"/>
      <x:c r="S434" s="8"/>
      <x:c r="T434" s="8"/>
      <x:c r="U434" s="12"/>
      <x:c r="V434" s="8"/>
      <x:c r="W434" s="8"/>
      <x:c r="X434" s="12"/>
      <x:c r="Y434" s="21"/>
      <x:c r="Z434" s="24" t="str">
        <x:f>IF($A434="","",INDEX(Settings!$C$29:$C$33,MATCH(E434,Settings!$A$29:$A$33,0)))</x:f>
      </x:c>
      <x:c r="AA434" s="22" t="str">
        <x:f>IF($A434="","",G434/Z434)</x:f>
      </x:c>
      <x:c r="AB434" s="25" t="str">
        <x:f>IF($A434="","",IF(ISNUMBER(Y434),Y434,Settings!$B$10))</x:f>
      </x:c>
      <x:c r="AC434" s="23" t="str">
        <x:f>IF($A434="","",G434*(1+AB434))</x:f>
      </x:c>
      <x:c r="AD434" s="23" t="str">
        <x:f>IF($A434="","",G434*F434*12)</x:f>
      </x:c>
      <x:c r="AE434" s="23" t="str">
        <x:f>IF($A434="","",G434*F434*J434)</x:f>
      </x:c>
      <x:c r="AF434" s="24" t="str">
        <x:f>IF($A434="","",L434*F434*K434*Settings!$B$13)</x:f>
      </x:c>
      <x:c r="AG434" s="23" t="str">
        <x:f>IF($A434="","",AD434*H434*I434)</x:f>
      </x:c>
      <x:c r="AH434" s="24" t="str">
        <x:f>IF($A434="","",SUM(AD434:AE434,AG434)*SUM(Settings!$B$11:$B$12))</x:f>
      </x:c>
      <x:c r="AI434" s="24" t="str">
        <x:f>IF($A434="","",M434*Settings!$B$16)</x:f>
      </x:c>
      <x:c r="AJ434" s="24" t="str">
        <x:f>IF($A434="","",M434*Settings!$B$15)</x:f>
      </x:c>
      <x:c r="AK434" s="24" t="str">
        <x:f>IF($A434="","",O434*Settings!$B$18)</x:f>
      </x:c>
      <x:c r="AL434" s="24" t="str">
        <x:f>IF($A434="","",P434*Settings!$B$20+Q434*Settings!$B$21+R434*Settings!$B$22+S434*Settings!$B$23)</x:f>
      </x:c>
      <x:c r="AM434" s="24" t="str">
        <x:f>IF($A434="","",T434*Settings!$B$24)</x:f>
      </x:c>
      <x:c r="AN434" s="23" t="str">
        <x:f>IF($A434="","",SUM(AI434,N434,AK434:AM434,U434))</x:f>
      </x:c>
      <x:c r="AO434" s="23" t="str">
        <x:f>IF($A434="","",SUM(AD434:AI434,N434,AK434:AM434,U434))</x:f>
      </x:c>
      <x:c r="AP434" s="24" t="str">
        <x:f>IF($A434="","",G434*F434*AB434*((13-Settings!$B$9)*(1+H434*I434)+J434)*(1+SUM(Settings!$B$11:$B$12)))</x:f>
      </x:c>
      <x:c r="AQ434" s="23" t="str">
        <x:f>IF($A434="","",SUM(AO434:AP434))</x:f>
      </x:c>
      <x:c r="AR434" s="23" t="str">
        <x:f>IF($A434="","",AQ434-X434)</x:f>
      </x:c>
      <x:c r="AS434" s="22" t="str">
        <x:f>IF($A434="","",IF(W434=0,"n.a.",V434/W434))</x:f>
      </x:c>
      <x:c r="AT434" s="26" t="str">
        <x:f>IF($A434="",IF(COUNTA(B434:Y434)&gt;0,"Missing ID",""),IF(COUNTIFS($A$9:$A$508,A434)&gt;1,"Duplicate ID",IF(OR(B434="",C434="",D434="",E434="",COUNT(F434:X434)&lt;&gt;19),"Missing / text input",IF(OR(COUNTIFS(Settings!$A$59:$A$64,B434)&lt;&gt;1,COUNTIFS(Settings!$A$29:$A$33,E434)&lt;&gt;1),"Unknown department / grade",IF(OR(F434&lt;=0,F434&gt;1,G434&lt;=0,L434&lt;=0,H434&lt;0,I434&lt;0,J434&lt;0,K434&lt;0,K434&gt;1,MIN(M434:X434)&lt;0,W434=0,V434&gt;W434,M434&gt;W434-V434,P434&gt;8,Q434&gt;4,R434&gt;12,S434&gt;12,T434&gt;1,AB434&lt;0),"Review quantity / rate",IF(OR(N434&gt;Settings!$C$17,AK434&gt;Settings!$C$19),"Review benefit ceiling","OK"))))))</x:f>
      </x:c>
    </x:row>
    <x:row r="435" ht="23" customHeight="1">
      <x:c r="A435" s="8"/>
      <x:c r="B435" s="8"/>
      <x:c r="C435" s="8"/>
      <x:c r="D435" s="8"/>
      <x:c r="E435" s="8"/>
      <x:c r="F435" s="20"/>
      <x:c r="G435" s="12"/>
      <x:c r="H435" s="21"/>
      <x:c r="I435" s="20"/>
      <x:c r="J435" s="20"/>
      <x:c r="K435" s="20"/>
      <x:c r="L435" s="12"/>
      <x:c r="M435" s="8"/>
      <x:c r="N435" s="12"/>
      <x:c r="O435" s="8"/>
      <x:c r="P435" s="8"/>
      <x:c r="Q435" s="8"/>
      <x:c r="R435" s="8"/>
      <x:c r="S435" s="8"/>
      <x:c r="T435" s="8"/>
      <x:c r="U435" s="12"/>
      <x:c r="V435" s="8"/>
      <x:c r="W435" s="8"/>
      <x:c r="X435" s="12"/>
      <x:c r="Y435" s="21"/>
      <x:c r="Z435" s="24" t="str">
        <x:f>IF($A435="","",INDEX(Settings!$C$29:$C$33,MATCH(E435,Settings!$A$29:$A$33,0)))</x:f>
      </x:c>
      <x:c r="AA435" s="22" t="str">
        <x:f>IF($A435="","",G435/Z435)</x:f>
      </x:c>
      <x:c r="AB435" s="25" t="str">
        <x:f>IF($A435="","",IF(ISNUMBER(Y435),Y435,Settings!$B$10))</x:f>
      </x:c>
      <x:c r="AC435" s="23" t="str">
        <x:f>IF($A435="","",G435*(1+AB435))</x:f>
      </x:c>
      <x:c r="AD435" s="23" t="str">
        <x:f>IF($A435="","",G435*F435*12)</x:f>
      </x:c>
      <x:c r="AE435" s="23" t="str">
        <x:f>IF($A435="","",G435*F435*J435)</x:f>
      </x:c>
      <x:c r="AF435" s="24" t="str">
        <x:f>IF($A435="","",L435*F435*K435*Settings!$B$13)</x:f>
      </x:c>
      <x:c r="AG435" s="23" t="str">
        <x:f>IF($A435="","",AD435*H435*I435)</x:f>
      </x:c>
      <x:c r="AH435" s="24" t="str">
        <x:f>IF($A435="","",SUM(AD435:AE435,AG435)*SUM(Settings!$B$11:$B$12))</x:f>
      </x:c>
      <x:c r="AI435" s="24" t="str">
        <x:f>IF($A435="","",M435*Settings!$B$16)</x:f>
      </x:c>
      <x:c r="AJ435" s="24" t="str">
        <x:f>IF($A435="","",M435*Settings!$B$15)</x:f>
      </x:c>
      <x:c r="AK435" s="24" t="str">
        <x:f>IF($A435="","",O435*Settings!$B$18)</x:f>
      </x:c>
      <x:c r="AL435" s="24" t="str">
        <x:f>IF($A435="","",P435*Settings!$B$20+Q435*Settings!$B$21+R435*Settings!$B$22+S435*Settings!$B$23)</x:f>
      </x:c>
      <x:c r="AM435" s="24" t="str">
        <x:f>IF($A435="","",T435*Settings!$B$24)</x:f>
      </x:c>
      <x:c r="AN435" s="23" t="str">
        <x:f>IF($A435="","",SUM(AI435,N435,AK435:AM435,U435))</x:f>
      </x:c>
      <x:c r="AO435" s="23" t="str">
        <x:f>IF($A435="","",SUM(AD435:AI435,N435,AK435:AM435,U435))</x:f>
      </x:c>
      <x:c r="AP435" s="24" t="str">
        <x:f>IF($A435="","",G435*F435*AB435*((13-Settings!$B$9)*(1+H435*I435)+J435)*(1+SUM(Settings!$B$11:$B$12)))</x:f>
      </x:c>
      <x:c r="AQ435" s="23" t="str">
        <x:f>IF($A435="","",SUM(AO435:AP435))</x:f>
      </x:c>
      <x:c r="AR435" s="23" t="str">
        <x:f>IF($A435="","",AQ435-X435)</x:f>
      </x:c>
      <x:c r="AS435" s="22" t="str">
        <x:f>IF($A435="","",IF(W435=0,"n.a.",V435/W435))</x:f>
      </x:c>
      <x:c r="AT435" s="26" t="str">
        <x:f>IF($A435="",IF(COUNTA(B435:Y435)&gt;0,"Missing ID",""),IF(COUNTIFS($A$9:$A$508,A435)&gt;1,"Duplicate ID",IF(OR(B435="",C435="",D435="",E435="",COUNT(F435:X435)&lt;&gt;19),"Missing / text input",IF(OR(COUNTIFS(Settings!$A$59:$A$64,B435)&lt;&gt;1,COUNTIFS(Settings!$A$29:$A$33,E435)&lt;&gt;1),"Unknown department / grade",IF(OR(F435&lt;=0,F435&gt;1,G435&lt;=0,L435&lt;=0,H435&lt;0,I435&lt;0,J435&lt;0,K435&lt;0,K435&gt;1,MIN(M435:X435)&lt;0,W435=0,V435&gt;W435,M435&gt;W435-V435,P435&gt;8,Q435&gt;4,R435&gt;12,S435&gt;12,T435&gt;1,AB435&lt;0),"Review quantity / rate",IF(OR(N435&gt;Settings!$C$17,AK435&gt;Settings!$C$19),"Review benefit ceiling","OK"))))))</x:f>
      </x:c>
    </x:row>
    <x:row r="436" ht="23" customHeight="1">
      <x:c r="A436" s="8"/>
      <x:c r="B436" s="8"/>
      <x:c r="C436" s="8"/>
      <x:c r="D436" s="8"/>
      <x:c r="E436" s="8"/>
      <x:c r="F436" s="20"/>
      <x:c r="G436" s="12"/>
      <x:c r="H436" s="21"/>
      <x:c r="I436" s="20"/>
      <x:c r="J436" s="20"/>
      <x:c r="K436" s="20"/>
      <x:c r="L436" s="12"/>
      <x:c r="M436" s="8"/>
      <x:c r="N436" s="12"/>
      <x:c r="O436" s="8"/>
      <x:c r="P436" s="8"/>
      <x:c r="Q436" s="8"/>
      <x:c r="R436" s="8"/>
      <x:c r="S436" s="8"/>
      <x:c r="T436" s="8"/>
      <x:c r="U436" s="12"/>
      <x:c r="V436" s="8"/>
      <x:c r="W436" s="8"/>
      <x:c r="X436" s="12"/>
      <x:c r="Y436" s="21"/>
      <x:c r="Z436" s="24" t="str">
        <x:f>IF($A436="","",INDEX(Settings!$C$29:$C$33,MATCH(E436,Settings!$A$29:$A$33,0)))</x:f>
      </x:c>
      <x:c r="AA436" s="22" t="str">
        <x:f>IF($A436="","",G436/Z436)</x:f>
      </x:c>
      <x:c r="AB436" s="25" t="str">
        <x:f>IF($A436="","",IF(ISNUMBER(Y436),Y436,Settings!$B$10))</x:f>
      </x:c>
      <x:c r="AC436" s="23" t="str">
        <x:f>IF($A436="","",G436*(1+AB436))</x:f>
      </x:c>
      <x:c r="AD436" s="23" t="str">
        <x:f>IF($A436="","",G436*F436*12)</x:f>
      </x:c>
      <x:c r="AE436" s="23" t="str">
        <x:f>IF($A436="","",G436*F436*J436)</x:f>
      </x:c>
      <x:c r="AF436" s="24" t="str">
        <x:f>IF($A436="","",L436*F436*K436*Settings!$B$13)</x:f>
      </x:c>
      <x:c r="AG436" s="23" t="str">
        <x:f>IF($A436="","",AD436*H436*I436)</x:f>
      </x:c>
      <x:c r="AH436" s="24" t="str">
        <x:f>IF($A436="","",SUM(AD436:AE436,AG436)*SUM(Settings!$B$11:$B$12))</x:f>
      </x:c>
      <x:c r="AI436" s="24" t="str">
        <x:f>IF($A436="","",M436*Settings!$B$16)</x:f>
      </x:c>
      <x:c r="AJ436" s="24" t="str">
        <x:f>IF($A436="","",M436*Settings!$B$15)</x:f>
      </x:c>
      <x:c r="AK436" s="24" t="str">
        <x:f>IF($A436="","",O436*Settings!$B$18)</x:f>
      </x:c>
      <x:c r="AL436" s="24" t="str">
        <x:f>IF($A436="","",P436*Settings!$B$20+Q436*Settings!$B$21+R436*Settings!$B$22+S436*Settings!$B$23)</x:f>
      </x:c>
      <x:c r="AM436" s="24" t="str">
        <x:f>IF($A436="","",T436*Settings!$B$24)</x:f>
      </x:c>
      <x:c r="AN436" s="23" t="str">
        <x:f>IF($A436="","",SUM(AI436,N436,AK436:AM436,U436))</x:f>
      </x:c>
      <x:c r="AO436" s="23" t="str">
        <x:f>IF($A436="","",SUM(AD436:AI436,N436,AK436:AM436,U436))</x:f>
      </x:c>
      <x:c r="AP436" s="24" t="str">
        <x:f>IF($A436="","",G436*F436*AB436*((13-Settings!$B$9)*(1+H436*I436)+J436)*(1+SUM(Settings!$B$11:$B$12)))</x:f>
      </x:c>
      <x:c r="AQ436" s="23" t="str">
        <x:f>IF($A436="","",SUM(AO436:AP436))</x:f>
      </x:c>
      <x:c r="AR436" s="23" t="str">
        <x:f>IF($A436="","",AQ436-X436)</x:f>
      </x:c>
      <x:c r="AS436" s="22" t="str">
        <x:f>IF($A436="","",IF(W436=0,"n.a.",V436/W436))</x:f>
      </x:c>
      <x:c r="AT436" s="26" t="str">
        <x:f>IF($A436="",IF(COUNTA(B436:Y436)&gt;0,"Missing ID",""),IF(COUNTIFS($A$9:$A$508,A436)&gt;1,"Duplicate ID",IF(OR(B436="",C436="",D436="",E436="",COUNT(F436:X436)&lt;&gt;19),"Missing / text input",IF(OR(COUNTIFS(Settings!$A$59:$A$64,B436)&lt;&gt;1,COUNTIFS(Settings!$A$29:$A$33,E436)&lt;&gt;1),"Unknown department / grade",IF(OR(F436&lt;=0,F436&gt;1,G436&lt;=0,L436&lt;=0,H436&lt;0,I436&lt;0,J436&lt;0,K436&lt;0,K436&gt;1,MIN(M436:X436)&lt;0,W436=0,V436&gt;W436,M436&gt;W436-V436,P436&gt;8,Q436&gt;4,R436&gt;12,S436&gt;12,T436&gt;1,AB436&lt;0),"Review quantity / rate",IF(OR(N436&gt;Settings!$C$17,AK436&gt;Settings!$C$19),"Review benefit ceiling","OK"))))))</x:f>
      </x:c>
    </x:row>
    <x:row r="437" ht="23" customHeight="1">
      <x:c r="A437" s="8"/>
      <x:c r="B437" s="8"/>
      <x:c r="C437" s="8"/>
      <x:c r="D437" s="8"/>
      <x:c r="E437" s="8"/>
      <x:c r="F437" s="20"/>
      <x:c r="G437" s="12"/>
      <x:c r="H437" s="21"/>
      <x:c r="I437" s="20"/>
      <x:c r="J437" s="20"/>
      <x:c r="K437" s="20"/>
      <x:c r="L437" s="12"/>
      <x:c r="M437" s="8"/>
      <x:c r="N437" s="12"/>
      <x:c r="O437" s="8"/>
      <x:c r="P437" s="8"/>
      <x:c r="Q437" s="8"/>
      <x:c r="R437" s="8"/>
      <x:c r="S437" s="8"/>
      <x:c r="T437" s="8"/>
      <x:c r="U437" s="12"/>
      <x:c r="V437" s="8"/>
      <x:c r="W437" s="8"/>
      <x:c r="X437" s="12"/>
      <x:c r="Y437" s="21"/>
      <x:c r="Z437" s="24" t="str">
        <x:f>IF($A437="","",INDEX(Settings!$C$29:$C$33,MATCH(E437,Settings!$A$29:$A$33,0)))</x:f>
      </x:c>
      <x:c r="AA437" s="22" t="str">
        <x:f>IF($A437="","",G437/Z437)</x:f>
      </x:c>
      <x:c r="AB437" s="25" t="str">
        <x:f>IF($A437="","",IF(ISNUMBER(Y437),Y437,Settings!$B$10))</x:f>
      </x:c>
      <x:c r="AC437" s="23" t="str">
        <x:f>IF($A437="","",G437*(1+AB437))</x:f>
      </x:c>
      <x:c r="AD437" s="23" t="str">
        <x:f>IF($A437="","",G437*F437*12)</x:f>
      </x:c>
      <x:c r="AE437" s="23" t="str">
        <x:f>IF($A437="","",G437*F437*J437)</x:f>
      </x:c>
      <x:c r="AF437" s="24" t="str">
        <x:f>IF($A437="","",L437*F437*K437*Settings!$B$13)</x:f>
      </x:c>
      <x:c r="AG437" s="23" t="str">
        <x:f>IF($A437="","",AD437*H437*I437)</x:f>
      </x:c>
      <x:c r="AH437" s="24" t="str">
        <x:f>IF($A437="","",SUM(AD437:AE437,AG437)*SUM(Settings!$B$11:$B$12))</x:f>
      </x:c>
      <x:c r="AI437" s="24" t="str">
        <x:f>IF($A437="","",M437*Settings!$B$16)</x:f>
      </x:c>
      <x:c r="AJ437" s="24" t="str">
        <x:f>IF($A437="","",M437*Settings!$B$15)</x:f>
      </x:c>
      <x:c r="AK437" s="24" t="str">
        <x:f>IF($A437="","",O437*Settings!$B$18)</x:f>
      </x:c>
      <x:c r="AL437" s="24" t="str">
        <x:f>IF($A437="","",P437*Settings!$B$20+Q437*Settings!$B$21+R437*Settings!$B$22+S437*Settings!$B$23)</x:f>
      </x:c>
      <x:c r="AM437" s="24" t="str">
        <x:f>IF($A437="","",T437*Settings!$B$24)</x:f>
      </x:c>
      <x:c r="AN437" s="23" t="str">
        <x:f>IF($A437="","",SUM(AI437,N437,AK437:AM437,U437))</x:f>
      </x:c>
      <x:c r="AO437" s="23" t="str">
        <x:f>IF($A437="","",SUM(AD437:AI437,N437,AK437:AM437,U437))</x:f>
      </x:c>
      <x:c r="AP437" s="24" t="str">
        <x:f>IF($A437="","",G437*F437*AB437*((13-Settings!$B$9)*(1+H437*I437)+J437)*(1+SUM(Settings!$B$11:$B$12)))</x:f>
      </x:c>
      <x:c r="AQ437" s="23" t="str">
        <x:f>IF($A437="","",SUM(AO437:AP437))</x:f>
      </x:c>
      <x:c r="AR437" s="23" t="str">
        <x:f>IF($A437="","",AQ437-X437)</x:f>
      </x:c>
      <x:c r="AS437" s="22" t="str">
        <x:f>IF($A437="","",IF(W437=0,"n.a.",V437/W437))</x:f>
      </x:c>
      <x:c r="AT437" s="26" t="str">
        <x:f>IF($A437="",IF(COUNTA(B437:Y437)&gt;0,"Missing ID",""),IF(COUNTIFS($A$9:$A$508,A437)&gt;1,"Duplicate ID",IF(OR(B437="",C437="",D437="",E437="",COUNT(F437:X437)&lt;&gt;19),"Missing / text input",IF(OR(COUNTIFS(Settings!$A$59:$A$64,B437)&lt;&gt;1,COUNTIFS(Settings!$A$29:$A$33,E437)&lt;&gt;1),"Unknown department / grade",IF(OR(F437&lt;=0,F437&gt;1,G437&lt;=0,L437&lt;=0,H437&lt;0,I437&lt;0,J437&lt;0,K437&lt;0,K437&gt;1,MIN(M437:X437)&lt;0,W437=0,V437&gt;W437,M437&gt;W437-V437,P437&gt;8,Q437&gt;4,R437&gt;12,S437&gt;12,T437&gt;1,AB437&lt;0),"Review quantity / rate",IF(OR(N437&gt;Settings!$C$17,AK437&gt;Settings!$C$19),"Review benefit ceiling","OK"))))))</x:f>
      </x:c>
    </x:row>
    <x:row r="438" ht="23" customHeight="1">
      <x:c r="A438" s="8"/>
      <x:c r="B438" s="8"/>
      <x:c r="C438" s="8"/>
      <x:c r="D438" s="8"/>
      <x:c r="E438" s="8"/>
      <x:c r="F438" s="20"/>
      <x:c r="G438" s="12"/>
      <x:c r="H438" s="21"/>
      <x:c r="I438" s="20"/>
      <x:c r="J438" s="20"/>
      <x:c r="K438" s="20"/>
      <x:c r="L438" s="12"/>
      <x:c r="M438" s="8"/>
      <x:c r="N438" s="12"/>
      <x:c r="O438" s="8"/>
      <x:c r="P438" s="8"/>
      <x:c r="Q438" s="8"/>
      <x:c r="R438" s="8"/>
      <x:c r="S438" s="8"/>
      <x:c r="T438" s="8"/>
      <x:c r="U438" s="12"/>
      <x:c r="V438" s="8"/>
      <x:c r="W438" s="8"/>
      <x:c r="X438" s="12"/>
      <x:c r="Y438" s="21"/>
      <x:c r="Z438" s="24" t="str">
        <x:f>IF($A438="","",INDEX(Settings!$C$29:$C$33,MATCH(E438,Settings!$A$29:$A$33,0)))</x:f>
      </x:c>
      <x:c r="AA438" s="22" t="str">
        <x:f>IF($A438="","",G438/Z438)</x:f>
      </x:c>
      <x:c r="AB438" s="25" t="str">
        <x:f>IF($A438="","",IF(ISNUMBER(Y438),Y438,Settings!$B$10))</x:f>
      </x:c>
      <x:c r="AC438" s="23" t="str">
        <x:f>IF($A438="","",G438*(1+AB438))</x:f>
      </x:c>
      <x:c r="AD438" s="23" t="str">
        <x:f>IF($A438="","",G438*F438*12)</x:f>
      </x:c>
      <x:c r="AE438" s="23" t="str">
        <x:f>IF($A438="","",G438*F438*J438)</x:f>
      </x:c>
      <x:c r="AF438" s="24" t="str">
        <x:f>IF($A438="","",L438*F438*K438*Settings!$B$13)</x:f>
      </x:c>
      <x:c r="AG438" s="23" t="str">
        <x:f>IF($A438="","",AD438*H438*I438)</x:f>
      </x:c>
      <x:c r="AH438" s="24" t="str">
        <x:f>IF($A438="","",SUM(AD438:AE438,AG438)*SUM(Settings!$B$11:$B$12))</x:f>
      </x:c>
      <x:c r="AI438" s="24" t="str">
        <x:f>IF($A438="","",M438*Settings!$B$16)</x:f>
      </x:c>
      <x:c r="AJ438" s="24" t="str">
        <x:f>IF($A438="","",M438*Settings!$B$15)</x:f>
      </x:c>
      <x:c r="AK438" s="24" t="str">
        <x:f>IF($A438="","",O438*Settings!$B$18)</x:f>
      </x:c>
      <x:c r="AL438" s="24" t="str">
        <x:f>IF($A438="","",P438*Settings!$B$20+Q438*Settings!$B$21+R438*Settings!$B$22+S438*Settings!$B$23)</x:f>
      </x:c>
      <x:c r="AM438" s="24" t="str">
        <x:f>IF($A438="","",T438*Settings!$B$24)</x:f>
      </x:c>
      <x:c r="AN438" s="23" t="str">
        <x:f>IF($A438="","",SUM(AI438,N438,AK438:AM438,U438))</x:f>
      </x:c>
      <x:c r="AO438" s="23" t="str">
        <x:f>IF($A438="","",SUM(AD438:AI438,N438,AK438:AM438,U438))</x:f>
      </x:c>
      <x:c r="AP438" s="24" t="str">
        <x:f>IF($A438="","",G438*F438*AB438*((13-Settings!$B$9)*(1+H438*I438)+J438)*(1+SUM(Settings!$B$11:$B$12)))</x:f>
      </x:c>
      <x:c r="AQ438" s="23" t="str">
        <x:f>IF($A438="","",SUM(AO438:AP438))</x:f>
      </x:c>
      <x:c r="AR438" s="23" t="str">
        <x:f>IF($A438="","",AQ438-X438)</x:f>
      </x:c>
      <x:c r="AS438" s="22" t="str">
        <x:f>IF($A438="","",IF(W438=0,"n.a.",V438/W438))</x:f>
      </x:c>
      <x:c r="AT438" s="26" t="str">
        <x:f>IF($A438="",IF(COUNTA(B438:Y438)&gt;0,"Missing ID",""),IF(COUNTIFS($A$9:$A$508,A438)&gt;1,"Duplicate ID",IF(OR(B438="",C438="",D438="",E438="",COUNT(F438:X438)&lt;&gt;19),"Missing / text input",IF(OR(COUNTIFS(Settings!$A$59:$A$64,B438)&lt;&gt;1,COUNTIFS(Settings!$A$29:$A$33,E438)&lt;&gt;1),"Unknown department / grade",IF(OR(F438&lt;=0,F438&gt;1,G438&lt;=0,L438&lt;=0,H438&lt;0,I438&lt;0,J438&lt;0,K438&lt;0,K438&gt;1,MIN(M438:X438)&lt;0,W438=0,V438&gt;W438,M438&gt;W438-V438,P438&gt;8,Q438&gt;4,R438&gt;12,S438&gt;12,T438&gt;1,AB438&lt;0),"Review quantity / rate",IF(OR(N438&gt;Settings!$C$17,AK438&gt;Settings!$C$19),"Review benefit ceiling","OK"))))))</x:f>
      </x:c>
    </x:row>
    <x:row r="439" ht="23" customHeight="1">
      <x:c r="A439" s="8"/>
      <x:c r="B439" s="8"/>
      <x:c r="C439" s="8"/>
      <x:c r="D439" s="8"/>
      <x:c r="E439" s="8"/>
      <x:c r="F439" s="20"/>
      <x:c r="G439" s="12"/>
      <x:c r="H439" s="21"/>
      <x:c r="I439" s="20"/>
      <x:c r="J439" s="20"/>
      <x:c r="K439" s="20"/>
      <x:c r="L439" s="12"/>
      <x:c r="M439" s="8"/>
      <x:c r="N439" s="12"/>
      <x:c r="O439" s="8"/>
      <x:c r="P439" s="8"/>
      <x:c r="Q439" s="8"/>
      <x:c r="R439" s="8"/>
      <x:c r="S439" s="8"/>
      <x:c r="T439" s="8"/>
      <x:c r="U439" s="12"/>
      <x:c r="V439" s="8"/>
      <x:c r="W439" s="8"/>
      <x:c r="X439" s="12"/>
      <x:c r="Y439" s="21"/>
      <x:c r="Z439" s="24" t="str">
        <x:f>IF($A439="","",INDEX(Settings!$C$29:$C$33,MATCH(E439,Settings!$A$29:$A$33,0)))</x:f>
      </x:c>
      <x:c r="AA439" s="22" t="str">
        <x:f>IF($A439="","",G439/Z439)</x:f>
      </x:c>
      <x:c r="AB439" s="25" t="str">
        <x:f>IF($A439="","",IF(ISNUMBER(Y439),Y439,Settings!$B$10))</x:f>
      </x:c>
      <x:c r="AC439" s="23" t="str">
        <x:f>IF($A439="","",G439*(1+AB439))</x:f>
      </x:c>
      <x:c r="AD439" s="23" t="str">
        <x:f>IF($A439="","",G439*F439*12)</x:f>
      </x:c>
      <x:c r="AE439" s="23" t="str">
        <x:f>IF($A439="","",G439*F439*J439)</x:f>
      </x:c>
      <x:c r="AF439" s="24" t="str">
        <x:f>IF($A439="","",L439*F439*K439*Settings!$B$13)</x:f>
      </x:c>
      <x:c r="AG439" s="23" t="str">
        <x:f>IF($A439="","",AD439*H439*I439)</x:f>
      </x:c>
      <x:c r="AH439" s="24" t="str">
        <x:f>IF($A439="","",SUM(AD439:AE439,AG439)*SUM(Settings!$B$11:$B$12))</x:f>
      </x:c>
      <x:c r="AI439" s="24" t="str">
        <x:f>IF($A439="","",M439*Settings!$B$16)</x:f>
      </x:c>
      <x:c r="AJ439" s="24" t="str">
        <x:f>IF($A439="","",M439*Settings!$B$15)</x:f>
      </x:c>
      <x:c r="AK439" s="24" t="str">
        <x:f>IF($A439="","",O439*Settings!$B$18)</x:f>
      </x:c>
      <x:c r="AL439" s="24" t="str">
        <x:f>IF($A439="","",P439*Settings!$B$20+Q439*Settings!$B$21+R439*Settings!$B$22+S439*Settings!$B$23)</x:f>
      </x:c>
      <x:c r="AM439" s="24" t="str">
        <x:f>IF($A439="","",T439*Settings!$B$24)</x:f>
      </x:c>
      <x:c r="AN439" s="23" t="str">
        <x:f>IF($A439="","",SUM(AI439,N439,AK439:AM439,U439))</x:f>
      </x:c>
      <x:c r="AO439" s="23" t="str">
        <x:f>IF($A439="","",SUM(AD439:AI439,N439,AK439:AM439,U439))</x:f>
      </x:c>
      <x:c r="AP439" s="24" t="str">
        <x:f>IF($A439="","",G439*F439*AB439*((13-Settings!$B$9)*(1+H439*I439)+J439)*(1+SUM(Settings!$B$11:$B$12)))</x:f>
      </x:c>
      <x:c r="AQ439" s="23" t="str">
        <x:f>IF($A439="","",SUM(AO439:AP439))</x:f>
      </x:c>
      <x:c r="AR439" s="23" t="str">
        <x:f>IF($A439="","",AQ439-X439)</x:f>
      </x:c>
      <x:c r="AS439" s="22" t="str">
        <x:f>IF($A439="","",IF(W439=0,"n.a.",V439/W439))</x:f>
      </x:c>
      <x:c r="AT439" s="26" t="str">
        <x:f>IF($A439="",IF(COUNTA(B439:Y439)&gt;0,"Missing ID",""),IF(COUNTIFS($A$9:$A$508,A439)&gt;1,"Duplicate ID",IF(OR(B439="",C439="",D439="",E439="",COUNT(F439:X439)&lt;&gt;19),"Missing / text input",IF(OR(COUNTIFS(Settings!$A$59:$A$64,B439)&lt;&gt;1,COUNTIFS(Settings!$A$29:$A$33,E439)&lt;&gt;1),"Unknown department / grade",IF(OR(F439&lt;=0,F439&gt;1,G439&lt;=0,L439&lt;=0,H439&lt;0,I439&lt;0,J439&lt;0,K439&lt;0,K439&gt;1,MIN(M439:X439)&lt;0,W439=0,V439&gt;W439,M439&gt;W439-V439,P439&gt;8,Q439&gt;4,R439&gt;12,S439&gt;12,T439&gt;1,AB439&lt;0),"Review quantity / rate",IF(OR(N439&gt;Settings!$C$17,AK439&gt;Settings!$C$19),"Review benefit ceiling","OK"))))))</x:f>
      </x:c>
    </x:row>
    <x:row r="440" ht="23" customHeight="1">
      <x:c r="A440" s="8"/>
      <x:c r="B440" s="8"/>
      <x:c r="C440" s="8"/>
      <x:c r="D440" s="8"/>
      <x:c r="E440" s="8"/>
      <x:c r="F440" s="20"/>
      <x:c r="G440" s="12"/>
      <x:c r="H440" s="21"/>
      <x:c r="I440" s="20"/>
      <x:c r="J440" s="20"/>
      <x:c r="K440" s="20"/>
      <x:c r="L440" s="12"/>
      <x:c r="M440" s="8"/>
      <x:c r="N440" s="12"/>
      <x:c r="O440" s="8"/>
      <x:c r="P440" s="8"/>
      <x:c r="Q440" s="8"/>
      <x:c r="R440" s="8"/>
      <x:c r="S440" s="8"/>
      <x:c r="T440" s="8"/>
      <x:c r="U440" s="12"/>
      <x:c r="V440" s="8"/>
      <x:c r="W440" s="8"/>
      <x:c r="X440" s="12"/>
      <x:c r="Y440" s="21"/>
      <x:c r="Z440" s="24" t="str">
        <x:f>IF($A440="","",INDEX(Settings!$C$29:$C$33,MATCH(E440,Settings!$A$29:$A$33,0)))</x:f>
      </x:c>
      <x:c r="AA440" s="22" t="str">
        <x:f>IF($A440="","",G440/Z440)</x:f>
      </x:c>
      <x:c r="AB440" s="25" t="str">
        <x:f>IF($A440="","",IF(ISNUMBER(Y440),Y440,Settings!$B$10))</x:f>
      </x:c>
      <x:c r="AC440" s="23" t="str">
        <x:f>IF($A440="","",G440*(1+AB440))</x:f>
      </x:c>
      <x:c r="AD440" s="23" t="str">
        <x:f>IF($A440="","",G440*F440*12)</x:f>
      </x:c>
      <x:c r="AE440" s="23" t="str">
        <x:f>IF($A440="","",G440*F440*J440)</x:f>
      </x:c>
      <x:c r="AF440" s="24" t="str">
        <x:f>IF($A440="","",L440*F440*K440*Settings!$B$13)</x:f>
      </x:c>
      <x:c r="AG440" s="23" t="str">
        <x:f>IF($A440="","",AD440*H440*I440)</x:f>
      </x:c>
      <x:c r="AH440" s="24" t="str">
        <x:f>IF($A440="","",SUM(AD440:AE440,AG440)*SUM(Settings!$B$11:$B$12))</x:f>
      </x:c>
      <x:c r="AI440" s="24" t="str">
        <x:f>IF($A440="","",M440*Settings!$B$16)</x:f>
      </x:c>
      <x:c r="AJ440" s="24" t="str">
        <x:f>IF($A440="","",M440*Settings!$B$15)</x:f>
      </x:c>
      <x:c r="AK440" s="24" t="str">
        <x:f>IF($A440="","",O440*Settings!$B$18)</x:f>
      </x:c>
      <x:c r="AL440" s="24" t="str">
        <x:f>IF($A440="","",P440*Settings!$B$20+Q440*Settings!$B$21+R440*Settings!$B$22+S440*Settings!$B$23)</x:f>
      </x:c>
      <x:c r="AM440" s="24" t="str">
        <x:f>IF($A440="","",T440*Settings!$B$24)</x:f>
      </x:c>
      <x:c r="AN440" s="23" t="str">
        <x:f>IF($A440="","",SUM(AI440,N440,AK440:AM440,U440))</x:f>
      </x:c>
      <x:c r="AO440" s="23" t="str">
        <x:f>IF($A440="","",SUM(AD440:AI440,N440,AK440:AM440,U440))</x:f>
      </x:c>
      <x:c r="AP440" s="24" t="str">
        <x:f>IF($A440="","",G440*F440*AB440*((13-Settings!$B$9)*(1+H440*I440)+J440)*(1+SUM(Settings!$B$11:$B$12)))</x:f>
      </x:c>
      <x:c r="AQ440" s="23" t="str">
        <x:f>IF($A440="","",SUM(AO440:AP440))</x:f>
      </x:c>
      <x:c r="AR440" s="23" t="str">
        <x:f>IF($A440="","",AQ440-X440)</x:f>
      </x:c>
      <x:c r="AS440" s="22" t="str">
        <x:f>IF($A440="","",IF(W440=0,"n.a.",V440/W440))</x:f>
      </x:c>
      <x:c r="AT440" s="26" t="str">
        <x:f>IF($A440="",IF(COUNTA(B440:Y440)&gt;0,"Missing ID",""),IF(COUNTIFS($A$9:$A$508,A440)&gt;1,"Duplicate ID",IF(OR(B440="",C440="",D440="",E440="",COUNT(F440:X440)&lt;&gt;19),"Missing / text input",IF(OR(COUNTIFS(Settings!$A$59:$A$64,B440)&lt;&gt;1,COUNTIFS(Settings!$A$29:$A$33,E440)&lt;&gt;1),"Unknown department / grade",IF(OR(F440&lt;=0,F440&gt;1,G440&lt;=0,L440&lt;=0,H440&lt;0,I440&lt;0,J440&lt;0,K440&lt;0,K440&gt;1,MIN(M440:X440)&lt;0,W440=0,V440&gt;W440,M440&gt;W440-V440,P440&gt;8,Q440&gt;4,R440&gt;12,S440&gt;12,T440&gt;1,AB440&lt;0),"Review quantity / rate",IF(OR(N440&gt;Settings!$C$17,AK440&gt;Settings!$C$19),"Review benefit ceiling","OK"))))))</x:f>
      </x:c>
    </x:row>
    <x:row r="441" ht="23" customHeight="1">
      <x:c r="A441" s="8"/>
      <x:c r="B441" s="8"/>
      <x:c r="C441" s="8"/>
      <x:c r="D441" s="8"/>
      <x:c r="E441" s="8"/>
      <x:c r="F441" s="20"/>
      <x:c r="G441" s="12"/>
      <x:c r="H441" s="21"/>
      <x:c r="I441" s="20"/>
      <x:c r="J441" s="20"/>
      <x:c r="K441" s="20"/>
      <x:c r="L441" s="12"/>
      <x:c r="M441" s="8"/>
      <x:c r="N441" s="12"/>
      <x:c r="O441" s="8"/>
      <x:c r="P441" s="8"/>
      <x:c r="Q441" s="8"/>
      <x:c r="R441" s="8"/>
      <x:c r="S441" s="8"/>
      <x:c r="T441" s="8"/>
      <x:c r="U441" s="12"/>
      <x:c r="V441" s="8"/>
      <x:c r="W441" s="8"/>
      <x:c r="X441" s="12"/>
      <x:c r="Y441" s="21"/>
      <x:c r="Z441" s="24" t="str">
        <x:f>IF($A441="","",INDEX(Settings!$C$29:$C$33,MATCH(E441,Settings!$A$29:$A$33,0)))</x:f>
      </x:c>
      <x:c r="AA441" s="22" t="str">
        <x:f>IF($A441="","",G441/Z441)</x:f>
      </x:c>
      <x:c r="AB441" s="25" t="str">
        <x:f>IF($A441="","",IF(ISNUMBER(Y441),Y441,Settings!$B$10))</x:f>
      </x:c>
      <x:c r="AC441" s="23" t="str">
        <x:f>IF($A441="","",G441*(1+AB441))</x:f>
      </x:c>
      <x:c r="AD441" s="23" t="str">
        <x:f>IF($A441="","",G441*F441*12)</x:f>
      </x:c>
      <x:c r="AE441" s="23" t="str">
        <x:f>IF($A441="","",G441*F441*J441)</x:f>
      </x:c>
      <x:c r="AF441" s="24" t="str">
        <x:f>IF($A441="","",L441*F441*K441*Settings!$B$13)</x:f>
      </x:c>
      <x:c r="AG441" s="23" t="str">
        <x:f>IF($A441="","",AD441*H441*I441)</x:f>
      </x:c>
      <x:c r="AH441" s="24" t="str">
        <x:f>IF($A441="","",SUM(AD441:AE441,AG441)*SUM(Settings!$B$11:$B$12))</x:f>
      </x:c>
      <x:c r="AI441" s="24" t="str">
        <x:f>IF($A441="","",M441*Settings!$B$16)</x:f>
      </x:c>
      <x:c r="AJ441" s="24" t="str">
        <x:f>IF($A441="","",M441*Settings!$B$15)</x:f>
      </x:c>
      <x:c r="AK441" s="24" t="str">
        <x:f>IF($A441="","",O441*Settings!$B$18)</x:f>
      </x:c>
      <x:c r="AL441" s="24" t="str">
        <x:f>IF($A441="","",P441*Settings!$B$20+Q441*Settings!$B$21+R441*Settings!$B$22+S441*Settings!$B$23)</x:f>
      </x:c>
      <x:c r="AM441" s="24" t="str">
        <x:f>IF($A441="","",T441*Settings!$B$24)</x:f>
      </x:c>
      <x:c r="AN441" s="23" t="str">
        <x:f>IF($A441="","",SUM(AI441,N441,AK441:AM441,U441))</x:f>
      </x:c>
      <x:c r="AO441" s="23" t="str">
        <x:f>IF($A441="","",SUM(AD441:AI441,N441,AK441:AM441,U441))</x:f>
      </x:c>
      <x:c r="AP441" s="24" t="str">
        <x:f>IF($A441="","",G441*F441*AB441*((13-Settings!$B$9)*(1+H441*I441)+J441)*(1+SUM(Settings!$B$11:$B$12)))</x:f>
      </x:c>
      <x:c r="AQ441" s="23" t="str">
        <x:f>IF($A441="","",SUM(AO441:AP441))</x:f>
      </x:c>
      <x:c r="AR441" s="23" t="str">
        <x:f>IF($A441="","",AQ441-X441)</x:f>
      </x:c>
      <x:c r="AS441" s="22" t="str">
        <x:f>IF($A441="","",IF(W441=0,"n.a.",V441/W441))</x:f>
      </x:c>
      <x:c r="AT441" s="26" t="str">
        <x:f>IF($A441="",IF(COUNTA(B441:Y441)&gt;0,"Missing ID",""),IF(COUNTIFS($A$9:$A$508,A441)&gt;1,"Duplicate ID",IF(OR(B441="",C441="",D441="",E441="",COUNT(F441:X441)&lt;&gt;19),"Missing / text input",IF(OR(COUNTIFS(Settings!$A$59:$A$64,B441)&lt;&gt;1,COUNTIFS(Settings!$A$29:$A$33,E441)&lt;&gt;1),"Unknown department / grade",IF(OR(F441&lt;=0,F441&gt;1,G441&lt;=0,L441&lt;=0,H441&lt;0,I441&lt;0,J441&lt;0,K441&lt;0,K441&gt;1,MIN(M441:X441)&lt;0,W441=0,V441&gt;W441,M441&gt;W441-V441,P441&gt;8,Q441&gt;4,R441&gt;12,S441&gt;12,T441&gt;1,AB441&lt;0),"Review quantity / rate",IF(OR(N441&gt;Settings!$C$17,AK441&gt;Settings!$C$19),"Review benefit ceiling","OK"))))))</x:f>
      </x:c>
    </x:row>
    <x:row r="442" ht="23" customHeight="1">
      <x:c r="A442" s="8"/>
      <x:c r="B442" s="8"/>
      <x:c r="C442" s="8"/>
      <x:c r="D442" s="8"/>
      <x:c r="E442" s="8"/>
      <x:c r="F442" s="20"/>
      <x:c r="G442" s="12"/>
      <x:c r="H442" s="21"/>
      <x:c r="I442" s="20"/>
      <x:c r="J442" s="20"/>
      <x:c r="K442" s="20"/>
      <x:c r="L442" s="12"/>
      <x:c r="M442" s="8"/>
      <x:c r="N442" s="12"/>
      <x:c r="O442" s="8"/>
      <x:c r="P442" s="8"/>
      <x:c r="Q442" s="8"/>
      <x:c r="R442" s="8"/>
      <x:c r="S442" s="8"/>
      <x:c r="T442" s="8"/>
      <x:c r="U442" s="12"/>
      <x:c r="V442" s="8"/>
      <x:c r="W442" s="8"/>
      <x:c r="X442" s="12"/>
      <x:c r="Y442" s="21"/>
      <x:c r="Z442" s="24" t="str">
        <x:f>IF($A442="","",INDEX(Settings!$C$29:$C$33,MATCH(E442,Settings!$A$29:$A$33,0)))</x:f>
      </x:c>
      <x:c r="AA442" s="22" t="str">
        <x:f>IF($A442="","",G442/Z442)</x:f>
      </x:c>
      <x:c r="AB442" s="25" t="str">
        <x:f>IF($A442="","",IF(ISNUMBER(Y442),Y442,Settings!$B$10))</x:f>
      </x:c>
      <x:c r="AC442" s="23" t="str">
        <x:f>IF($A442="","",G442*(1+AB442))</x:f>
      </x:c>
      <x:c r="AD442" s="23" t="str">
        <x:f>IF($A442="","",G442*F442*12)</x:f>
      </x:c>
      <x:c r="AE442" s="23" t="str">
        <x:f>IF($A442="","",G442*F442*J442)</x:f>
      </x:c>
      <x:c r="AF442" s="24" t="str">
        <x:f>IF($A442="","",L442*F442*K442*Settings!$B$13)</x:f>
      </x:c>
      <x:c r="AG442" s="23" t="str">
        <x:f>IF($A442="","",AD442*H442*I442)</x:f>
      </x:c>
      <x:c r="AH442" s="24" t="str">
        <x:f>IF($A442="","",SUM(AD442:AE442,AG442)*SUM(Settings!$B$11:$B$12))</x:f>
      </x:c>
      <x:c r="AI442" s="24" t="str">
        <x:f>IF($A442="","",M442*Settings!$B$16)</x:f>
      </x:c>
      <x:c r="AJ442" s="24" t="str">
        <x:f>IF($A442="","",M442*Settings!$B$15)</x:f>
      </x:c>
      <x:c r="AK442" s="24" t="str">
        <x:f>IF($A442="","",O442*Settings!$B$18)</x:f>
      </x:c>
      <x:c r="AL442" s="24" t="str">
        <x:f>IF($A442="","",P442*Settings!$B$20+Q442*Settings!$B$21+R442*Settings!$B$22+S442*Settings!$B$23)</x:f>
      </x:c>
      <x:c r="AM442" s="24" t="str">
        <x:f>IF($A442="","",T442*Settings!$B$24)</x:f>
      </x:c>
      <x:c r="AN442" s="23" t="str">
        <x:f>IF($A442="","",SUM(AI442,N442,AK442:AM442,U442))</x:f>
      </x:c>
      <x:c r="AO442" s="23" t="str">
        <x:f>IF($A442="","",SUM(AD442:AI442,N442,AK442:AM442,U442))</x:f>
      </x:c>
      <x:c r="AP442" s="24" t="str">
        <x:f>IF($A442="","",G442*F442*AB442*((13-Settings!$B$9)*(1+H442*I442)+J442)*(1+SUM(Settings!$B$11:$B$12)))</x:f>
      </x:c>
      <x:c r="AQ442" s="23" t="str">
        <x:f>IF($A442="","",SUM(AO442:AP442))</x:f>
      </x:c>
      <x:c r="AR442" s="23" t="str">
        <x:f>IF($A442="","",AQ442-X442)</x:f>
      </x:c>
      <x:c r="AS442" s="22" t="str">
        <x:f>IF($A442="","",IF(W442=0,"n.a.",V442/W442))</x:f>
      </x:c>
      <x:c r="AT442" s="26" t="str">
        <x:f>IF($A442="",IF(COUNTA(B442:Y442)&gt;0,"Missing ID",""),IF(COUNTIFS($A$9:$A$508,A442)&gt;1,"Duplicate ID",IF(OR(B442="",C442="",D442="",E442="",COUNT(F442:X442)&lt;&gt;19),"Missing / text input",IF(OR(COUNTIFS(Settings!$A$59:$A$64,B442)&lt;&gt;1,COUNTIFS(Settings!$A$29:$A$33,E442)&lt;&gt;1),"Unknown department / grade",IF(OR(F442&lt;=0,F442&gt;1,G442&lt;=0,L442&lt;=0,H442&lt;0,I442&lt;0,J442&lt;0,K442&lt;0,K442&gt;1,MIN(M442:X442)&lt;0,W442=0,V442&gt;W442,M442&gt;W442-V442,P442&gt;8,Q442&gt;4,R442&gt;12,S442&gt;12,T442&gt;1,AB442&lt;0),"Review quantity / rate",IF(OR(N442&gt;Settings!$C$17,AK442&gt;Settings!$C$19),"Review benefit ceiling","OK"))))))</x:f>
      </x:c>
    </x:row>
    <x:row r="443" ht="23" customHeight="1">
      <x:c r="A443" s="8"/>
      <x:c r="B443" s="8"/>
      <x:c r="C443" s="8"/>
      <x:c r="D443" s="8"/>
      <x:c r="E443" s="8"/>
      <x:c r="F443" s="20"/>
      <x:c r="G443" s="12"/>
      <x:c r="H443" s="21"/>
      <x:c r="I443" s="20"/>
      <x:c r="J443" s="20"/>
      <x:c r="K443" s="20"/>
      <x:c r="L443" s="12"/>
      <x:c r="M443" s="8"/>
      <x:c r="N443" s="12"/>
      <x:c r="O443" s="8"/>
      <x:c r="P443" s="8"/>
      <x:c r="Q443" s="8"/>
      <x:c r="R443" s="8"/>
      <x:c r="S443" s="8"/>
      <x:c r="T443" s="8"/>
      <x:c r="U443" s="12"/>
      <x:c r="V443" s="8"/>
      <x:c r="W443" s="8"/>
      <x:c r="X443" s="12"/>
      <x:c r="Y443" s="21"/>
      <x:c r="Z443" s="24" t="str">
        <x:f>IF($A443="","",INDEX(Settings!$C$29:$C$33,MATCH(E443,Settings!$A$29:$A$33,0)))</x:f>
      </x:c>
      <x:c r="AA443" s="22" t="str">
        <x:f>IF($A443="","",G443/Z443)</x:f>
      </x:c>
      <x:c r="AB443" s="25" t="str">
        <x:f>IF($A443="","",IF(ISNUMBER(Y443),Y443,Settings!$B$10))</x:f>
      </x:c>
      <x:c r="AC443" s="23" t="str">
        <x:f>IF($A443="","",G443*(1+AB443))</x:f>
      </x:c>
      <x:c r="AD443" s="23" t="str">
        <x:f>IF($A443="","",G443*F443*12)</x:f>
      </x:c>
      <x:c r="AE443" s="23" t="str">
        <x:f>IF($A443="","",G443*F443*J443)</x:f>
      </x:c>
      <x:c r="AF443" s="24" t="str">
        <x:f>IF($A443="","",L443*F443*K443*Settings!$B$13)</x:f>
      </x:c>
      <x:c r="AG443" s="23" t="str">
        <x:f>IF($A443="","",AD443*H443*I443)</x:f>
      </x:c>
      <x:c r="AH443" s="24" t="str">
        <x:f>IF($A443="","",SUM(AD443:AE443,AG443)*SUM(Settings!$B$11:$B$12))</x:f>
      </x:c>
      <x:c r="AI443" s="24" t="str">
        <x:f>IF($A443="","",M443*Settings!$B$16)</x:f>
      </x:c>
      <x:c r="AJ443" s="24" t="str">
        <x:f>IF($A443="","",M443*Settings!$B$15)</x:f>
      </x:c>
      <x:c r="AK443" s="24" t="str">
        <x:f>IF($A443="","",O443*Settings!$B$18)</x:f>
      </x:c>
      <x:c r="AL443" s="24" t="str">
        <x:f>IF($A443="","",P443*Settings!$B$20+Q443*Settings!$B$21+R443*Settings!$B$22+S443*Settings!$B$23)</x:f>
      </x:c>
      <x:c r="AM443" s="24" t="str">
        <x:f>IF($A443="","",T443*Settings!$B$24)</x:f>
      </x:c>
      <x:c r="AN443" s="23" t="str">
        <x:f>IF($A443="","",SUM(AI443,N443,AK443:AM443,U443))</x:f>
      </x:c>
      <x:c r="AO443" s="23" t="str">
        <x:f>IF($A443="","",SUM(AD443:AI443,N443,AK443:AM443,U443))</x:f>
      </x:c>
      <x:c r="AP443" s="24" t="str">
        <x:f>IF($A443="","",G443*F443*AB443*((13-Settings!$B$9)*(1+H443*I443)+J443)*(1+SUM(Settings!$B$11:$B$12)))</x:f>
      </x:c>
      <x:c r="AQ443" s="23" t="str">
        <x:f>IF($A443="","",SUM(AO443:AP443))</x:f>
      </x:c>
      <x:c r="AR443" s="23" t="str">
        <x:f>IF($A443="","",AQ443-X443)</x:f>
      </x:c>
      <x:c r="AS443" s="22" t="str">
        <x:f>IF($A443="","",IF(W443=0,"n.a.",V443/W443))</x:f>
      </x:c>
      <x:c r="AT443" s="26" t="str">
        <x:f>IF($A443="",IF(COUNTA(B443:Y443)&gt;0,"Missing ID",""),IF(COUNTIFS($A$9:$A$508,A443)&gt;1,"Duplicate ID",IF(OR(B443="",C443="",D443="",E443="",COUNT(F443:X443)&lt;&gt;19),"Missing / text input",IF(OR(COUNTIFS(Settings!$A$59:$A$64,B443)&lt;&gt;1,COUNTIFS(Settings!$A$29:$A$33,E443)&lt;&gt;1),"Unknown department / grade",IF(OR(F443&lt;=0,F443&gt;1,G443&lt;=0,L443&lt;=0,H443&lt;0,I443&lt;0,J443&lt;0,K443&lt;0,K443&gt;1,MIN(M443:X443)&lt;0,W443=0,V443&gt;W443,M443&gt;W443-V443,P443&gt;8,Q443&gt;4,R443&gt;12,S443&gt;12,T443&gt;1,AB443&lt;0),"Review quantity / rate",IF(OR(N443&gt;Settings!$C$17,AK443&gt;Settings!$C$19),"Review benefit ceiling","OK"))))))</x:f>
      </x:c>
    </x:row>
    <x:row r="444" ht="23" customHeight="1">
      <x:c r="A444" s="8"/>
      <x:c r="B444" s="8"/>
      <x:c r="C444" s="8"/>
      <x:c r="D444" s="8"/>
      <x:c r="E444" s="8"/>
      <x:c r="F444" s="20"/>
      <x:c r="G444" s="12"/>
      <x:c r="H444" s="21"/>
      <x:c r="I444" s="20"/>
      <x:c r="J444" s="20"/>
      <x:c r="K444" s="20"/>
      <x:c r="L444" s="12"/>
      <x:c r="M444" s="8"/>
      <x:c r="N444" s="12"/>
      <x:c r="O444" s="8"/>
      <x:c r="P444" s="8"/>
      <x:c r="Q444" s="8"/>
      <x:c r="R444" s="8"/>
      <x:c r="S444" s="8"/>
      <x:c r="T444" s="8"/>
      <x:c r="U444" s="12"/>
      <x:c r="V444" s="8"/>
      <x:c r="W444" s="8"/>
      <x:c r="X444" s="12"/>
      <x:c r="Y444" s="21"/>
      <x:c r="Z444" s="24" t="str">
        <x:f>IF($A444="","",INDEX(Settings!$C$29:$C$33,MATCH(E444,Settings!$A$29:$A$33,0)))</x:f>
      </x:c>
      <x:c r="AA444" s="22" t="str">
        <x:f>IF($A444="","",G444/Z444)</x:f>
      </x:c>
      <x:c r="AB444" s="25" t="str">
        <x:f>IF($A444="","",IF(ISNUMBER(Y444),Y444,Settings!$B$10))</x:f>
      </x:c>
      <x:c r="AC444" s="23" t="str">
        <x:f>IF($A444="","",G444*(1+AB444))</x:f>
      </x:c>
      <x:c r="AD444" s="23" t="str">
        <x:f>IF($A444="","",G444*F444*12)</x:f>
      </x:c>
      <x:c r="AE444" s="23" t="str">
        <x:f>IF($A444="","",G444*F444*J444)</x:f>
      </x:c>
      <x:c r="AF444" s="24" t="str">
        <x:f>IF($A444="","",L444*F444*K444*Settings!$B$13)</x:f>
      </x:c>
      <x:c r="AG444" s="23" t="str">
        <x:f>IF($A444="","",AD444*H444*I444)</x:f>
      </x:c>
      <x:c r="AH444" s="24" t="str">
        <x:f>IF($A444="","",SUM(AD444:AE444,AG444)*SUM(Settings!$B$11:$B$12))</x:f>
      </x:c>
      <x:c r="AI444" s="24" t="str">
        <x:f>IF($A444="","",M444*Settings!$B$16)</x:f>
      </x:c>
      <x:c r="AJ444" s="24" t="str">
        <x:f>IF($A444="","",M444*Settings!$B$15)</x:f>
      </x:c>
      <x:c r="AK444" s="24" t="str">
        <x:f>IF($A444="","",O444*Settings!$B$18)</x:f>
      </x:c>
      <x:c r="AL444" s="24" t="str">
        <x:f>IF($A444="","",P444*Settings!$B$20+Q444*Settings!$B$21+R444*Settings!$B$22+S444*Settings!$B$23)</x:f>
      </x:c>
      <x:c r="AM444" s="24" t="str">
        <x:f>IF($A444="","",T444*Settings!$B$24)</x:f>
      </x:c>
      <x:c r="AN444" s="23" t="str">
        <x:f>IF($A444="","",SUM(AI444,N444,AK444:AM444,U444))</x:f>
      </x:c>
      <x:c r="AO444" s="23" t="str">
        <x:f>IF($A444="","",SUM(AD444:AI444,N444,AK444:AM444,U444))</x:f>
      </x:c>
      <x:c r="AP444" s="24" t="str">
        <x:f>IF($A444="","",G444*F444*AB444*((13-Settings!$B$9)*(1+H444*I444)+J444)*(1+SUM(Settings!$B$11:$B$12)))</x:f>
      </x:c>
      <x:c r="AQ444" s="23" t="str">
        <x:f>IF($A444="","",SUM(AO444:AP444))</x:f>
      </x:c>
      <x:c r="AR444" s="23" t="str">
        <x:f>IF($A444="","",AQ444-X444)</x:f>
      </x:c>
      <x:c r="AS444" s="22" t="str">
        <x:f>IF($A444="","",IF(W444=0,"n.a.",V444/W444))</x:f>
      </x:c>
      <x:c r="AT444" s="26" t="str">
        <x:f>IF($A444="",IF(COUNTA(B444:Y444)&gt;0,"Missing ID",""),IF(COUNTIFS($A$9:$A$508,A444)&gt;1,"Duplicate ID",IF(OR(B444="",C444="",D444="",E444="",COUNT(F444:X444)&lt;&gt;19),"Missing / text input",IF(OR(COUNTIFS(Settings!$A$59:$A$64,B444)&lt;&gt;1,COUNTIFS(Settings!$A$29:$A$33,E444)&lt;&gt;1),"Unknown department / grade",IF(OR(F444&lt;=0,F444&gt;1,G444&lt;=0,L444&lt;=0,H444&lt;0,I444&lt;0,J444&lt;0,K444&lt;0,K444&gt;1,MIN(M444:X444)&lt;0,W444=0,V444&gt;W444,M444&gt;W444-V444,P444&gt;8,Q444&gt;4,R444&gt;12,S444&gt;12,T444&gt;1,AB444&lt;0),"Review quantity / rate",IF(OR(N444&gt;Settings!$C$17,AK444&gt;Settings!$C$19),"Review benefit ceiling","OK"))))))</x:f>
      </x:c>
    </x:row>
    <x:row r="445" ht="23" customHeight="1">
      <x:c r="A445" s="8"/>
      <x:c r="B445" s="8"/>
      <x:c r="C445" s="8"/>
      <x:c r="D445" s="8"/>
      <x:c r="E445" s="8"/>
      <x:c r="F445" s="20"/>
      <x:c r="G445" s="12"/>
      <x:c r="H445" s="21"/>
      <x:c r="I445" s="20"/>
      <x:c r="J445" s="20"/>
      <x:c r="K445" s="20"/>
      <x:c r="L445" s="12"/>
      <x:c r="M445" s="8"/>
      <x:c r="N445" s="12"/>
      <x:c r="O445" s="8"/>
      <x:c r="P445" s="8"/>
      <x:c r="Q445" s="8"/>
      <x:c r="R445" s="8"/>
      <x:c r="S445" s="8"/>
      <x:c r="T445" s="8"/>
      <x:c r="U445" s="12"/>
      <x:c r="V445" s="8"/>
      <x:c r="W445" s="8"/>
      <x:c r="X445" s="12"/>
      <x:c r="Y445" s="21"/>
      <x:c r="Z445" s="24" t="str">
        <x:f>IF($A445="","",INDEX(Settings!$C$29:$C$33,MATCH(E445,Settings!$A$29:$A$33,0)))</x:f>
      </x:c>
      <x:c r="AA445" s="22" t="str">
        <x:f>IF($A445="","",G445/Z445)</x:f>
      </x:c>
      <x:c r="AB445" s="25" t="str">
        <x:f>IF($A445="","",IF(ISNUMBER(Y445),Y445,Settings!$B$10))</x:f>
      </x:c>
      <x:c r="AC445" s="23" t="str">
        <x:f>IF($A445="","",G445*(1+AB445))</x:f>
      </x:c>
      <x:c r="AD445" s="23" t="str">
        <x:f>IF($A445="","",G445*F445*12)</x:f>
      </x:c>
      <x:c r="AE445" s="23" t="str">
        <x:f>IF($A445="","",G445*F445*J445)</x:f>
      </x:c>
      <x:c r="AF445" s="24" t="str">
        <x:f>IF($A445="","",L445*F445*K445*Settings!$B$13)</x:f>
      </x:c>
      <x:c r="AG445" s="23" t="str">
        <x:f>IF($A445="","",AD445*H445*I445)</x:f>
      </x:c>
      <x:c r="AH445" s="24" t="str">
        <x:f>IF($A445="","",SUM(AD445:AE445,AG445)*SUM(Settings!$B$11:$B$12))</x:f>
      </x:c>
      <x:c r="AI445" s="24" t="str">
        <x:f>IF($A445="","",M445*Settings!$B$16)</x:f>
      </x:c>
      <x:c r="AJ445" s="24" t="str">
        <x:f>IF($A445="","",M445*Settings!$B$15)</x:f>
      </x:c>
      <x:c r="AK445" s="24" t="str">
        <x:f>IF($A445="","",O445*Settings!$B$18)</x:f>
      </x:c>
      <x:c r="AL445" s="24" t="str">
        <x:f>IF($A445="","",P445*Settings!$B$20+Q445*Settings!$B$21+R445*Settings!$B$22+S445*Settings!$B$23)</x:f>
      </x:c>
      <x:c r="AM445" s="24" t="str">
        <x:f>IF($A445="","",T445*Settings!$B$24)</x:f>
      </x:c>
      <x:c r="AN445" s="23" t="str">
        <x:f>IF($A445="","",SUM(AI445,N445,AK445:AM445,U445))</x:f>
      </x:c>
      <x:c r="AO445" s="23" t="str">
        <x:f>IF($A445="","",SUM(AD445:AI445,N445,AK445:AM445,U445))</x:f>
      </x:c>
      <x:c r="AP445" s="24" t="str">
        <x:f>IF($A445="","",G445*F445*AB445*((13-Settings!$B$9)*(1+H445*I445)+J445)*(1+SUM(Settings!$B$11:$B$12)))</x:f>
      </x:c>
      <x:c r="AQ445" s="23" t="str">
        <x:f>IF($A445="","",SUM(AO445:AP445))</x:f>
      </x:c>
      <x:c r="AR445" s="23" t="str">
        <x:f>IF($A445="","",AQ445-X445)</x:f>
      </x:c>
      <x:c r="AS445" s="22" t="str">
        <x:f>IF($A445="","",IF(W445=0,"n.a.",V445/W445))</x:f>
      </x:c>
      <x:c r="AT445" s="26" t="str">
        <x:f>IF($A445="",IF(COUNTA(B445:Y445)&gt;0,"Missing ID",""),IF(COUNTIFS($A$9:$A$508,A445)&gt;1,"Duplicate ID",IF(OR(B445="",C445="",D445="",E445="",COUNT(F445:X445)&lt;&gt;19),"Missing / text input",IF(OR(COUNTIFS(Settings!$A$59:$A$64,B445)&lt;&gt;1,COUNTIFS(Settings!$A$29:$A$33,E445)&lt;&gt;1),"Unknown department / grade",IF(OR(F445&lt;=0,F445&gt;1,G445&lt;=0,L445&lt;=0,H445&lt;0,I445&lt;0,J445&lt;0,K445&lt;0,K445&gt;1,MIN(M445:X445)&lt;0,W445=0,V445&gt;W445,M445&gt;W445-V445,P445&gt;8,Q445&gt;4,R445&gt;12,S445&gt;12,T445&gt;1,AB445&lt;0),"Review quantity / rate",IF(OR(N445&gt;Settings!$C$17,AK445&gt;Settings!$C$19),"Review benefit ceiling","OK"))))))</x:f>
      </x:c>
    </x:row>
    <x:row r="446" ht="23" customHeight="1">
      <x:c r="A446" s="8"/>
      <x:c r="B446" s="8"/>
      <x:c r="C446" s="8"/>
      <x:c r="D446" s="8"/>
      <x:c r="E446" s="8"/>
      <x:c r="F446" s="20"/>
      <x:c r="G446" s="12"/>
      <x:c r="H446" s="21"/>
      <x:c r="I446" s="20"/>
      <x:c r="J446" s="20"/>
      <x:c r="K446" s="20"/>
      <x:c r="L446" s="12"/>
      <x:c r="M446" s="8"/>
      <x:c r="N446" s="12"/>
      <x:c r="O446" s="8"/>
      <x:c r="P446" s="8"/>
      <x:c r="Q446" s="8"/>
      <x:c r="R446" s="8"/>
      <x:c r="S446" s="8"/>
      <x:c r="T446" s="8"/>
      <x:c r="U446" s="12"/>
      <x:c r="V446" s="8"/>
      <x:c r="W446" s="8"/>
      <x:c r="X446" s="12"/>
      <x:c r="Y446" s="21"/>
      <x:c r="Z446" s="24" t="str">
        <x:f>IF($A446="","",INDEX(Settings!$C$29:$C$33,MATCH(E446,Settings!$A$29:$A$33,0)))</x:f>
      </x:c>
      <x:c r="AA446" s="22" t="str">
        <x:f>IF($A446="","",G446/Z446)</x:f>
      </x:c>
      <x:c r="AB446" s="25" t="str">
        <x:f>IF($A446="","",IF(ISNUMBER(Y446),Y446,Settings!$B$10))</x:f>
      </x:c>
      <x:c r="AC446" s="23" t="str">
        <x:f>IF($A446="","",G446*(1+AB446))</x:f>
      </x:c>
      <x:c r="AD446" s="23" t="str">
        <x:f>IF($A446="","",G446*F446*12)</x:f>
      </x:c>
      <x:c r="AE446" s="23" t="str">
        <x:f>IF($A446="","",G446*F446*J446)</x:f>
      </x:c>
      <x:c r="AF446" s="24" t="str">
        <x:f>IF($A446="","",L446*F446*K446*Settings!$B$13)</x:f>
      </x:c>
      <x:c r="AG446" s="23" t="str">
        <x:f>IF($A446="","",AD446*H446*I446)</x:f>
      </x:c>
      <x:c r="AH446" s="24" t="str">
        <x:f>IF($A446="","",SUM(AD446:AE446,AG446)*SUM(Settings!$B$11:$B$12))</x:f>
      </x:c>
      <x:c r="AI446" s="24" t="str">
        <x:f>IF($A446="","",M446*Settings!$B$16)</x:f>
      </x:c>
      <x:c r="AJ446" s="24" t="str">
        <x:f>IF($A446="","",M446*Settings!$B$15)</x:f>
      </x:c>
      <x:c r="AK446" s="24" t="str">
        <x:f>IF($A446="","",O446*Settings!$B$18)</x:f>
      </x:c>
      <x:c r="AL446" s="24" t="str">
        <x:f>IF($A446="","",P446*Settings!$B$20+Q446*Settings!$B$21+R446*Settings!$B$22+S446*Settings!$B$23)</x:f>
      </x:c>
      <x:c r="AM446" s="24" t="str">
        <x:f>IF($A446="","",T446*Settings!$B$24)</x:f>
      </x:c>
      <x:c r="AN446" s="23" t="str">
        <x:f>IF($A446="","",SUM(AI446,N446,AK446:AM446,U446))</x:f>
      </x:c>
      <x:c r="AO446" s="23" t="str">
        <x:f>IF($A446="","",SUM(AD446:AI446,N446,AK446:AM446,U446))</x:f>
      </x:c>
      <x:c r="AP446" s="24" t="str">
        <x:f>IF($A446="","",G446*F446*AB446*((13-Settings!$B$9)*(1+H446*I446)+J446)*(1+SUM(Settings!$B$11:$B$12)))</x:f>
      </x:c>
      <x:c r="AQ446" s="23" t="str">
        <x:f>IF($A446="","",SUM(AO446:AP446))</x:f>
      </x:c>
      <x:c r="AR446" s="23" t="str">
        <x:f>IF($A446="","",AQ446-X446)</x:f>
      </x:c>
      <x:c r="AS446" s="22" t="str">
        <x:f>IF($A446="","",IF(W446=0,"n.a.",V446/W446))</x:f>
      </x:c>
      <x:c r="AT446" s="26" t="str">
        <x:f>IF($A446="",IF(COUNTA(B446:Y446)&gt;0,"Missing ID",""),IF(COUNTIFS($A$9:$A$508,A446)&gt;1,"Duplicate ID",IF(OR(B446="",C446="",D446="",E446="",COUNT(F446:X446)&lt;&gt;19),"Missing / text input",IF(OR(COUNTIFS(Settings!$A$59:$A$64,B446)&lt;&gt;1,COUNTIFS(Settings!$A$29:$A$33,E446)&lt;&gt;1),"Unknown department / grade",IF(OR(F446&lt;=0,F446&gt;1,G446&lt;=0,L446&lt;=0,H446&lt;0,I446&lt;0,J446&lt;0,K446&lt;0,K446&gt;1,MIN(M446:X446)&lt;0,W446=0,V446&gt;W446,M446&gt;W446-V446,P446&gt;8,Q446&gt;4,R446&gt;12,S446&gt;12,T446&gt;1,AB446&lt;0),"Review quantity / rate",IF(OR(N446&gt;Settings!$C$17,AK446&gt;Settings!$C$19),"Review benefit ceiling","OK"))))))</x:f>
      </x:c>
    </x:row>
    <x:row r="447" ht="23" customHeight="1">
      <x:c r="A447" s="8"/>
      <x:c r="B447" s="8"/>
      <x:c r="C447" s="8"/>
      <x:c r="D447" s="8"/>
      <x:c r="E447" s="8"/>
      <x:c r="F447" s="20"/>
      <x:c r="G447" s="12"/>
      <x:c r="H447" s="21"/>
      <x:c r="I447" s="20"/>
      <x:c r="J447" s="20"/>
      <x:c r="K447" s="20"/>
      <x:c r="L447" s="12"/>
      <x:c r="M447" s="8"/>
      <x:c r="N447" s="12"/>
      <x:c r="O447" s="8"/>
      <x:c r="P447" s="8"/>
      <x:c r="Q447" s="8"/>
      <x:c r="R447" s="8"/>
      <x:c r="S447" s="8"/>
      <x:c r="T447" s="8"/>
      <x:c r="U447" s="12"/>
      <x:c r="V447" s="8"/>
      <x:c r="W447" s="8"/>
      <x:c r="X447" s="12"/>
      <x:c r="Y447" s="21"/>
      <x:c r="Z447" s="24" t="str">
        <x:f>IF($A447="","",INDEX(Settings!$C$29:$C$33,MATCH(E447,Settings!$A$29:$A$33,0)))</x:f>
      </x:c>
      <x:c r="AA447" s="22" t="str">
        <x:f>IF($A447="","",G447/Z447)</x:f>
      </x:c>
      <x:c r="AB447" s="25" t="str">
        <x:f>IF($A447="","",IF(ISNUMBER(Y447),Y447,Settings!$B$10))</x:f>
      </x:c>
      <x:c r="AC447" s="23" t="str">
        <x:f>IF($A447="","",G447*(1+AB447))</x:f>
      </x:c>
      <x:c r="AD447" s="23" t="str">
        <x:f>IF($A447="","",G447*F447*12)</x:f>
      </x:c>
      <x:c r="AE447" s="23" t="str">
        <x:f>IF($A447="","",G447*F447*J447)</x:f>
      </x:c>
      <x:c r="AF447" s="24" t="str">
        <x:f>IF($A447="","",L447*F447*K447*Settings!$B$13)</x:f>
      </x:c>
      <x:c r="AG447" s="23" t="str">
        <x:f>IF($A447="","",AD447*H447*I447)</x:f>
      </x:c>
      <x:c r="AH447" s="24" t="str">
        <x:f>IF($A447="","",SUM(AD447:AE447,AG447)*SUM(Settings!$B$11:$B$12))</x:f>
      </x:c>
      <x:c r="AI447" s="24" t="str">
        <x:f>IF($A447="","",M447*Settings!$B$16)</x:f>
      </x:c>
      <x:c r="AJ447" s="24" t="str">
        <x:f>IF($A447="","",M447*Settings!$B$15)</x:f>
      </x:c>
      <x:c r="AK447" s="24" t="str">
        <x:f>IF($A447="","",O447*Settings!$B$18)</x:f>
      </x:c>
      <x:c r="AL447" s="24" t="str">
        <x:f>IF($A447="","",P447*Settings!$B$20+Q447*Settings!$B$21+R447*Settings!$B$22+S447*Settings!$B$23)</x:f>
      </x:c>
      <x:c r="AM447" s="24" t="str">
        <x:f>IF($A447="","",T447*Settings!$B$24)</x:f>
      </x:c>
      <x:c r="AN447" s="23" t="str">
        <x:f>IF($A447="","",SUM(AI447,N447,AK447:AM447,U447))</x:f>
      </x:c>
      <x:c r="AO447" s="23" t="str">
        <x:f>IF($A447="","",SUM(AD447:AI447,N447,AK447:AM447,U447))</x:f>
      </x:c>
      <x:c r="AP447" s="24" t="str">
        <x:f>IF($A447="","",G447*F447*AB447*((13-Settings!$B$9)*(1+H447*I447)+J447)*(1+SUM(Settings!$B$11:$B$12)))</x:f>
      </x:c>
      <x:c r="AQ447" s="23" t="str">
        <x:f>IF($A447="","",SUM(AO447:AP447))</x:f>
      </x:c>
      <x:c r="AR447" s="23" t="str">
        <x:f>IF($A447="","",AQ447-X447)</x:f>
      </x:c>
      <x:c r="AS447" s="22" t="str">
        <x:f>IF($A447="","",IF(W447=0,"n.a.",V447/W447))</x:f>
      </x:c>
      <x:c r="AT447" s="26" t="str">
        <x:f>IF($A447="",IF(COUNTA(B447:Y447)&gt;0,"Missing ID",""),IF(COUNTIFS($A$9:$A$508,A447)&gt;1,"Duplicate ID",IF(OR(B447="",C447="",D447="",E447="",COUNT(F447:X447)&lt;&gt;19),"Missing / text input",IF(OR(COUNTIFS(Settings!$A$59:$A$64,B447)&lt;&gt;1,COUNTIFS(Settings!$A$29:$A$33,E447)&lt;&gt;1),"Unknown department / grade",IF(OR(F447&lt;=0,F447&gt;1,G447&lt;=0,L447&lt;=0,H447&lt;0,I447&lt;0,J447&lt;0,K447&lt;0,K447&gt;1,MIN(M447:X447)&lt;0,W447=0,V447&gt;W447,M447&gt;W447-V447,P447&gt;8,Q447&gt;4,R447&gt;12,S447&gt;12,T447&gt;1,AB447&lt;0),"Review quantity / rate",IF(OR(N447&gt;Settings!$C$17,AK447&gt;Settings!$C$19),"Review benefit ceiling","OK"))))))</x:f>
      </x:c>
    </x:row>
    <x:row r="448" ht="23" customHeight="1">
      <x:c r="A448" s="8"/>
      <x:c r="B448" s="8"/>
      <x:c r="C448" s="8"/>
      <x:c r="D448" s="8"/>
      <x:c r="E448" s="8"/>
      <x:c r="F448" s="20"/>
      <x:c r="G448" s="12"/>
      <x:c r="H448" s="21"/>
      <x:c r="I448" s="20"/>
      <x:c r="J448" s="20"/>
      <x:c r="K448" s="20"/>
      <x:c r="L448" s="12"/>
      <x:c r="M448" s="8"/>
      <x:c r="N448" s="12"/>
      <x:c r="O448" s="8"/>
      <x:c r="P448" s="8"/>
      <x:c r="Q448" s="8"/>
      <x:c r="R448" s="8"/>
      <x:c r="S448" s="8"/>
      <x:c r="T448" s="8"/>
      <x:c r="U448" s="12"/>
      <x:c r="V448" s="8"/>
      <x:c r="W448" s="8"/>
      <x:c r="X448" s="12"/>
      <x:c r="Y448" s="21"/>
      <x:c r="Z448" s="24" t="str">
        <x:f>IF($A448="","",INDEX(Settings!$C$29:$C$33,MATCH(E448,Settings!$A$29:$A$33,0)))</x:f>
      </x:c>
      <x:c r="AA448" s="22" t="str">
        <x:f>IF($A448="","",G448/Z448)</x:f>
      </x:c>
      <x:c r="AB448" s="25" t="str">
        <x:f>IF($A448="","",IF(ISNUMBER(Y448),Y448,Settings!$B$10))</x:f>
      </x:c>
      <x:c r="AC448" s="23" t="str">
        <x:f>IF($A448="","",G448*(1+AB448))</x:f>
      </x:c>
      <x:c r="AD448" s="23" t="str">
        <x:f>IF($A448="","",G448*F448*12)</x:f>
      </x:c>
      <x:c r="AE448" s="23" t="str">
        <x:f>IF($A448="","",G448*F448*J448)</x:f>
      </x:c>
      <x:c r="AF448" s="24" t="str">
        <x:f>IF($A448="","",L448*F448*K448*Settings!$B$13)</x:f>
      </x:c>
      <x:c r="AG448" s="23" t="str">
        <x:f>IF($A448="","",AD448*H448*I448)</x:f>
      </x:c>
      <x:c r="AH448" s="24" t="str">
        <x:f>IF($A448="","",SUM(AD448:AE448,AG448)*SUM(Settings!$B$11:$B$12))</x:f>
      </x:c>
      <x:c r="AI448" s="24" t="str">
        <x:f>IF($A448="","",M448*Settings!$B$16)</x:f>
      </x:c>
      <x:c r="AJ448" s="24" t="str">
        <x:f>IF($A448="","",M448*Settings!$B$15)</x:f>
      </x:c>
      <x:c r="AK448" s="24" t="str">
        <x:f>IF($A448="","",O448*Settings!$B$18)</x:f>
      </x:c>
      <x:c r="AL448" s="24" t="str">
        <x:f>IF($A448="","",P448*Settings!$B$20+Q448*Settings!$B$21+R448*Settings!$B$22+S448*Settings!$B$23)</x:f>
      </x:c>
      <x:c r="AM448" s="24" t="str">
        <x:f>IF($A448="","",T448*Settings!$B$24)</x:f>
      </x:c>
      <x:c r="AN448" s="23" t="str">
        <x:f>IF($A448="","",SUM(AI448,N448,AK448:AM448,U448))</x:f>
      </x:c>
      <x:c r="AO448" s="23" t="str">
        <x:f>IF($A448="","",SUM(AD448:AI448,N448,AK448:AM448,U448))</x:f>
      </x:c>
      <x:c r="AP448" s="24" t="str">
        <x:f>IF($A448="","",G448*F448*AB448*((13-Settings!$B$9)*(1+H448*I448)+J448)*(1+SUM(Settings!$B$11:$B$12)))</x:f>
      </x:c>
      <x:c r="AQ448" s="23" t="str">
        <x:f>IF($A448="","",SUM(AO448:AP448))</x:f>
      </x:c>
      <x:c r="AR448" s="23" t="str">
        <x:f>IF($A448="","",AQ448-X448)</x:f>
      </x:c>
      <x:c r="AS448" s="22" t="str">
        <x:f>IF($A448="","",IF(W448=0,"n.a.",V448/W448))</x:f>
      </x:c>
      <x:c r="AT448" s="26" t="str">
        <x:f>IF($A448="",IF(COUNTA(B448:Y448)&gt;0,"Missing ID",""),IF(COUNTIFS($A$9:$A$508,A448)&gt;1,"Duplicate ID",IF(OR(B448="",C448="",D448="",E448="",COUNT(F448:X448)&lt;&gt;19),"Missing / text input",IF(OR(COUNTIFS(Settings!$A$59:$A$64,B448)&lt;&gt;1,COUNTIFS(Settings!$A$29:$A$33,E448)&lt;&gt;1),"Unknown department / grade",IF(OR(F448&lt;=0,F448&gt;1,G448&lt;=0,L448&lt;=0,H448&lt;0,I448&lt;0,J448&lt;0,K448&lt;0,K448&gt;1,MIN(M448:X448)&lt;0,W448=0,V448&gt;W448,M448&gt;W448-V448,P448&gt;8,Q448&gt;4,R448&gt;12,S448&gt;12,T448&gt;1,AB448&lt;0),"Review quantity / rate",IF(OR(N448&gt;Settings!$C$17,AK448&gt;Settings!$C$19),"Review benefit ceiling","OK"))))))</x:f>
      </x:c>
    </x:row>
    <x:row r="449" ht="23" customHeight="1">
      <x:c r="A449" s="8"/>
      <x:c r="B449" s="8"/>
      <x:c r="C449" s="8"/>
      <x:c r="D449" s="8"/>
      <x:c r="E449" s="8"/>
      <x:c r="F449" s="20"/>
      <x:c r="G449" s="12"/>
      <x:c r="H449" s="21"/>
      <x:c r="I449" s="20"/>
      <x:c r="J449" s="20"/>
      <x:c r="K449" s="20"/>
      <x:c r="L449" s="12"/>
      <x:c r="M449" s="8"/>
      <x:c r="N449" s="12"/>
      <x:c r="O449" s="8"/>
      <x:c r="P449" s="8"/>
      <x:c r="Q449" s="8"/>
      <x:c r="R449" s="8"/>
      <x:c r="S449" s="8"/>
      <x:c r="T449" s="8"/>
      <x:c r="U449" s="12"/>
      <x:c r="V449" s="8"/>
      <x:c r="W449" s="8"/>
      <x:c r="X449" s="12"/>
      <x:c r="Y449" s="21"/>
      <x:c r="Z449" s="24" t="str">
        <x:f>IF($A449="","",INDEX(Settings!$C$29:$C$33,MATCH(E449,Settings!$A$29:$A$33,0)))</x:f>
      </x:c>
      <x:c r="AA449" s="22" t="str">
        <x:f>IF($A449="","",G449/Z449)</x:f>
      </x:c>
      <x:c r="AB449" s="25" t="str">
        <x:f>IF($A449="","",IF(ISNUMBER(Y449),Y449,Settings!$B$10))</x:f>
      </x:c>
      <x:c r="AC449" s="23" t="str">
        <x:f>IF($A449="","",G449*(1+AB449))</x:f>
      </x:c>
      <x:c r="AD449" s="23" t="str">
        <x:f>IF($A449="","",G449*F449*12)</x:f>
      </x:c>
      <x:c r="AE449" s="23" t="str">
        <x:f>IF($A449="","",G449*F449*J449)</x:f>
      </x:c>
      <x:c r="AF449" s="24" t="str">
        <x:f>IF($A449="","",L449*F449*K449*Settings!$B$13)</x:f>
      </x:c>
      <x:c r="AG449" s="23" t="str">
        <x:f>IF($A449="","",AD449*H449*I449)</x:f>
      </x:c>
      <x:c r="AH449" s="24" t="str">
        <x:f>IF($A449="","",SUM(AD449:AE449,AG449)*SUM(Settings!$B$11:$B$12))</x:f>
      </x:c>
      <x:c r="AI449" s="24" t="str">
        <x:f>IF($A449="","",M449*Settings!$B$16)</x:f>
      </x:c>
      <x:c r="AJ449" s="24" t="str">
        <x:f>IF($A449="","",M449*Settings!$B$15)</x:f>
      </x:c>
      <x:c r="AK449" s="24" t="str">
        <x:f>IF($A449="","",O449*Settings!$B$18)</x:f>
      </x:c>
      <x:c r="AL449" s="24" t="str">
        <x:f>IF($A449="","",P449*Settings!$B$20+Q449*Settings!$B$21+R449*Settings!$B$22+S449*Settings!$B$23)</x:f>
      </x:c>
      <x:c r="AM449" s="24" t="str">
        <x:f>IF($A449="","",T449*Settings!$B$24)</x:f>
      </x:c>
      <x:c r="AN449" s="23" t="str">
        <x:f>IF($A449="","",SUM(AI449,N449,AK449:AM449,U449))</x:f>
      </x:c>
      <x:c r="AO449" s="23" t="str">
        <x:f>IF($A449="","",SUM(AD449:AI449,N449,AK449:AM449,U449))</x:f>
      </x:c>
      <x:c r="AP449" s="24" t="str">
        <x:f>IF($A449="","",G449*F449*AB449*((13-Settings!$B$9)*(1+H449*I449)+J449)*(1+SUM(Settings!$B$11:$B$12)))</x:f>
      </x:c>
      <x:c r="AQ449" s="23" t="str">
        <x:f>IF($A449="","",SUM(AO449:AP449))</x:f>
      </x:c>
      <x:c r="AR449" s="23" t="str">
        <x:f>IF($A449="","",AQ449-X449)</x:f>
      </x:c>
      <x:c r="AS449" s="22" t="str">
        <x:f>IF($A449="","",IF(W449=0,"n.a.",V449/W449))</x:f>
      </x:c>
      <x:c r="AT449" s="26" t="str">
        <x:f>IF($A449="",IF(COUNTA(B449:Y449)&gt;0,"Missing ID",""),IF(COUNTIFS($A$9:$A$508,A449)&gt;1,"Duplicate ID",IF(OR(B449="",C449="",D449="",E449="",COUNT(F449:X449)&lt;&gt;19),"Missing / text input",IF(OR(COUNTIFS(Settings!$A$59:$A$64,B449)&lt;&gt;1,COUNTIFS(Settings!$A$29:$A$33,E449)&lt;&gt;1),"Unknown department / grade",IF(OR(F449&lt;=0,F449&gt;1,G449&lt;=0,L449&lt;=0,H449&lt;0,I449&lt;0,J449&lt;0,K449&lt;0,K449&gt;1,MIN(M449:X449)&lt;0,W449=0,V449&gt;W449,M449&gt;W449-V449,P449&gt;8,Q449&gt;4,R449&gt;12,S449&gt;12,T449&gt;1,AB449&lt;0),"Review quantity / rate",IF(OR(N449&gt;Settings!$C$17,AK449&gt;Settings!$C$19),"Review benefit ceiling","OK"))))))</x:f>
      </x:c>
    </x:row>
    <x:row r="450" ht="23" customHeight="1">
      <x:c r="A450" s="8"/>
      <x:c r="B450" s="8"/>
      <x:c r="C450" s="8"/>
      <x:c r="D450" s="8"/>
      <x:c r="E450" s="8"/>
      <x:c r="F450" s="20"/>
      <x:c r="G450" s="12"/>
      <x:c r="H450" s="21"/>
      <x:c r="I450" s="20"/>
      <x:c r="J450" s="20"/>
      <x:c r="K450" s="20"/>
      <x:c r="L450" s="12"/>
      <x:c r="M450" s="8"/>
      <x:c r="N450" s="12"/>
      <x:c r="O450" s="8"/>
      <x:c r="P450" s="8"/>
      <x:c r="Q450" s="8"/>
      <x:c r="R450" s="8"/>
      <x:c r="S450" s="8"/>
      <x:c r="T450" s="8"/>
      <x:c r="U450" s="12"/>
      <x:c r="V450" s="8"/>
      <x:c r="W450" s="8"/>
      <x:c r="X450" s="12"/>
      <x:c r="Y450" s="21"/>
      <x:c r="Z450" s="24" t="str">
        <x:f>IF($A450="","",INDEX(Settings!$C$29:$C$33,MATCH(E450,Settings!$A$29:$A$33,0)))</x:f>
      </x:c>
      <x:c r="AA450" s="22" t="str">
        <x:f>IF($A450="","",G450/Z450)</x:f>
      </x:c>
      <x:c r="AB450" s="25" t="str">
        <x:f>IF($A450="","",IF(ISNUMBER(Y450),Y450,Settings!$B$10))</x:f>
      </x:c>
      <x:c r="AC450" s="23" t="str">
        <x:f>IF($A450="","",G450*(1+AB450))</x:f>
      </x:c>
      <x:c r="AD450" s="23" t="str">
        <x:f>IF($A450="","",G450*F450*12)</x:f>
      </x:c>
      <x:c r="AE450" s="23" t="str">
        <x:f>IF($A450="","",G450*F450*J450)</x:f>
      </x:c>
      <x:c r="AF450" s="24" t="str">
        <x:f>IF($A450="","",L450*F450*K450*Settings!$B$13)</x:f>
      </x:c>
      <x:c r="AG450" s="23" t="str">
        <x:f>IF($A450="","",AD450*H450*I450)</x:f>
      </x:c>
      <x:c r="AH450" s="24" t="str">
        <x:f>IF($A450="","",SUM(AD450:AE450,AG450)*SUM(Settings!$B$11:$B$12))</x:f>
      </x:c>
      <x:c r="AI450" s="24" t="str">
        <x:f>IF($A450="","",M450*Settings!$B$16)</x:f>
      </x:c>
      <x:c r="AJ450" s="24" t="str">
        <x:f>IF($A450="","",M450*Settings!$B$15)</x:f>
      </x:c>
      <x:c r="AK450" s="24" t="str">
        <x:f>IF($A450="","",O450*Settings!$B$18)</x:f>
      </x:c>
      <x:c r="AL450" s="24" t="str">
        <x:f>IF($A450="","",P450*Settings!$B$20+Q450*Settings!$B$21+R450*Settings!$B$22+S450*Settings!$B$23)</x:f>
      </x:c>
      <x:c r="AM450" s="24" t="str">
        <x:f>IF($A450="","",T450*Settings!$B$24)</x:f>
      </x:c>
      <x:c r="AN450" s="23" t="str">
        <x:f>IF($A450="","",SUM(AI450,N450,AK450:AM450,U450))</x:f>
      </x:c>
      <x:c r="AO450" s="23" t="str">
        <x:f>IF($A450="","",SUM(AD450:AI450,N450,AK450:AM450,U450))</x:f>
      </x:c>
      <x:c r="AP450" s="24" t="str">
        <x:f>IF($A450="","",G450*F450*AB450*((13-Settings!$B$9)*(1+H450*I450)+J450)*(1+SUM(Settings!$B$11:$B$12)))</x:f>
      </x:c>
      <x:c r="AQ450" s="23" t="str">
        <x:f>IF($A450="","",SUM(AO450:AP450))</x:f>
      </x:c>
      <x:c r="AR450" s="23" t="str">
        <x:f>IF($A450="","",AQ450-X450)</x:f>
      </x:c>
      <x:c r="AS450" s="22" t="str">
        <x:f>IF($A450="","",IF(W450=0,"n.a.",V450/W450))</x:f>
      </x:c>
      <x:c r="AT450" s="26" t="str">
        <x:f>IF($A450="",IF(COUNTA(B450:Y450)&gt;0,"Missing ID",""),IF(COUNTIFS($A$9:$A$508,A450)&gt;1,"Duplicate ID",IF(OR(B450="",C450="",D450="",E450="",COUNT(F450:X450)&lt;&gt;19),"Missing / text input",IF(OR(COUNTIFS(Settings!$A$59:$A$64,B450)&lt;&gt;1,COUNTIFS(Settings!$A$29:$A$33,E450)&lt;&gt;1),"Unknown department / grade",IF(OR(F450&lt;=0,F450&gt;1,G450&lt;=0,L450&lt;=0,H450&lt;0,I450&lt;0,J450&lt;0,K450&lt;0,K450&gt;1,MIN(M450:X450)&lt;0,W450=0,V450&gt;W450,M450&gt;W450-V450,P450&gt;8,Q450&gt;4,R450&gt;12,S450&gt;12,T450&gt;1,AB450&lt;0),"Review quantity / rate",IF(OR(N450&gt;Settings!$C$17,AK450&gt;Settings!$C$19),"Review benefit ceiling","OK"))))))</x:f>
      </x:c>
    </x:row>
    <x:row r="451" ht="23" customHeight="1">
      <x:c r="A451" s="8"/>
      <x:c r="B451" s="8"/>
      <x:c r="C451" s="8"/>
      <x:c r="D451" s="8"/>
      <x:c r="E451" s="8"/>
      <x:c r="F451" s="20"/>
      <x:c r="G451" s="12"/>
      <x:c r="H451" s="21"/>
      <x:c r="I451" s="20"/>
      <x:c r="J451" s="20"/>
      <x:c r="K451" s="20"/>
      <x:c r="L451" s="12"/>
      <x:c r="M451" s="8"/>
      <x:c r="N451" s="12"/>
      <x:c r="O451" s="8"/>
      <x:c r="P451" s="8"/>
      <x:c r="Q451" s="8"/>
      <x:c r="R451" s="8"/>
      <x:c r="S451" s="8"/>
      <x:c r="T451" s="8"/>
      <x:c r="U451" s="12"/>
      <x:c r="V451" s="8"/>
      <x:c r="W451" s="8"/>
      <x:c r="X451" s="12"/>
      <x:c r="Y451" s="21"/>
      <x:c r="Z451" s="24" t="str">
        <x:f>IF($A451="","",INDEX(Settings!$C$29:$C$33,MATCH(E451,Settings!$A$29:$A$33,0)))</x:f>
      </x:c>
      <x:c r="AA451" s="22" t="str">
        <x:f>IF($A451="","",G451/Z451)</x:f>
      </x:c>
      <x:c r="AB451" s="25" t="str">
        <x:f>IF($A451="","",IF(ISNUMBER(Y451),Y451,Settings!$B$10))</x:f>
      </x:c>
      <x:c r="AC451" s="23" t="str">
        <x:f>IF($A451="","",G451*(1+AB451))</x:f>
      </x:c>
      <x:c r="AD451" s="23" t="str">
        <x:f>IF($A451="","",G451*F451*12)</x:f>
      </x:c>
      <x:c r="AE451" s="23" t="str">
        <x:f>IF($A451="","",G451*F451*J451)</x:f>
      </x:c>
      <x:c r="AF451" s="24" t="str">
        <x:f>IF($A451="","",L451*F451*K451*Settings!$B$13)</x:f>
      </x:c>
      <x:c r="AG451" s="23" t="str">
        <x:f>IF($A451="","",AD451*H451*I451)</x:f>
      </x:c>
      <x:c r="AH451" s="24" t="str">
        <x:f>IF($A451="","",SUM(AD451:AE451,AG451)*SUM(Settings!$B$11:$B$12))</x:f>
      </x:c>
      <x:c r="AI451" s="24" t="str">
        <x:f>IF($A451="","",M451*Settings!$B$16)</x:f>
      </x:c>
      <x:c r="AJ451" s="24" t="str">
        <x:f>IF($A451="","",M451*Settings!$B$15)</x:f>
      </x:c>
      <x:c r="AK451" s="24" t="str">
        <x:f>IF($A451="","",O451*Settings!$B$18)</x:f>
      </x:c>
      <x:c r="AL451" s="24" t="str">
        <x:f>IF($A451="","",P451*Settings!$B$20+Q451*Settings!$B$21+R451*Settings!$B$22+S451*Settings!$B$23)</x:f>
      </x:c>
      <x:c r="AM451" s="24" t="str">
        <x:f>IF($A451="","",T451*Settings!$B$24)</x:f>
      </x:c>
      <x:c r="AN451" s="23" t="str">
        <x:f>IF($A451="","",SUM(AI451,N451,AK451:AM451,U451))</x:f>
      </x:c>
      <x:c r="AO451" s="23" t="str">
        <x:f>IF($A451="","",SUM(AD451:AI451,N451,AK451:AM451,U451))</x:f>
      </x:c>
      <x:c r="AP451" s="24" t="str">
        <x:f>IF($A451="","",G451*F451*AB451*((13-Settings!$B$9)*(1+H451*I451)+J451)*(1+SUM(Settings!$B$11:$B$12)))</x:f>
      </x:c>
      <x:c r="AQ451" s="23" t="str">
        <x:f>IF($A451="","",SUM(AO451:AP451))</x:f>
      </x:c>
      <x:c r="AR451" s="23" t="str">
        <x:f>IF($A451="","",AQ451-X451)</x:f>
      </x:c>
      <x:c r="AS451" s="22" t="str">
        <x:f>IF($A451="","",IF(W451=0,"n.a.",V451/W451))</x:f>
      </x:c>
      <x:c r="AT451" s="26" t="str">
        <x:f>IF($A451="",IF(COUNTA(B451:Y451)&gt;0,"Missing ID",""),IF(COUNTIFS($A$9:$A$508,A451)&gt;1,"Duplicate ID",IF(OR(B451="",C451="",D451="",E451="",COUNT(F451:X451)&lt;&gt;19),"Missing / text input",IF(OR(COUNTIFS(Settings!$A$59:$A$64,B451)&lt;&gt;1,COUNTIFS(Settings!$A$29:$A$33,E451)&lt;&gt;1),"Unknown department / grade",IF(OR(F451&lt;=0,F451&gt;1,G451&lt;=0,L451&lt;=0,H451&lt;0,I451&lt;0,J451&lt;0,K451&lt;0,K451&gt;1,MIN(M451:X451)&lt;0,W451=0,V451&gt;W451,M451&gt;W451-V451,P451&gt;8,Q451&gt;4,R451&gt;12,S451&gt;12,T451&gt;1,AB451&lt;0),"Review quantity / rate",IF(OR(N451&gt;Settings!$C$17,AK451&gt;Settings!$C$19),"Review benefit ceiling","OK"))))))</x:f>
      </x:c>
    </x:row>
    <x:row r="452" ht="23" customHeight="1">
      <x:c r="A452" s="8"/>
      <x:c r="B452" s="8"/>
      <x:c r="C452" s="8"/>
      <x:c r="D452" s="8"/>
      <x:c r="E452" s="8"/>
      <x:c r="F452" s="20"/>
      <x:c r="G452" s="12"/>
      <x:c r="H452" s="21"/>
      <x:c r="I452" s="20"/>
      <x:c r="J452" s="20"/>
      <x:c r="K452" s="20"/>
      <x:c r="L452" s="12"/>
      <x:c r="M452" s="8"/>
      <x:c r="N452" s="12"/>
      <x:c r="O452" s="8"/>
      <x:c r="P452" s="8"/>
      <x:c r="Q452" s="8"/>
      <x:c r="R452" s="8"/>
      <x:c r="S452" s="8"/>
      <x:c r="T452" s="8"/>
      <x:c r="U452" s="12"/>
      <x:c r="V452" s="8"/>
      <x:c r="W452" s="8"/>
      <x:c r="X452" s="12"/>
      <x:c r="Y452" s="21"/>
      <x:c r="Z452" s="24" t="str">
        <x:f>IF($A452="","",INDEX(Settings!$C$29:$C$33,MATCH(E452,Settings!$A$29:$A$33,0)))</x:f>
      </x:c>
      <x:c r="AA452" s="22" t="str">
        <x:f>IF($A452="","",G452/Z452)</x:f>
      </x:c>
      <x:c r="AB452" s="25" t="str">
        <x:f>IF($A452="","",IF(ISNUMBER(Y452),Y452,Settings!$B$10))</x:f>
      </x:c>
      <x:c r="AC452" s="23" t="str">
        <x:f>IF($A452="","",G452*(1+AB452))</x:f>
      </x:c>
      <x:c r="AD452" s="23" t="str">
        <x:f>IF($A452="","",G452*F452*12)</x:f>
      </x:c>
      <x:c r="AE452" s="23" t="str">
        <x:f>IF($A452="","",G452*F452*J452)</x:f>
      </x:c>
      <x:c r="AF452" s="24" t="str">
        <x:f>IF($A452="","",L452*F452*K452*Settings!$B$13)</x:f>
      </x:c>
      <x:c r="AG452" s="23" t="str">
        <x:f>IF($A452="","",AD452*H452*I452)</x:f>
      </x:c>
      <x:c r="AH452" s="24" t="str">
        <x:f>IF($A452="","",SUM(AD452:AE452,AG452)*SUM(Settings!$B$11:$B$12))</x:f>
      </x:c>
      <x:c r="AI452" s="24" t="str">
        <x:f>IF($A452="","",M452*Settings!$B$16)</x:f>
      </x:c>
      <x:c r="AJ452" s="24" t="str">
        <x:f>IF($A452="","",M452*Settings!$B$15)</x:f>
      </x:c>
      <x:c r="AK452" s="24" t="str">
        <x:f>IF($A452="","",O452*Settings!$B$18)</x:f>
      </x:c>
      <x:c r="AL452" s="24" t="str">
        <x:f>IF($A452="","",P452*Settings!$B$20+Q452*Settings!$B$21+R452*Settings!$B$22+S452*Settings!$B$23)</x:f>
      </x:c>
      <x:c r="AM452" s="24" t="str">
        <x:f>IF($A452="","",T452*Settings!$B$24)</x:f>
      </x:c>
      <x:c r="AN452" s="23" t="str">
        <x:f>IF($A452="","",SUM(AI452,N452,AK452:AM452,U452))</x:f>
      </x:c>
      <x:c r="AO452" s="23" t="str">
        <x:f>IF($A452="","",SUM(AD452:AI452,N452,AK452:AM452,U452))</x:f>
      </x:c>
      <x:c r="AP452" s="24" t="str">
        <x:f>IF($A452="","",G452*F452*AB452*((13-Settings!$B$9)*(1+H452*I452)+J452)*(1+SUM(Settings!$B$11:$B$12)))</x:f>
      </x:c>
      <x:c r="AQ452" s="23" t="str">
        <x:f>IF($A452="","",SUM(AO452:AP452))</x:f>
      </x:c>
      <x:c r="AR452" s="23" t="str">
        <x:f>IF($A452="","",AQ452-X452)</x:f>
      </x:c>
      <x:c r="AS452" s="22" t="str">
        <x:f>IF($A452="","",IF(W452=0,"n.a.",V452/W452))</x:f>
      </x:c>
      <x:c r="AT452" s="26" t="str">
        <x:f>IF($A452="",IF(COUNTA(B452:Y452)&gt;0,"Missing ID",""),IF(COUNTIFS($A$9:$A$508,A452)&gt;1,"Duplicate ID",IF(OR(B452="",C452="",D452="",E452="",COUNT(F452:X452)&lt;&gt;19),"Missing / text input",IF(OR(COUNTIFS(Settings!$A$59:$A$64,B452)&lt;&gt;1,COUNTIFS(Settings!$A$29:$A$33,E452)&lt;&gt;1),"Unknown department / grade",IF(OR(F452&lt;=0,F452&gt;1,G452&lt;=0,L452&lt;=0,H452&lt;0,I452&lt;0,J452&lt;0,K452&lt;0,K452&gt;1,MIN(M452:X452)&lt;0,W452=0,V452&gt;W452,M452&gt;W452-V452,P452&gt;8,Q452&gt;4,R452&gt;12,S452&gt;12,T452&gt;1,AB452&lt;0),"Review quantity / rate",IF(OR(N452&gt;Settings!$C$17,AK452&gt;Settings!$C$19),"Review benefit ceiling","OK"))))))</x:f>
      </x:c>
    </x:row>
    <x:row r="453" ht="23" customHeight="1">
      <x:c r="A453" s="8"/>
      <x:c r="B453" s="8"/>
      <x:c r="C453" s="8"/>
      <x:c r="D453" s="8"/>
      <x:c r="E453" s="8"/>
      <x:c r="F453" s="20"/>
      <x:c r="G453" s="12"/>
      <x:c r="H453" s="21"/>
      <x:c r="I453" s="20"/>
      <x:c r="J453" s="20"/>
      <x:c r="K453" s="20"/>
      <x:c r="L453" s="12"/>
      <x:c r="M453" s="8"/>
      <x:c r="N453" s="12"/>
      <x:c r="O453" s="8"/>
      <x:c r="P453" s="8"/>
      <x:c r="Q453" s="8"/>
      <x:c r="R453" s="8"/>
      <x:c r="S453" s="8"/>
      <x:c r="T453" s="8"/>
      <x:c r="U453" s="12"/>
      <x:c r="V453" s="8"/>
      <x:c r="W453" s="8"/>
      <x:c r="X453" s="12"/>
      <x:c r="Y453" s="21"/>
      <x:c r="Z453" s="24" t="str">
        <x:f>IF($A453="","",INDEX(Settings!$C$29:$C$33,MATCH(E453,Settings!$A$29:$A$33,0)))</x:f>
      </x:c>
      <x:c r="AA453" s="22" t="str">
        <x:f>IF($A453="","",G453/Z453)</x:f>
      </x:c>
      <x:c r="AB453" s="25" t="str">
        <x:f>IF($A453="","",IF(ISNUMBER(Y453),Y453,Settings!$B$10))</x:f>
      </x:c>
      <x:c r="AC453" s="23" t="str">
        <x:f>IF($A453="","",G453*(1+AB453))</x:f>
      </x:c>
      <x:c r="AD453" s="23" t="str">
        <x:f>IF($A453="","",G453*F453*12)</x:f>
      </x:c>
      <x:c r="AE453" s="23" t="str">
        <x:f>IF($A453="","",G453*F453*J453)</x:f>
      </x:c>
      <x:c r="AF453" s="24" t="str">
        <x:f>IF($A453="","",L453*F453*K453*Settings!$B$13)</x:f>
      </x:c>
      <x:c r="AG453" s="23" t="str">
        <x:f>IF($A453="","",AD453*H453*I453)</x:f>
      </x:c>
      <x:c r="AH453" s="24" t="str">
        <x:f>IF($A453="","",SUM(AD453:AE453,AG453)*SUM(Settings!$B$11:$B$12))</x:f>
      </x:c>
      <x:c r="AI453" s="24" t="str">
        <x:f>IF($A453="","",M453*Settings!$B$16)</x:f>
      </x:c>
      <x:c r="AJ453" s="24" t="str">
        <x:f>IF($A453="","",M453*Settings!$B$15)</x:f>
      </x:c>
      <x:c r="AK453" s="24" t="str">
        <x:f>IF($A453="","",O453*Settings!$B$18)</x:f>
      </x:c>
      <x:c r="AL453" s="24" t="str">
        <x:f>IF($A453="","",P453*Settings!$B$20+Q453*Settings!$B$21+R453*Settings!$B$22+S453*Settings!$B$23)</x:f>
      </x:c>
      <x:c r="AM453" s="24" t="str">
        <x:f>IF($A453="","",T453*Settings!$B$24)</x:f>
      </x:c>
      <x:c r="AN453" s="23" t="str">
        <x:f>IF($A453="","",SUM(AI453,N453,AK453:AM453,U453))</x:f>
      </x:c>
      <x:c r="AO453" s="23" t="str">
        <x:f>IF($A453="","",SUM(AD453:AI453,N453,AK453:AM453,U453))</x:f>
      </x:c>
      <x:c r="AP453" s="24" t="str">
        <x:f>IF($A453="","",G453*F453*AB453*((13-Settings!$B$9)*(1+H453*I453)+J453)*(1+SUM(Settings!$B$11:$B$12)))</x:f>
      </x:c>
      <x:c r="AQ453" s="23" t="str">
        <x:f>IF($A453="","",SUM(AO453:AP453))</x:f>
      </x:c>
      <x:c r="AR453" s="23" t="str">
        <x:f>IF($A453="","",AQ453-X453)</x:f>
      </x:c>
      <x:c r="AS453" s="22" t="str">
        <x:f>IF($A453="","",IF(W453=0,"n.a.",V453/W453))</x:f>
      </x:c>
      <x:c r="AT453" s="26" t="str">
        <x:f>IF($A453="",IF(COUNTA(B453:Y453)&gt;0,"Missing ID",""),IF(COUNTIFS($A$9:$A$508,A453)&gt;1,"Duplicate ID",IF(OR(B453="",C453="",D453="",E453="",COUNT(F453:X453)&lt;&gt;19),"Missing / text input",IF(OR(COUNTIFS(Settings!$A$59:$A$64,B453)&lt;&gt;1,COUNTIFS(Settings!$A$29:$A$33,E453)&lt;&gt;1),"Unknown department / grade",IF(OR(F453&lt;=0,F453&gt;1,G453&lt;=0,L453&lt;=0,H453&lt;0,I453&lt;0,J453&lt;0,K453&lt;0,K453&gt;1,MIN(M453:X453)&lt;0,W453=0,V453&gt;W453,M453&gt;W453-V453,P453&gt;8,Q453&gt;4,R453&gt;12,S453&gt;12,T453&gt;1,AB453&lt;0),"Review quantity / rate",IF(OR(N453&gt;Settings!$C$17,AK453&gt;Settings!$C$19),"Review benefit ceiling","OK"))))))</x:f>
      </x:c>
    </x:row>
    <x:row r="454" ht="23" customHeight="1">
      <x:c r="A454" s="8"/>
      <x:c r="B454" s="8"/>
      <x:c r="C454" s="8"/>
      <x:c r="D454" s="8"/>
      <x:c r="E454" s="8"/>
      <x:c r="F454" s="20"/>
      <x:c r="G454" s="12"/>
      <x:c r="H454" s="21"/>
      <x:c r="I454" s="20"/>
      <x:c r="J454" s="20"/>
      <x:c r="K454" s="20"/>
      <x:c r="L454" s="12"/>
      <x:c r="M454" s="8"/>
      <x:c r="N454" s="12"/>
      <x:c r="O454" s="8"/>
      <x:c r="P454" s="8"/>
      <x:c r="Q454" s="8"/>
      <x:c r="R454" s="8"/>
      <x:c r="S454" s="8"/>
      <x:c r="T454" s="8"/>
      <x:c r="U454" s="12"/>
      <x:c r="V454" s="8"/>
      <x:c r="W454" s="8"/>
      <x:c r="X454" s="12"/>
      <x:c r="Y454" s="21"/>
      <x:c r="Z454" s="24" t="str">
        <x:f>IF($A454="","",INDEX(Settings!$C$29:$C$33,MATCH(E454,Settings!$A$29:$A$33,0)))</x:f>
      </x:c>
      <x:c r="AA454" s="22" t="str">
        <x:f>IF($A454="","",G454/Z454)</x:f>
      </x:c>
      <x:c r="AB454" s="25" t="str">
        <x:f>IF($A454="","",IF(ISNUMBER(Y454),Y454,Settings!$B$10))</x:f>
      </x:c>
      <x:c r="AC454" s="23" t="str">
        <x:f>IF($A454="","",G454*(1+AB454))</x:f>
      </x:c>
      <x:c r="AD454" s="23" t="str">
        <x:f>IF($A454="","",G454*F454*12)</x:f>
      </x:c>
      <x:c r="AE454" s="23" t="str">
        <x:f>IF($A454="","",G454*F454*J454)</x:f>
      </x:c>
      <x:c r="AF454" s="24" t="str">
        <x:f>IF($A454="","",L454*F454*K454*Settings!$B$13)</x:f>
      </x:c>
      <x:c r="AG454" s="23" t="str">
        <x:f>IF($A454="","",AD454*H454*I454)</x:f>
      </x:c>
      <x:c r="AH454" s="24" t="str">
        <x:f>IF($A454="","",SUM(AD454:AE454,AG454)*SUM(Settings!$B$11:$B$12))</x:f>
      </x:c>
      <x:c r="AI454" s="24" t="str">
        <x:f>IF($A454="","",M454*Settings!$B$16)</x:f>
      </x:c>
      <x:c r="AJ454" s="24" t="str">
        <x:f>IF($A454="","",M454*Settings!$B$15)</x:f>
      </x:c>
      <x:c r="AK454" s="24" t="str">
        <x:f>IF($A454="","",O454*Settings!$B$18)</x:f>
      </x:c>
      <x:c r="AL454" s="24" t="str">
        <x:f>IF($A454="","",P454*Settings!$B$20+Q454*Settings!$B$21+R454*Settings!$B$22+S454*Settings!$B$23)</x:f>
      </x:c>
      <x:c r="AM454" s="24" t="str">
        <x:f>IF($A454="","",T454*Settings!$B$24)</x:f>
      </x:c>
      <x:c r="AN454" s="23" t="str">
        <x:f>IF($A454="","",SUM(AI454,N454,AK454:AM454,U454))</x:f>
      </x:c>
      <x:c r="AO454" s="23" t="str">
        <x:f>IF($A454="","",SUM(AD454:AI454,N454,AK454:AM454,U454))</x:f>
      </x:c>
      <x:c r="AP454" s="24" t="str">
        <x:f>IF($A454="","",G454*F454*AB454*((13-Settings!$B$9)*(1+H454*I454)+J454)*(1+SUM(Settings!$B$11:$B$12)))</x:f>
      </x:c>
      <x:c r="AQ454" s="23" t="str">
        <x:f>IF($A454="","",SUM(AO454:AP454))</x:f>
      </x:c>
      <x:c r="AR454" s="23" t="str">
        <x:f>IF($A454="","",AQ454-X454)</x:f>
      </x:c>
      <x:c r="AS454" s="22" t="str">
        <x:f>IF($A454="","",IF(W454=0,"n.a.",V454/W454))</x:f>
      </x:c>
      <x:c r="AT454" s="26" t="str">
        <x:f>IF($A454="",IF(COUNTA(B454:Y454)&gt;0,"Missing ID",""),IF(COUNTIFS($A$9:$A$508,A454)&gt;1,"Duplicate ID",IF(OR(B454="",C454="",D454="",E454="",COUNT(F454:X454)&lt;&gt;19),"Missing / text input",IF(OR(COUNTIFS(Settings!$A$59:$A$64,B454)&lt;&gt;1,COUNTIFS(Settings!$A$29:$A$33,E454)&lt;&gt;1),"Unknown department / grade",IF(OR(F454&lt;=0,F454&gt;1,G454&lt;=0,L454&lt;=0,H454&lt;0,I454&lt;0,J454&lt;0,K454&lt;0,K454&gt;1,MIN(M454:X454)&lt;0,W454=0,V454&gt;W454,M454&gt;W454-V454,P454&gt;8,Q454&gt;4,R454&gt;12,S454&gt;12,T454&gt;1,AB454&lt;0),"Review quantity / rate",IF(OR(N454&gt;Settings!$C$17,AK454&gt;Settings!$C$19),"Review benefit ceiling","OK"))))))</x:f>
      </x:c>
    </x:row>
    <x:row r="455" ht="23" customHeight="1">
      <x:c r="A455" s="8"/>
      <x:c r="B455" s="8"/>
      <x:c r="C455" s="8"/>
      <x:c r="D455" s="8"/>
      <x:c r="E455" s="8"/>
      <x:c r="F455" s="20"/>
      <x:c r="G455" s="12"/>
      <x:c r="H455" s="21"/>
      <x:c r="I455" s="20"/>
      <x:c r="J455" s="20"/>
      <x:c r="K455" s="20"/>
      <x:c r="L455" s="12"/>
      <x:c r="M455" s="8"/>
      <x:c r="N455" s="12"/>
      <x:c r="O455" s="8"/>
      <x:c r="P455" s="8"/>
      <x:c r="Q455" s="8"/>
      <x:c r="R455" s="8"/>
      <x:c r="S455" s="8"/>
      <x:c r="T455" s="8"/>
      <x:c r="U455" s="12"/>
      <x:c r="V455" s="8"/>
      <x:c r="W455" s="8"/>
      <x:c r="X455" s="12"/>
      <x:c r="Y455" s="21"/>
      <x:c r="Z455" s="24" t="str">
        <x:f>IF($A455="","",INDEX(Settings!$C$29:$C$33,MATCH(E455,Settings!$A$29:$A$33,0)))</x:f>
      </x:c>
      <x:c r="AA455" s="22" t="str">
        <x:f>IF($A455="","",G455/Z455)</x:f>
      </x:c>
      <x:c r="AB455" s="25" t="str">
        <x:f>IF($A455="","",IF(ISNUMBER(Y455),Y455,Settings!$B$10))</x:f>
      </x:c>
      <x:c r="AC455" s="23" t="str">
        <x:f>IF($A455="","",G455*(1+AB455))</x:f>
      </x:c>
      <x:c r="AD455" s="23" t="str">
        <x:f>IF($A455="","",G455*F455*12)</x:f>
      </x:c>
      <x:c r="AE455" s="23" t="str">
        <x:f>IF($A455="","",G455*F455*J455)</x:f>
      </x:c>
      <x:c r="AF455" s="24" t="str">
        <x:f>IF($A455="","",L455*F455*K455*Settings!$B$13)</x:f>
      </x:c>
      <x:c r="AG455" s="23" t="str">
        <x:f>IF($A455="","",AD455*H455*I455)</x:f>
      </x:c>
      <x:c r="AH455" s="24" t="str">
        <x:f>IF($A455="","",SUM(AD455:AE455,AG455)*SUM(Settings!$B$11:$B$12))</x:f>
      </x:c>
      <x:c r="AI455" s="24" t="str">
        <x:f>IF($A455="","",M455*Settings!$B$16)</x:f>
      </x:c>
      <x:c r="AJ455" s="24" t="str">
        <x:f>IF($A455="","",M455*Settings!$B$15)</x:f>
      </x:c>
      <x:c r="AK455" s="24" t="str">
        <x:f>IF($A455="","",O455*Settings!$B$18)</x:f>
      </x:c>
      <x:c r="AL455" s="24" t="str">
        <x:f>IF($A455="","",P455*Settings!$B$20+Q455*Settings!$B$21+R455*Settings!$B$22+S455*Settings!$B$23)</x:f>
      </x:c>
      <x:c r="AM455" s="24" t="str">
        <x:f>IF($A455="","",T455*Settings!$B$24)</x:f>
      </x:c>
      <x:c r="AN455" s="23" t="str">
        <x:f>IF($A455="","",SUM(AI455,N455,AK455:AM455,U455))</x:f>
      </x:c>
      <x:c r="AO455" s="23" t="str">
        <x:f>IF($A455="","",SUM(AD455:AI455,N455,AK455:AM455,U455))</x:f>
      </x:c>
      <x:c r="AP455" s="24" t="str">
        <x:f>IF($A455="","",G455*F455*AB455*((13-Settings!$B$9)*(1+H455*I455)+J455)*(1+SUM(Settings!$B$11:$B$12)))</x:f>
      </x:c>
      <x:c r="AQ455" s="23" t="str">
        <x:f>IF($A455="","",SUM(AO455:AP455))</x:f>
      </x:c>
      <x:c r="AR455" s="23" t="str">
        <x:f>IF($A455="","",AQ455-X455)</x:f>
      </x:c>
      <x:c r="AS455" s="22" t="str">
        <x:f>IF($A455="","",IF(W455=0,"n.a.",V455/W455))</x:f>
      </x:c>
      <x:c r="AT455" s="26" t="str">
        <x:f>IF($A455="",IF(COUNTA(B455:Y455)&gt;0,"Missing ID",""),IF(COUNTIFS($A$9:$A$508,A455)&gt;1,"Duplicate ID",IF(OR(B455="",C455="",D455="",E455="",COUNT(F455:X455)&lt;&gt;19),"Missing / text input",IF(OR(COUNTIFS(Settings!$A$59:$A$64,B455)&lt;&gt;1,COUNTIFS(Settings!$A$29:$A$33,E455)&lt;&gt;1),"Unknown department / grade",IF(OR(F455&lt;=0,F455&gt;1,G455&lt;=0,L455&lt;=0,H455&lt;0,I455&lt;0,J455&lt;0,K455&lt;0,K455&gt;1,MIN(M455:X455)&lt;0,W455=0,V455&gt;W455,M455&gt;W455-V455,P455&gt;8,Q455&gt;4,R455&gt;12,S455&gt;12,T455&gt;1,AB455&lt;0),"Review quantity / rate",IF(OR(N455&gt;Settings!$C$17,AK455&gt;Settings!$C$19),"Review benefit ceiling","OK"))))))</x:f>
      </x:c>
    </x:row>
    <x:row r="456" ht="23" customHeight="1">
      <x:c r="A456" s="8"/>
      <x:c r="B456" s="8"/>
      <x:c r="C456" s="8"/>
      <x:c r="D456" s="8"/>
      <x:c r="E456" s="8"/>
      <x:c r="F456" s="20"/>
      <x:c r="G456" s="12"/>
      <x:c r="H456" s="21"/>
      <x:c r="I456" s="20"/>
      <x:c r="J456" s="20"/>
      <x:c r="K456" s="20"/>
      <x:c r="L456" s="12"/>
      <x:c r="M456" s="8"/>
      <x:c r="N456" s="12"/>
      <x:c r="O456" s="8"/>
      <x:c r="P456" s="8"/>
      <x:c r="Q456" s="8"/>
      <x:c r="R456" s="8"/>
      <x:c r="S456" s="8"/>
      <x:c r="T456" s="8"/>
      <x:c r="U456" s="12"/>
      <x:c r="V456" s="8"/>
      <x:c r="W456" s="8"/>
      <x:c r="X456" s="12"/>
      <x:c r="Y456" s="21"/>
      <x:c r="Z456" s="24" t="str">
        <x:f>IF($A456="","",INDEX(Settings!$C$29:$C$33,MATCH(E456,Settings!$A$29:$A$33,0)))</x:f>
      </x:c>
      <x:c r="AA456" s="22" t="str">
        <x:f>IF($A456="","",G456/Z456)</x:f>
      </x:c>
      <x:c r="AB456" s="25" t="str">
        <x:f>IF($A456="","",IF(ISNUMBER(Y456),Y456,Settings!$B$10))</x:f>
      </x:c>
      <x:c r="AC456" s="23" t="str">
        <x:f>IF($A456="","",G456*(1+AB456))</x:f>
      </x:c>
      <x:c r="AD456" s="23" t="str">
        <x:f>IF($A456="","",G456*F456*12)</x:f>
      </x:c>
      <x:c r="AE456" s="23" t="str">
        <x:f>IF($A456="","",G456*F456*J456)</x:f>
      </x:c>
      <x:c r="AF456" s="24" t="str">
        <x:f>IF($A456="","",L456*F456*K456*Settings!$B$13)</x:f>
      </x:c>
      <x:c r="AG456" s="23" t="str">
        <x:f>IF($A456="","",AD456*H456*I456)</x:f>
      </x:c>
      <x:c r="AH456" s="24" t="str">
        <x:f>IF($A456="","",SUM(AD456:AE456,AG456)*SUM(Settings!$B$11:$B$12))</x:f>
      </x:c>
      <x:c r="AI456" s="24" t="str">
        <x:f>IF($A456="","",M456*Settings!$B$16)</x:f>
      </x:c>
      <x:c r="AJ456" s="24" t="str">
        <x:f>IF($A456="","",M456*Settings!$B$15)</x:f>
      </x:c>
      <x:c r="AK456" s="24" t="str">
        <x:f>IF($A456="","",O456*Settings!$B$18)</x:f>
      </x:c>
      <x:c r="AL456" s="24" t="str">
        <x:f>IF($A456="","",P456*Settings!$B$20+Q456*Settings!$B$21+R456*Settings!$B$22+S456*Settings!$B$23)</x:f>
      </x:c>
      <x:c r="AM456" s="24" t="str">
        <x:f>IF($A456="","",T456*Settings!$B$24)</x:f>
      </x:c>
      <x:c r="AN456" s="23" t="str">
        <x:f>IF($A456="","",SUM(AI456,N456,AK456:AM456,U456))</x:f>
      </x:c>
      <x:c r="AO456" s="23" t="str">
        <x:f>IF($A456="","",SUM(AD456:AI456,N456,AK456:AM456,U456))</x:f>
      </x:c>
      <x:c r="AP456" s="24" t="str">
        <x:f>IF($A456="","",G456*F456*AB456*((13-Settings!$B$9)*(1+H456*I456)+J456)*(1+SUM(Settings!$B$11:$B$12)))</x:f>
      </x:c>
      <x:c r="AQ456" s="23" t="str">
        <x:f>IF($A456="","",SUM(AO456:AP456))</x:f>
      </x:c>
      <x:c r="AR456" s="23" t="str">
        <x:f>IF($A456="","",AQ456-X456)</x:f>
      </x:c>
      <x:c r="AS456" s="22" t="str">
        <x:f>IF($A456="","",IF(W456=0,"n.a.",V456/W456))</x:f>
      </x:c>
      <x:c r="AT456" s="26" t="str">
        <x:f>IF($A456="",IF(COUNTA(B456:Y456)&gt;0,"Missing ID",""),IF(COUNTIFS($A$9:$A$508,A456)&gt;1,"Duplicate ID",IF(OR(B456="",C456="",D456="",E456="",COUNT(F456:X456)&lt;&gt;19),"Missing / text input",IF(OR(COUNTIFS(Settings!$A$59:$A$64,B456)&lt;&gt;1,COUNTIFS(Settings!$A$29:$A$33,E456)&lt;&gt;1),"Unknown department / grade",IF(OR(F456&lt;=0,F456&gt;1,G456&lt;=0,L456&lt;=0,H456&lt;0,I456&lt;0,J456&lt;0,K456&lt;0,K456&gt;1,MIN(M456:X456)&lt;0,W456=0,V456&gt;W456,M456&gt;W456-V456,P456&gt;8,Q456&gt;4,R456&gt;12,S456&gt;12,T456&gt;1,AB456&lt;0),"Review quantity / rate",IF(OR(N456&gt;Settings!$C$17,AK456&gt;Settings!$C$19),"Review benefit ceiling","OK"))))))</x:f>
      </x:c>
    </x:row>
    <x:row r="457" ht="23" customHeight="1">
      <x:c r="A457" s="8"/>
      <x:c r="B457" s="8"/>
      <x:c r="C457" s="8"/>
      <x:c r="D457" s="8"/>
      <x:c r="E457" s="8"/>
      <x:c r="F457" s="20"/>
      <x:c r="G457" s="12"/>
      <x:c r="H457" s="21"/>
      <x:c r="I457" s="20"/>
      <x:c r="J457" s="20"/>
      <x:c r="K457" s="20"/>
      <x:c r="L457" s="12"/>
      <x:c r="M457" s="8"/>
      <x:c r="N457" s="12"/>
      <x:c r="O457" s="8"/>
      <x:c r="P457" s="8"/>
      <x:c r="Q457" s="8"/>
      <x:c r="R457" s="8"/>
      <x:c r="S457" s="8"/>
      <x:c r="T457" s="8"/>
      <x:c r="U457" s="12"/>
      <x:c r="V457" s="8"/>
      <x:c r="W457" s="8"/>
      <x:c r="X457" s="12"/>
      <x:c r="Y457" s="21"/>
      <x:c r="Z457" s="24" t="str">
        <x:f>IF($A457="","",INDEX(Settings!$C$29:$C$33,MATCH(E457,Settings!$A$29:$A$33,0)))</x:f>
      </x:c>
      <x:c r="AA457" s="22" t="str">
        <x:f>IF($A457="","",G457/Z457)</x:f>
      </x:c>
      <x:c r="AB457" s="25" t="str">
        <x:f>IF($A457="","",IF(ISNUMBER(Y457),Y457,Settings!$B$10))</x:f>
      </x:c>
      <x:c r="AC457" s="23" t="str">
        <x:f>IF($A457="","",G457*(1+AB457))</x:f>
      </x:c>
      <x:c r="AD457" s="23" t="str">
        <x:f>IF($A457="","",G457*F457*12)</x:f>
      </x:c>
      <x:c r="AE457" s="23" t="str">
        <x:f>IF($A457="","",G457*F457*J457)</x:f>
      </x:c>
      <x:c r="AF457" s="24" t="str">
        <x:f>IF($A457="","",L457*F457*K457*Settings!$B$13)</x:f>
      </x:c>
      <x:c r="AG457" s="23" t="str">
        <x:f>IF($A457="","",AD457*H457*I457)</x:f>
      </x:c>
      <x:c r="AH457" s="24" t="str">
        <x:f>IF($A457="","",SUM(AD457:AE457,AG457)*SUM(Settings!$B$11:$B$12))</x:f>
      </x:c>
      <x:c r="AI457" s="24" t="str">
        <x:f>IF($A457="","",M457*Settings!$B$16)</x:f>
      </x:c>
      <x:c r="AJ457" s="24" t="str">
        <x:f>IF($A457="","",M457*Settings!$B$15)</x:f>
      </x:c>
      <x:c r="AK457" s="24" t="str">
        <x:f>IF($A457="","",O457*Settings!$B$18)</x:f>
      </x:c>
      <x:c r="AL457" s="24" t="str">
        <x:f>IF($A457="","",P457*Settings!$B$20+Q457*Settings!$B$21+R457*Settings!$B$22+S457*Settings!$B$23)</x:f>
      </x:c>
      <x:c r="AM457" s="24" t="str">
        <x:f>IF($A457="","",T457*Settings!$B$24)</x:f>
      </x:c>
      <x:c r="AN457" s="23" t="str">
        <x:f>IF($A457="","",SUM(AI457,N457,AK457:AM457,U457))</x:f>
      </x:c>
      <x:c r="AO457" s="23" t="str">
        <x:f>IF($A457="","",SUM(AD457:AI457,N457,AK457:AM457,U457))</x:f>
      </x:c>
      <x:c r="AP457" s="24" t="str">
        <x:f>IF($A457="","",G457*F457*AB457*((13-Settings!$B$9)*(1+H457*I457)+J457)*(1+SUM(Settings!$B$11:$B$12)))</x:f>
      </x:c>
      <x:c r="AQ457" s="23" t="str">
        <x:f>IF($A457="","",SUM(AO457:AP457))</x:f>
      </x:c>
      <x:c r="AR457" s="23" t="str">
        <x:f>IF($A457="","",AQ457-X457)</x:f>
      </x:c>
      <x:c r="AS457" s="22" t="str">
        <x:f>IF($A457="","",IF(W457=0,"n.a.",V457/W457))</x:f>
      </x:c>
      <x:c r="AT457" s="26" t="str">
        <x:f>IF($A457="",IF(COUNTA(B457:Y457)&gt;0,"Missing ID",""),IF(COUNTIFS($A$9:$A$508,A457)&gt;1,"Duplicate ID",IF(OR(B457="",C457="",D457="",E457="",COUNT(F457:X457)&lt;&gt;19),"Missing / text input",IF(OR(COUNTIFS(Settings!$A$59:$A$64,B457)&lt;&gt;1,COUNTIFS(Settings!$A$29:$A$33,E457)&lt;&gt;1),"Unknown department / grade",IF(OR(F457&lt;=0,F457&gt;1,G457&lt;=0,L457&lt;=0,H457&lt;0,I457&lt;0,J457&lt;0,K457&lt;0,K457&gt;1,MIN(M457:X457)&lt;0,W457=0,V457&gt;W457,M457&gt;W457-V457,P457&gt;8,Q457&gt;4,R457&gt;12,S457&gt;12,T457&gt;1,AB457&lt;0),"Review quantity / rate",IF(OR(N457&gt;Settings!$C$17,AK457&gt;Settings!$C$19),"Review benefit ceiling","OK"))))))</x:f>
      </x:c>
    </x:row>
    <x:row r="458" ht="23" customHeight="1">
      <x:c r="A458" s="8"/>
      <x:c r="B458" s="8"/>
      <x:c r="C458" s="8"/>
      <x:c r="D458" s="8"/>
      <x:c r="E458" s="8"/>
      <x:c r="F458" s="20"/>
      <x:c r="G458" s="12"/>
      <x:c r="H458" s="21"/>
      <x:c r="I458" s="20"/>
      <x:c r="J458" s="20"/>
      <x:c r="K458" s="20"/>
      <x:c r="L458" s="12"/>
      <x:c r="M458" s="8"/>
      <x:c r="N458" s="12"/>
      <x:c r="O458" s="8"/>
      <x:c r="P458" s="8"/>
      <x:c r="Q458" s="8"/>
      <x:c r="R458" s="8"/>
      <x:c r="S458" s="8"/>
      <x:c r="T458" s="8"/>
      <x:c r="U458" s="12"/>
      <x:c r="V458" s="8"/>
      <x:c r="W458" s="8"/>
      <x:c r="X458" s="12"/>
      <x:c r="Y458" s="21"/>
      <x:c r="Z458" s="24" t="str">
        <x:f>IF($A458="","",INDEX(Settings!$C$29:$C$33,MATCH(E458,Settings!$A$29:$A$33,0)))</x:f>
      </x:c>
      <x:c r="AA458" s="22" t="str">
        <x:f>IF($A458="","",G458/Z458)</x:f>
      </x:c>
      <x:c r="AB458" s="25" t="str">
        <x:f>IF($A458="","",IF(ISNUMBER(Y458),Y458,Settings!$B$10))</x:f>
      </x:c>
      <x:c r="AC458" s="23" t="str">
        <x:f>IF($A458="","",G458*(1+AB458))</x:f>
      </x:c>
      <x:c r="AD458" s="23" t="str">
        <x:f>IF($A458="","",G458*F458*12)</x:f>
      </x:c>
      <x:c r="AE458" s="23" t="str">
        <x:f>IF($A458="","",G458*F458*J458)</x:f>
      </x:c>
      <x:c r="AF458" s="24" t="str">
        <x:f>IF($A458="","",L458*F458*K458*Settings!$B$13)</x:f>
      </x:c>
      <x:c r="AG458" s="23" t="str">
        <x:f>IF($A458="","",AD458*H458*I458)</x:f>
      </x:c>
      <x:c r="AH458" s="24" t="str">
        <x:f>IF($A458="","",SUM(AD458:AE458,AG458)*SUM(Settings!$B$11:$B$12))</x:f>
      </x:c>
      <x:c r="AI458" s="24" t="str">
        <x:f>IF($A458="","",M458*Settings!$B$16)</x:f>
      </x:c>
      <x:c r="AJ458" s="24" t="str">
        <x:f>IF($A458="","",M458*Settings!$B$15)</x:f>
      </x:c>
      <x:c r="AK458" s="24" t="str">
        <x:f>IF($A458="","",O458*Settings!$B$18)</x:f>
      </x:c>
      <x:c r="AL458" s="24" t="str">
        <x:f>IF($A458="","",P458*Settings!$B$20+Q458*Settings!$B$21+R458*Settings!$B$22+S458*Settings!$B$23)</x:f>
      </x:c>
      <x:c r="AM458" s="24" t="str">
        <x:f>IF($A458="","",T458*Settings!$B$24)</x:f>
      </x:c>
      <x:c r="AN458" s="23" t="str">
        <x:f>IF($A458="","",SUM(AI458,N458,AK458:AM458,U458))</x:f>
      </x:c>
      <x:c r="AO458" s="23" t="str">
        <x:f>IF($A458="","",SUM(AD458:AI458,N458,AK458:AM458,U458))</x:f>
      </x:c>
      <x:c r="AP458" s="24" t="str">
        <x:f>IF($A458="","",G458*F458*AB458*((13-Settings!$B$9)*(1+H458*I458)+J458)*(1+SUM(Settings!$B$11:$B$12)))</x:f>
      </x:c>
      <x:c r="AQ458" s="23" t="str">
        <x:f>IF($A458="","",SUM(AO458:AP458))</x:f>
      </x:c>
      <x:c r="AR458" s="23" t="str">
        <x:f>IF($A458="","",AQ458-X458)</x:f>
      </x:c>
      <x:c r="AS458" s="22" t="str">
        <x:f>IF($A458="","",IF(W458=0,"n.a.",V458/W458))</x:f>
      </x:c>
      <x:c r="AT458" s="26" t="str">
        <x:f>IF($A458="",IF(COUNTA(B458:Y458)&gt;0,"Missing ID",""),IF(COUNTIFS($A$9:$A$508,A458)&gt;1,"Duplicate ID",IF(OR(B458="",C458="",D458="",E458="",COUNT(F458:X458)&lt;&gt;19),"Missing / text input",IF(OR(COUNTIFS(Settings!$A$59:$A$64,B458)&lt;&gt;1,COUNTIFS(Settings!$A$29:$A$33,E458)&lt;&gt;1),"Unknown department / grade",IF(OR(F458&lt;=0,F458&gt;1,G458&lt;=0,L458&lt;=0,H458&lt;0,I458&lt;0,J458&lt;0,K458&lt;0,K458&gt;1,MIN(M458:X458)&lt;0,W458=0,V458&gt;W458,M458&gt;W458-V458,P458&gt;8,Q458&gt;4,R458&gt;12,S458&gt;12,T458&gt;1,AB458&lt;0),"Review quantity / rate",IF(OR(N458&gt;Settings!$C$17,AK458&gt;Settings!$C$19),"Review benefit ceiling","OK"))))))</x:f>
      </x:c>
    </x:row>
    <x:row r="459" ht="23" customHeight="1">
      <x:c r="A459" s="8"/>
      <x:c r="B459" s="8"/>
      <x:c r="C459" s="8"/>
      <x:c r="D459" s="8"/>
      <x:c r="E459" s="8"/>
      <x:c r="F459" s="20"/>
      <x:c r="G459" s="12"/>
      <x:c r="H459" s="21"/>
      <x:c r="I459" s="20"/>
      <x:c r="J459" s="20"/>
      <x:c r="K459" s="20"/>
      <x:c r="L459" s="12"/>
      <x:c r="M459" s="8"/>
      <x:c r="N459" s="12"/>
      <x:c r="O459" s="8"/>
      <x:c r="P459" s="8"/>
      <x:c r="Q459" s="8"/>
      <x:c r="R459" s="8"/>
      <x:c r="S459" s="8"/>
      <x:c r="T459" s="8"/>
      <x:c r="U459" s="12"/>
      <x:c r="V459" s="8"/>
      <x:c r="W459" s="8"/>
      <x:c r="X459" s="12"/>
      <x:c r="Y459" s="21"/>
      <x:c r="Z459" s="24" t="str">
        <x:f>IF($A459="","",INDEX(Settings!$C$29:$C$33,MATCH(E459,Settings!$A$29:$A$33,0)))</x:f>
      </x:c>
      <x:c r="AA459" s="22" t="str">
        <x:f>IF($A459="","",G459/Z459)</x:f>
      </x:c>
      <x:c r="AB459" s="25" t="str">
        <x:f>IF($A459="","",IF(ISNUMBER(Y459),Y459,Settings!$B$10))</x:f>
      </x:c>
      <x:c r="AC459" s="23" t="str">
        <x:f>IF($A459="","",G459*(1+AB459))</x:f>
      </x:c>
      <x:c r="AD459" s="23" t="str">
        <x:f>IF($A459="","",G459*F459*12)</x:f>
      </x:c>
      <x:c r="AE459" s="23" t="str">
        <x:f>IF($A459="","",G459*F459*J459)</x:f>
      </x:c>
      <x:c r="AF459" s="24" t="str">
        <x:f>IF($A459="","",L459*F459*K459*Settings!$B$13)</x:f>
      </x:c>
      <x:c r="AG459" s="23" t="str">
        <x:f>IF($A459="","",AD459*H459*I459)</x:f>
      </x:c>
      <x:c r="AH459" s="24" t="str">
        <x:f>IF($A459="","",SUM(AD459:AE459,AG459)*SUM(Settings!$B$11:$B$12))</x:f>
      </x:c>
      <x:c r="AI459" s="24" t="str">
        <x:f>IF($A459="","",M459*Settings!$B$16)</x:f>
      </x:c>
      <x:c r="AJ459" s="24" t="str">
        <x:f>IF($A459="","",M459*Settings!$B$15)</x:f>
      </x:c>
      <x:c r="AK459" s="24" t="str">
        <x:f>IF($A459="","",O459*Settings!$B$18)</x:f>
      </x:c>
      <x:c r="AL459" s="24" t="str">
        <x:f>IF($A459="","",P459*Settings!$B$20+Q459*Settings!$B$21+R459*Settings!$B$22+S459*Settings!$B$23)</x:f>
      </x:c>
      <x:c r="AM459" s="24" t="str">
        <x:f>IF($A459="","",T459*Settings!$B$24)</x:f>
      </x:c>
      <x:c r="AN459" s="23" t="str">
        <x:f>IF($A459="","",SUM(AI459,N459,AK459:AM459,U459))</x:f>
      </x:c>
      <x:c r="AO459" s="23" t="str">
        <x:f>IF($A459="","",SUM(AD459:AI459,N459,AK459:AM459,U459))</x:f>
      </x:c>
      <x:c r="AP459" s="24" t="str">
        <x:f>IF($A459="","",G459*F459*AB459*((13-Settings!$B$9)*(1+H459*I459)+J459)*(1+SUM(Settings!$B$11:$B$12)))</x:f>
      </x:c>
      <x:c r="AQ459" s="23" t="str">
        <x:f>IF($A459="","",SUM(AO459:AP459))</x:f>
      </x:c>
      <x:c r="AR459" s="23" t="str">
        <x:f>IF($A459="","",AQ459-X459)</x:f>
      </x:c>
      <x:c r="AS459" s="22" t="str">
        <x:f>IF($A459="","",IF(W459=0,"n.a.",V459/W459))</x:f>
      </x:c>
      <x:c r="AT459" s="26" t="str">
        <x:f>IF($A459="",IF(COUNTA(B459:Y459)&gt;0,"Missing ID",""),IF(COUNTIFS($A$9:$A$508,A459)&gt;1,"Duplicate ID",IF(OR(B459="",C459="",D459="",E459="",COUNT(F459:X459)&lt;&gt;19),"Missing / text input",IF(OR(COUNTIFS(Settings!$A$59:$A$64,B459)&lt;&gt;1,COUNTIFS(Settings!$A$29:$A$33,E459)&lt;&gt;1),"Unknown department / grade",IF(OR(F459&lt;=0,F459&gt;1,G459&lt;=0,L459&lt;=0,H459&lt;0,I459&lt;0,J459&lt;0,K459&lt;0,K459&gt;1,MIN(M459:X459)&lt;0,W459=0,V459&gt;W459,M459&gt;W459-V459,P459&gt;8,Q459&gt;4,R459&gt;12,S459&gt;12,T459&gt;1,AB459&lt;0),"Review quantity / rate",IF(OR(N459&gt;Settings!$C$17,AK459&gt;Settings!$C$19),"Review benefit ceiling","OK"))))))</x:f>
      </x:c>
    </x:row>
    <x:row r="460" ht="23" customHeight="1">
      <x:c r="A460" s="8"/>
      <x:c r="B460" s="8"/>
      <x:c r="C460" s="8"/>
      <x:c r="D460" s="8"/>
      <x:c r="E460" s="8"/>
      <x:c r="F460" s="20"/>
      <x:c r="G460" s="12"/>
      <x:c r="H460" s="21"/>
      <x:c r="I460" s="20"/>
      <x:c r="J460" s="20"/>
      <x:c r="K460" s="20"/>
      <x:c r="L460" s="12"/>
      <x:c r="M460" s="8"/>
      <x:c r="N460" s="12"/>
      <x:c r="O460" s="8"/>
      <x:c r="P460" s="8"/>
      <x:c r="Q460" s="8"/>
      <x:c r="R460" s="8"/>
      <x:c r="S460" s="8"/>
      <x:c r="T460" s="8"/>
      <x:c r="U460" s="12"/>
      <x:c r="V460" s="8"/>
      <x:c r="W460" s="8"/>
      <x:c r="X460" s="12"/>
      <x:c r="Y460" s="21"/>
      <x:c r="Z460" s="24" t="str">
        <x:f>IF($A460="","",INDEX(Settings!$C$29:$C$33,MATCH(E460,Settings!$A$29:$A$33,0)))</x:f>
      </x:c>
      <x:c r="AA460" s="22" t="str">
        <x:f>IF($A460="","",G460/Z460)</x:f>
      </x:c>
      <x:c r="AB460" s="25" t="str">
        <x:f>IF($A460="","",IF(ISNUMBER(Y460),Y460,Settings!$B$10))</x:f>
      </x:c>
      <x:c r="AC460" s="23" t="str">
        <x:f>IF($A460="","",G460*(1+AB460))</x:f>
      </x:c>
      <x:c r="AD460" s="23" t="str">
        <x:f>IF($A460="","",G460*F460*12)</x:f>
      </x:c>
      <x:c r="AE460" s="23" t="str">
        <x:f>IF($A460="","",G460*F460*J460)</x:f>
      </x:c>
      <x:c r="AF460" s="24" t="str">
        <x:f>IF($A460="","",L460*F460*K460*Settings!$B$13)</x:f>
      </x:c>
      <x:c r="AG460" s="23" t="str">
        <x:f>IF($A460="","",AD460*H460*I460)</x:f>
      </x:c>
      <x:c r="AH460" s="24" t="str">
        <x:f>IF($A460="","",SUM(AD460:AE460,AG460)*SUM(Settings!$B$11:$B$12))</x:f>
      </x:c>
      <x:c r="AI460" s="24" t="str">
        <x:f>IF($A460="","",M460*Settings!$B$16)</x:f>
      </x:c>
      <x:c r="AJ460" s="24" t="str">
        <x:f>IF($A460="","",M460*Settings!$B$15)</x:f>
      </x:c>
      <x:c r="AK460" s="24" t="str">
        <x:f>IF($A460="","",O460*Settings!$B$18)</x:f>
      </x:c>
      <x:c r="AL460" s="24" t="str">
        <x:f>IF($A460="","",P460*Settings!$B$20+Q460*Settings!$B$21+R460*Settings!$B$22+S460*Settings!$B$23)</x:f>
      </x:c>
      <x:c r="AM460" s="24" t="str">
        <x:f>IF($A460="","",T460*Settings!$B$24)</x:f>
      </x:c>
      <x:c r="AN460" s="23" t="str">
        <x:f>IF($A460="","",SUM(AI460,N460,AK460:AM460,U460))</x:f>
      </x:c>
      <x:c r="AO460" s="23" t="str">
        <x:f>IF($A460="","",SUM(AD460:AI460,N460,AK460:AM460,U460))</x:f>
      </x:c>
      <x:c r="AP460" s="24" t="str">
        <x:f>IF($A460="","",G460*F460*AB460*((13-Settings!$B$9)*(1+H460*I460)+J460)*(1+SUM(Settings!$B$11:$B$12)))</x:f>
      </x:c>
      <x:c r="AQ460" s="23" t="str">
        <x:f>IF($A460="","",SUM(AO460:AP460))</x:f>
      </x:c>
      <x:c r="AR460" s="23" t="str">
        <x:f>IF($A460="","",AQ460-X460)</x:f>
      </x:c>
      <x:c r="AS460" s="22" t="str">
        <x:f>IF($A460="","",IF(W460=0,"n.a.",V460/W460))</x:f>
      </x:c>
      <x:c r="AT460" s="26" t="str">
        <x:f>IF($A460="",IF(COUNTA(B460:Y460)&gt;0,"Missing ID",""),IF(COUNTIFS($A$9:$A$508,A460)&gt;1,"Duplicate ID",IF(OR(B460="",C460="",D460="",E460="",COUNT(F460:X460)&lt;&gt;19),"Missing / text input",IF(OR(COUNTIFS(Settings!$A$59:$A$64,B460)&lt;&gt;1,COUNTIFS(Settings!$A$29:$A$33,E460)&lt;&gt;1),"Unknown department / grade",IF(OR(F460&lt;=0,F460&gt;1,G460&lt;=0,L460&lt;=0,H460&lt;0,I460&lt;0,J460&lt;0,K460&lt;0,K460&gt;1,MIN(M460:X460)&lt;0,W460=0,V460&gt;W460,M460&gt;W460-V460,P460&gt;8,Q460&gt;4,R460&gt;12,S460&gt;12,T460&gt;1,AB460&lt;0),"Review quantity / rate",IF(OR(N460&gt;Settings!$C$17,AK460&gt;Settings!$C$19),"Review benefit ceiling","OK"))))))</x:f>
      </x:c>
    </x:row>
    <x:row r="461" ht="23" customHeight="1">
      <x:c r="A461" s="8"/>
      <x:c r="B461" s="8"/>
      <x:c r="C461" s="8"/>
      <x:c r="D461" s="8"/>
      <x:c r="E461" s="8"/>
      <x:c r="F461" s="20"/>
      <x:c r="G461" s="12"/>
      <x:c r="H461" s="21"/>
      <x:c r="I461" s="20"/>
      <x:c r="J461" s="20"/>
      <x:c r="K461" s="20"/>
      <x:c r="L461" s="12"/>
      <x:c r="M461" s="8"/>
      <x:c r="N461" s="12"/>
      <x:c r="O461" s="8"/>
      <x:c r="P461" s="8"/>
      <x:c r="Q461" s="8"/>
      <x:c r="R461" s="8"/>
      <x:c r="S461" s="8"/>
      <x:c r="T461" s="8"/>
      <x:c r="U461" s="12"/>
      <x:c r="V461" s="8"/>
      <x:c r="W461" s="8"/>
      <x:c r="X461" s="12"/>
      <x:c r="Y461" s="21"/>
      <x:c r="Z461" s="24" t="str">
        <x:f>IF($A461="","",INDEX(Settings!$C$29:$C$33,MATCH(E461,Settings!$A$29:$A$33,0)))</x:f>
      </x:c>
      <x:c r="AA461" s="22" t="str">
        <x:f>IF($A461="","",G461/Z461)</x:f>
      </x:c>
      <x:c r="AB461" s="25" t="str">
        <x:f>IF($A461="","",IF(ISNUMBER(Y461),Y461,Settings!$B$10))</x:f>
      </x:c>
      <x:c r="AC461" s="23" t="str">
        <x:f>IF($A461="","",G461*(1+AB461))</x:f>
      </x:c>
      <x:c r="AD461" s="23" t="str">
        <x:f>IF($A461="","",G461*F461*12)</x:f>
      </x:c>
      <x:c r="AE461" s="23" t="str">
        <x:f>IF($A461="","",G461*F461*J461)</x:f>
      </x:c>
      <x:c r="AF461" s="24" t="str">
        <x:f>IF($A461="","",L461*F461*K461*Settings!$B$13)</x:f>
      </x:c>
      <x:c r="AG461" s="23" t="str">
        <x:f>IF($A461="","",AD461*H461*I461)</x:f>
      </x:c>
      <x:c r="AH461" s="24" t="str">
        <x:f>IF($A461="","",SUM(AD461:AE461,AG461)*SUM(Settings!$B$11:$B$12))</x:f>
      </x:c>
      <x:c r="AI461" s="24" t="str">
        <x:f>IF($A461="","",M461*Settings!$B$16)</x:f>
      </x:c>
      <x:c r="AJ461" s="24" t="str">
        <x:f>IF($A461="","",M461*Settings!$B$15)</x:f>
      </x:c>
      <x:c r="AK461" s="24" t="str">
        <x:f>IF($A461="","",O461*Settings!$B$18)</x:f>
      </x:c>
      <x:c r="AL461" s="24" t="str">
        <x:f>IF($A461="","",P461*Settings!$B$20+Q461*Settings!$B$21+R461*Settings!$B$22+S461*Settings!$B$23)</x:f>
      </x:c>
      <x:c r="AM461" s="24" t="str">
        <x:f>IF($A461="","",T461*Settings!$B$24)</x:f>
      </x:c>
      <x:c r="AN461" s="23" t="str">
        <x:f>IF($A461="","",SUM(AI461,N461,AK461:AM461,U461))</x:f>
      </x:c>
      <x:c r="AO461" s="23" t="str">
        <x:f>IF($A461="","",SUM(AD461:AI461,N461,AK461:AM461,U461))</x:f>
      </x:c>
      <x:c r="AP461" s="24" t="str">
        <x:f>IF($A461="","",G461*F461*AB461*((13-Settings!$B$9)*(1+H461*I461)+J461)*(1+SUM(Settings!$B$11:$B$12)))</x:f>
      </x:c>
      <x:c r="AQ461" s="23" t="str">
        <x:f>IF($A461="","",SUM(AO461:AP461))</x:f>
      </x:c>
      <x:c r="AR461" s="23" t="str">
        <x:f>IF($A461="","",AQ461-X461)</x:f>
      </x:c>
      <x:c r="AS461" s="22" t="str">
        <x:f>IF($A461="","",IF(W461=0,"n.a.",V461/W461))</x:f>
      </x:c>
      <x:c r="AT461" s="26" t="str">
        <x:f>IF($A461="",IF(COUNTA(B461:Y461)&gt;0,"Missing ID",""),IF(COUNTIFS($A$9:$A$508,A461)&gt;1,"Duplicate ID",IF(OR(B461="",C461="",D461="",E461="",COUNT(F461:X461)&lt;&gt;19),"Missing / text input",IF(OR(COUNTIFS(Settings!$A$59:$A$64,B461)&lt;&gt;1,COUNTIFS(Settings!$A$29:$A$33,E461)&lt;&gt;1),"Unknown department / grade",IF(OR(F461&lt;=0,F461&gt;1,G461&lt;=0,L461&lt;=0,H461&lt;0,I461&lt;0,J461&lt;0,K461&lt;0,K461&gt;1,MIN(M461:X461)&lt;0,W461=0,V461&gt;W461,M461&gt;W461-V461,P461&gt;8,Q461&gt;4,R461&gt;12,S461&gt;12,T461&gt;1,AB461&lt;0),"Review quantity / rate",IF(OR(N461&gt;Settings!$C$17,AK461&gt;Settings!$C$19),"Review benefit ceiling","OK"))))))</x:f>
      </x:c>
    </x:row>
    <x:row r="462" ht="23" customHeight="1">
      <x:c r="A462" s="8"/>
      <x:c r="B462" s="8"/>
      <x:c r="C462" s="8"/>
      <x:c r="D462" s="8"/>
      <x:c r="E462" s="8"/>
      <x:c r="F462" s="20"/>
      <x:c r="G462" s="12"/>
      <x:c r="H462" s="21"/>
      <x:c r="I462" s="20"/>
      <x:c r="J462" s="20"/>
      <x:c r="K462" s="20"/>
      <x:c r="L462" s="12"/>
      <x:c r="M462" s="8"/>
      <x:c r="N462" s="12"/>
      <x:c r="O462" s="8"/>
      <x:c r="P462" s="8"/>
      <x:c r="Q462" s="8"/>
      <x:c r="R462" s="8"/>
      <x:c r="S462" s="8"/>
      <x:c r="T462" s="8"/>
      <x:c r="U462" s="12"/>
      <x:c r="V462" s="8"/>
      <x:c r="W462" s="8"/>
      <x:c r="X462" s="12"/>
      <x:c r="Y462" s="21"/>
      <x:c r="Z462" s="24" t="str">
        <x:f>IF($A462="","",INDEX(Settings!$C$29:$C$33,MATCH(E462,Settings!$A$29:$A$33,0)))</x:f>
      </x:c>
      <x:c r="AA462" s="22" t="str">
        <x:f>IF($A462="","",G462/Z462)</x:f>
      </x:c>
      <x:c r="AB462" s="25" t="str">
        <x:f>IF($A462="","",IF(ISNUMBER(Y462),Y462,Settings!$B$10))</x:f>
      </x:c>
      <x:c r="AC462" s="23" t="str">
        <x:f>IF($A462="","",G462*(1+AB462))</x:f>
      </x:c>
      <x:c r="AD462" s="23" t="str">
        <x:f>IF($A462="","",G462*F462*12)</x:f>
      </x:c>
      <x:c r="AE462" s="23" t="str">
        <x:f>IF($A462="","",G462*F462*J462)</x:f>
      </x:c>
      <x:c r="AF462" s="24" t="str">
        <x:f>IF($A462="","",L462*F462*K462*Settings!$B$13)</x:f>
      </x:c>
      <x:c r="AG462" s="23" t="str">
        <x:f>IF($A462="","",AD462*H462*I462)</x:f>
      </x:c>
      <x:c r="AH462" s="24" t="str">
        <x:f>IF($A462="","",SUM(AD462:AE462,AG462)*SUM(Settings!$B$11:$B$12))</x:f>
      </x:c>
      <x:c r="AI462" s="24" t="str">
        <x:f>IF($A462="","",M462*Settings!$B$16)</x:f>
      </x:c>
      <x:c r="AJ462" s="24" t="str">
        <x:f>IF($A462="","",M462*Settings!$B$15)</x:f>
      </x:c>
      <x:c r="AK462" s="24" t="str">
        <x:f>IF($A462="","",O462*Settings!$B$18)</x:f>
      </x:c>
      <x:c r="AL462" s="24" t="str">
        <x:f>IF($A462="","",P462*Settings!$B$20+Q462*Settings!$B$21+R462*Settings!$B$22+S462*Settings!$B$23)</x:f>
      </x:c>
      <x:c r="AM462" s="24" t="str">
        <x:f>IF($A462="","",T462*Settings!$B$24)</x:f>
      </x:c>
      <x:c r="AN462" s="23" t="str">
        <x:f>IF($A462="","",SUM(AI462,N462,AK462:AM462,U462))</x:f>
      </x:c>
      <x:c r="AO462" s="23" t="str">
        <x:f>IF($A462="","",SUM(AD462:AI462,N462,AK462:AM462,U462))</x:f>
      </x:c>
      <x:c r="AP462" s="24" t="str">
        <x:f>IF($A462="","",G462*F462*AB462*((13-Settings!$B$9)*(1+H462*I462)+J462)*(1+SUM(Settings!$B$11:$B$12)))</x:f>
      </x:c>
      <x:c r="AQ462" s="23" t="str">
        <x:f>IF($A462="","",SUM(AO462:AP462))</x:f>
      </x:c>
      <x:c r="AR462" s="23" t="str">
        <x:f>IF($A462="","",AQ462-X462)</x:f>
      </x:c>
      <x:c r="AS462" s="22" t="str">
        <x:f>IF($A462="","",IF(W462=0,"n.a.",V462/W462))</x:f>
      </x:c>
      <x:c r="AT462" s="26" t="str">
        <x:f>IF($A462="",IF(COUNTA(B462:Y462)&gt;0,"Missing ID",""),IF(COUNTIFS($A$9:$A$508,A462)&gt;1,"Duplicate ID",IF(OR(B462="",C462="",D462="",E462="",COUNT(F462:X462)&lt;&gt;19),"Missing / text input",IF(OR(COUNTIFS(Settings!$A$59:$A$64,B462)&lt;&gt;1,COUNTIFS(Settings!$A$29:$A$33,E462)&lt;&gt;1),"Unknown department / grade",IF(OR(F462&lt;=0,F462&gt;1,G462&lt;=0,L462&lt;=0,H462&lt;0,I462&lt;0,J462&lt;0,K462&lt;0,K462&gt;1,MIN(M462:X462)&lt;0,W462=0,V462&gt;W462,M462&gt;W462-V462,P462&gt;8,Q462&gt;4,R462&gt;12,S462&gt;12,T462&gt;1,AB462&lt;0),"Review quantity / rate",IF(OR(N462&gt;Settings!$C$17,AK462&gt;Settings!$C$19),"Review benefit ceiling","OK"))))))</x:f>
      </x:c>
    </x:row>
    <x:row r="463" ht="23" customHeight="1">
      <x:c r="A463" s="8"/>
      <x:c r="B463" s="8"/>
      <x:c r="C463" s="8"/>
      <x:c r="D463" s="8"/>
      <x:c r="E463" s="8"/>
      <x:c r="F463" s="20"/>
      <x:c r="G463" s="12"/>
      <x:c r="H463" s="21"/>
      <x:c r="I463" s="20"/>
      <x:c r="J463" s="20"/>
      <x:c r="K463" s="20"/>
      <x:c r="L463" s="12"/>
      <x:c r="M463" s="8"/>
      <x:c r="N463" s="12"/>
      <x:c r="O463" s="8"/>
      <x:c r="P463" s="8"/>
      <x:c r="Q463" s="8"/>
      <x:c r="R463" s="8"/>
      <x:c r="S463" s="8"/>
      <x:c r="T463" s="8"/>
      <x:c r="U463" s="12"/>
      <x:c r="V463" s="8"/>
      <x:c r="W463" s="8"/>
      <x:c r="X463" s="12"/>
      <x:c r="Y463" s="21"/>
      <x:c r="Z463" s="24" t="str">
        <x:f>IF($A463="","",INDEX(Settings!$C$29:$C$33,MATCH(E463,Settings!$A$29:$A$33,0)))</x:f>
      </x:c>
      <x:c r="AA463" s="22" t="str">
        <x:f>IF($A463="","",G463/Z463)</x:f>
      </x:c>
      <x:c r="AB463" s="25" t="str">
        <x:f>IF($A463="","",IF(ISNUMBER(Y463),Y463,Settings!$B$10))</x:f>
      </x:c>
      <x:c r="AC463" s="23" t="str">
        <x:f>IF($A463="","",G463*(1+AB463))</x:f>
      </x:c>
      <x:c r="AD463" s="23" t="str">
        <x:f>IF($A463="","",G463*F463*12)</x:f>
      </x:c>
      <x:c r="AE463" s="23" t="str">
        <x:f>IF($A463="","",G463*F463*J463)</x:f>
      </x:c>
      <x:c r="AF463" s="24" t="str">
        <x:f>IF($A463="","",L463*F463*K463*Settings!$B$13)</x:f>
      </x:c>
      <x:c r="AG463" s="23" t="str">
        <x:f>IF($A463="","",AD463*H463*I463)</x:f>
      </x:c>
      <x:c r="AH463" s="24" t="str">
        <x:f>IF($A463="","",SUM(AD463:AE463,AG463)*SUM(Settings!$B$11:$B$12))</x:f>
      </x:c>
      <x:c r="AI463" s="24" t="str">
        <x:f>IF($A463="","",M463*Settings!$B$16)</x:f>
      </x:c>
      <x:c r="AJ463" s="24" t="str">
        <x:f>IF($A463="","",M463*Settings!$B$15)</x:f>
      </x:c>
      <x:c r="AK463" s="24" t="str">
        <x:f>IF($A463="","",O463*Settings!$B$18)</x:f>
      </x:c>
      <x:c r="AL463" s="24" t="str">
        <x:f>IF($A463="","",P463*Settings!$B$20+Q463*Settings!$B$21+R463*Settings!$B$22+S463*Settings!$B$23)</x:f>
      </x:c>
      <x:c r="AM463" s="24" t="str">
        <x:f>IF($A463="","",T463*Settings!$B$24)</x:f>
      </x:c>
      <x:c r="AN463" s="23" t="str">
        <x:f>IF($A463="","",SUM(AI463,N463,AK463:AM463,U463))</x:f>
      </x:c>
      <x:c r="AO463" s="23" t="str">
        <x:f>IF($A463="","",SUM(AD463:AI463,N463,AK463:AM463,U463))</x:f>
      </x:c>
      <x:c r="AP463" s="24" t="str">
        <x:f>IF($A463="","",G463*F463*AB463*((13-Settings!$B$9)*(1+H463*I463)+J463)*(1+SUM(Settings!$B$11:$B$12)))</x:f>
      </x:c>
      <x:c r="AQ463" s="23" t="str">
        <x:f>IF($A463="","",SUM(AO463:AP463))</x:f>
      </x:c>
      <x:c r="AR463" s="23" t="str">
        <x:f>IF($A463="","",AQ463-X463)</x:f>
      </x:c>
      <x:c r="AS463" s="22" t="str">
        <x:f>IF($A463="","",IF(W463=0,"n.a.",V463/W463))</x:f>
      </x:c>
      <x:c r="AT463" s="26" t="str">
        <x:f>IF($A463="",IF(COUNTA(B463:Y463)&gt;0,"Missing ID",""),IF(COUNTIFS($A$9:$A$508,A463)&gt;1,"Duplicate ID",IF(OR(B463="",C463="",D463="",E463="",COUNT(F463:X463)&lt;&gt;19),"Missing / text input",IF(OR(COUNTIFS(Settings!$A$59:$A$64,B463)&lt;&gt;1,COUNTIFS(Settings!$A$29:$A$33,E463)&lt;&gt;1),"Unknown department / grade",IF(OR(F463&lt;=0,F463&gt;1,G463&lt;=0,L463&lt;=0,H463&lt;0,I463&lt;0,J463&lt;0,K463&lt;0,K463&gt;1,MIN(M463:X463)&lt;0,W463=0,V463&gt;W463,M463&gt;W463-V463,P463&gt;8,Q463&gt;4,R463&gt;12,S463&gt;12,T463&gt;1,AB463&lt;0),"Review quantity / rate",IF(OR(N463&gt;Settings!$C$17,AK463&gt;Settings!$C$19),"Review benefit ceiling","OK"))))))</x:f>
      </x:c>
    </x:row>
    <x:row r="464" ht="23" customHeight="1">
      <x:c r="A464" s="8"/>
      <x:c r="B464" s="8"/>
      <x:c r="C464" s="8"/>
      <x:c r="D464" s="8"/>
      <x:c r="E464" s="8"/>
      <x:c r="F464" s="20"/>
      <x:c r="G464" s="12"/>
      <x:c r="H464" s="21"/>
      <x:c r="I464" s="20"/>
      <x:c r="J464" s="20"/>
      <x:c r="K464" s="20"/>
      <x:c r="L464" s="12"/>
      <x:c r="M464" s="8"/>
      <x:c r="N464" s="12"/>
      <x:c r="O464" s="8"/>
      <x:c r="P464" s="8"/>
      <x:c r="Q464" s="8"/>
      <x:c r="R464" s="8"/>
      <x:c r="S464" s="8"/>
      <x:c r="T464" s="8"/>
      <x:c r="U464" s="12"/>
      <x:c r="V464" s="8"/>
      <x:c r="W464" s="8"/>
      <x:c r="X464" s="12"/>
      <x:c r="Y464" s="21"/>
      <x:c r="Z464" s="24" t="str">
        <x:f>IF($A464="","",INDEX(Settings!$C$29:$C$33,MATCH(E464,Settings!$A$29:$A$33,0)))</x:f>
      </x:c>
      <x:c r="AA464" s="22" t="str">
        <x:f>IF($A464="","",G464/Z464)</x:f>
      </x:c>
      <x:c r="AB464" s="25" t="str">
        <x:f>IF($A464="","",IF(ISNUMBER(Y464),Y464,Settings!$B$10))</x:f>
      </x:c>
      <x:c r="AC464" s="23" t="str">
        <x:f>IF($A464="","",G464*(1+AB464))</x:f>
      </x:c>
      <x:c r="AD464" s="23" t="str">
        <x:f>IF($A464="","",G464*F464*12)</x:f>
      </x:c>
      <x:c r="AE464" s="23" t="str">
        <x:f>IF($A464="","",G464*F464*J464)</x:f>
      </x:c>
      <x:c r="AF464" s="24" t="str">
        <x:f>IF($A464="","",L464*F464*K464*Settings!$B$13)</x:f>
      </x:c>
      <x:c r="AG464" s="23" t="str">
        <x:f>IF($A464="","",AD464*H464*I464)</x:f>
      </x:c>
      <x:c r="AH464" s="24" t="str">
        <x:f>IF($A464="","",SUM(AD464:AE464,AG464)*SUM(Settings!$B$11:$B$12))</x:f>
      </x:c>
      <x:c r="AI464" s="24" t="str">
        <x:f>IF($A464="","",M464*Settings!$B$16)</x:f>
      </x:c>
      <x:c r="AJ464" s="24" t="str">
        <x:f>IF($A464="","",M464*Settings!$B$15)</x:f>
      </x:c>
      <x:c r="AK464" s="24" t="str">
        <x:f>IF($A464="","",O464*Settings!$B$18)</x:f>
      </x:c>
      <x:c r="AL464" s="24" t="str">
        <x:f>IF($A464="","",P464*Settings!$B$20+Q464*Settings!$B$21+R464*Settings!$B$22+S464*Settings!$B$23)</x:f>
      </x:c>
      <x:c r="AM464" s="24" t="str">
        <x:f>IF($A464="","",T464*Settings!$B$24)</x:f>
      </x:c>
      <x:c r="AN464" s="23" t="str">
        <x:f>IF($A464="","",SUM(AI464,N464,AK464:AM464,U464))</x:f>
      </x:c>
      <x:c r="AO464" s="23" t="str">
        <x:f>IF($A464="","",SUM(AD464:AI464,N464,AK464:AM464,U464))</x:f>
      </x:c>
      <x:c r="AP464" s="24" t="str">
        <x:f>IF($A464="","",G464*F464*AB464*((13-Settings!$B$9)*(1+H464*I464)+J464)*(1+SUM(Settings!$B$11:$B$12)))</x:f>
      </x:c>
      <x:c r="AQ464" s="23" t="str">
        <x:f>IF($A464="","",SUM(AO464:AP464))</x:f>
      </x:c>
      <x:c r="AR464" s="23" t="str">
        <x:f>IF($A464="","",AQ464-X464)</x:f>
      </x:c>
      <x:c r="AS464" s="22" t="str">
        <x:f>IF($A464="","",IF(W464=0,"n.a.",V464/W464))</x:f>
      </x:c>
      <x:c r="AT464" s="26" t="str">
        <x:f>IF($A464="",IF(COUNTA(B464:Y464)&gt;0,"Missing ID",""),IF(COUNTIFS($A$9:$A$508,A464)&gt;1,"Duplicate ID",IF(OR(B464="",C464="",D464="",E464="",COUNT(F464:X464)&lt;&gt;19),"Missing / text input",IF(OR(COUNTIFS(Settings!$A$59:$A$64,B464)&lt;&gt;1,COUNTIFS(Settings!$A$29:$A$33,E464)&lt;&gt;1),"Unknown department / grade",IF(OR(F464&lt;=0,F464&gt;1,G464&lt;=0,L464&lt;=0,H464&lt;0,I464&lt;0,J464&lt;0,K464&lt;0,K464&gt;1,MIN(M464:X464)&lt;0,W464=0,V464&gt;W464,M464&gt;W464-V464,P464&gt;8,Q464&gt;4,R464&gt;12,S464&gt;12,T464&gt;1,AB464&lt;0),"Review quantity / rate",IF(OR(N464&gt;Settings!$C$17,AK464&gt;Settings!$C$19),"Review benefit ceiling","OK"))))))</x:f>
      </x:c>
    </x:row>
    <x:row r="465" ht="23" customHeight="1">
      <x:c r="A465" s="8"/>
      <x:c r="B465" s="8"/>
      <x:c r="C465" s="8"/>
      <x:c r="D465" s="8"/>
      <x:c r="E465" s="8"/>
      <x:c r="F465" s="20"/>
      <x:c r="G465" s="12"/>
      <x:c r="H465" s="21"/>
      <x:c r="I465" s="20"/>
      <x:c r="J465" s="20"/>
      <x:c r="K465" s="20"/>
      <x:c r="L465" s="12"/>
      <x:c r="M465" s="8"/>
      <x:c r="N465" s="12"/>
      <x:c r="O465" s="8"/>
      <x:c r="P465" s="8"/>
      <x:c r="Q465" s="8"/>
      <x:c r="R465" s="8"/>
      <x:c r="S465" s="8"/>
      <x:c r="T465" s="8"/>
      <x:c r="U465" s="12"/>
      <x:c r="V465" s="8"/>
      <x:c r="W465" s="8"/>
      <x:c r="X465" s="12"/>
      <x:c r="Y465" s="21"/>
      <x:c r="Z465" s="24" t="str">
        <x:f>IF($A465="","",INDEX(Settings!$C$29:$C$33,MATCH(E465,Settings!$A$29:$A$33,0)))</x:f>
      </x:c>
      <x:c r="AA465" s="22" t="str">
        <x:f>IF($A465="","",G465/Z465)</x:f>
      </x:c>
      <x:c r="AB465" s="25" t="str">
        <x:f>IF($A465="","",IF(ISNUMBER(Y465),Y465,Settings!$B$10))</x:f>
      </x:c>
      <x:c r="AC465" s="23" t="str">
        <x:f>IF($A465="","",G465*(1+AB465))</x:f>
      </x:c>
      <x:c r="AD465" s="23" t="str">
        <x:f>IF($A465="","",G465*F465*12)</x:f>
      </x:c>
      <x:c r="AE465" s="23" t="str">
        <x:f>IF($A465="","",G465*F465*J465)</x:f>
      </x:c>
      <x:c r="AF465" s="24" t="str">
        <x:f>IF($A465="","",L465*F465*K465*Settings!$B$13)</x:f>
      </x:c>
      <x:c r="AG465" s="23" t="str">
        <x:f>IF($A465="","",AD465*H465*I465)</x:f>
      </x:c>
      <x:c r="AH465" s="24" t="str">
        <x:f>IF($A465="","",SUM(AD465:AE465,AG465)*SUM(Settings!$B$11:$B$12))</x:f>
      </x:c>
      <x:c r="AI465" s="24" t="str">
        <x:f>IF($A465="","",M465*Settings!$B$16)</x:f>
      </x:c>
      <x:c r="AJ465" s="24" t="str">
        <x:f>IF($A465="","",M465*Settings!$B$15)</x:f>
      </x:c>
      <x:c r="AK465" s="24" t="str">
        <x:f>IF($A465="","",O465*Settings!$B$18)</x:f>
      </x:c>
      <x:c r="AL465" s="24" t="str">
        <x:f>IF($A465="","",P465*Settings!$B$20+Q465*Settings!$B$21+R465*Settings!$B$22+S465*Settings!$B$23)</x:f>
      </x:c>
      <x:c r="AM465" s="24" t="str">
        <x:f>IF($A465="","",T465*Settings!$B$24)</x:f>
      </x:c>
      <x:c r="AN465" s="23" t="str">
        <x:f>IF($A465="","",SUM(AI465,N465,AK465:AM465,U465))</x:f>
      </x:c>
      <x:c r="AO465" s="23" t="str">
        <x:f>IF($A465="","",SUM(AD465:AI465,N465,AK465:AM465,U465))</x:f>
      </x:c>
      <x:c r="AP465" s="24" t="str">
        <x:f>IF($A465="","",G465*F465*AB465*((13-Settings!$B$9)*(1+H465*I465)+J465)*(1+SUM(Settings!$B$11:$B$12)))</x:f>
      </x:c>
      <x:c r="AQ465" s="23" t="str">
        <x:f>IF($A465="","",SUM(AO465:AP465))</x:f>
      </x:c>
      <x:c r="AR465" s="23" t="str">
        <x:f>IF($A465="","",AQ465-X465)</x:f>
      </x:c>
      <x:c r="AS465" s="22" t="str">
        <x:f>IF($A465="","",IF(W465=0,"n.a.",V465/W465))</x:f>
      </x:c>
      <x:c r="AT465" s="26" t="str">
        <x:f>IF($A465="",IF(COUNTA(B465:Y465)&gt;0,"Missing ID",""),IF(COUNTIFS($A$9:$A$508,A465)&gt;1,"Duplicate ID",IF(OR(B465="",C465="",D465="",E465="",COUNT(F465:X465)&lt;&gt;19),"Missing / text input",IF(OR(COUNTIFS(Settings!$A$59:$A$64,B465)&lt;&gt;1,COUNTIFS(Settings!$A$29:$A$33,E465)&lt;&gt;1),"Unknown department / grade",IF(OR(F465&lt;=0,F465&gt;1,G465&lt;=0,L465&lt;=0,H465&lt;0,I465&lt;0,J465&lt;0,K465&lt;0,K465&gt;1,MIN(M465:X465)&lt;0,W465=0,V465&gt;W465,M465&gt;W465-V465,P465&gt;8,Q465&gt;4,R465&gt;12,S465&gt;12,T465&gt;1,AB465&lt;0),"Review quantity / rate",IF(OR(N465&gt;Settings!$C$17,AK465&gt;Settings!$C$19),"Review benefit ceiling","OK"))))))</x:f>
      </x:c>
    </x:row>
    <x:row r="466" ht="23" customHeight="1">
      <x:c r="A466" s="8"/>
      <x:c r="B466" s="8"/>
      <x:c r="C466" s="8"/>
      <x:c r="D466" s="8"/>
      <x:c r="E466" s="8"/>
      <x:c r="F466" s="20"/>
      <x:c r="G466" s="12"/>
      <x:c r="H466" s="21"/>
      <x:c r="I466" s="20"/>
      <x:c r="J466" s="20"/>
      <x:c r="K466" s="20"/>
      <x:c r="L466" s="12"/>
      <x:c r="M466" s="8"/>
      <x:c r="N466" s="12"/>
      <x:c r="O466" s="8"/>
      <x:c r="P466" s="8"/>
      <x:c r="Q466" s="8"/>
      <x:c r="R466" s="8"/>
      <x:c r="S466" s="8"/>
      <x:c r="T466" s="8"/>
      <x:c r="U466" s="12"/>
      <x:c r="V466" s="8"/>
      <x:c r="W466" s="8"/>
      <x:c r="X466" s="12"/>
      <x:c r="Y466" s="21"/>
      <x:c r="Z466" s="24" t="str">
        <x:f>IF($A466="","",INDEX(Settings!$C$29:$C$33,MATCH(E466,Settings!$A$29:$A$33,0)))</x:f>
      </x:c>
      <x:c r="AA466" s="22" t="str">
        <x:f>IF($A466="","",G466/Z466)</x:f>
      </x:c>
      <x:c r="AB466" s="25" t="str">
        <x:f>IF($A466="","",IF(ISNUMBER(Y466),Y466,Settings!$B$10))</x:f>
      </x:c>
      <x:c r="AC466" s="23" t="str">
        <x:f>IF($A466="","",G466*(1+AB466))</x:f>
      </x:c>
      <x:c r="AD466" s="23" t="str">
        <x:f>IF($A466="","",G466*F466*12)</x:f>
      </x:c>
      <x:c r="AE466" s="23" t="str">
        <x:f>IF($A466="","",G466*F466*J466)</x:f>
      </x:c>
      <x:c r="AF466" s="24" t="str">
        <x:f>IF($A466="","",L466*F466*K466*Settings!$B$13)</x:f>
      </x:c>
      <x:c r="AG466" s="23" t="str">
        <x:f>IF($A466="","",AD466*H466*I466)</x:f>
      </x:c>
      <x:c r="AH466" s="24" t="str">
        <x:f>IF($A466="","",SUM(AD466:AE466,AG466)*SUM(Settings!$B$11:$B$12))</x:f>
      </x:c>
      <x:c r="AI466" s="24" t="str">
        <x:f>IF($A466="","",M466*Settings!$B$16)</x:f>
      </x:c>
      <x:c r="AJ466" s="24" t="str">
        <x:f>IF($A466="","",M466*Settings!$B$15)</x:f>
      </x:c>
      <x:c r="AK466" s="24" t="str">
        <x:f>IF($A466="","",O466*Settings!$B$18)</x:f>
      </x:c>
      <x:c r="AL466" s="24" t="str">
        <x:f>IF($A466="","",P466*Settings!$B$20+Q466*Settings!$B$21+R466*Settings!$B$22+S466*Settings!$B$23)</x:f>
      </x:c>
      <x:c r="AM466" s="24" t="str">
        <x:f>IF($A466="","",T466*Settings!$B$24)</x:f>
      </x:c>
      <x:c r="AN466" s="23" t="str">
        <x:f>IF($A466="","",SUM(AI466,N466,AK466:AM466,U466))</x:f>
      </x:c>
      <x:c r="AO466" s="23" t="str">
        <x:f>IF($A466="","",SUM(AD466:AI466,N466,AK466:AM466,U466))</x:f>
      </x:c>
      <x:c r="AP466" s="24" t="str">
        <x:f>IF($A466="","",G466*F466*AB466*((13-Settings!$B$9)*(1+H466*I466)+J466)*(1+SUM(Settings!$B$11:$B$12)))</x:f>
      </x:c>
      <x:c r="AQ466" s="23" t="str">
        <x:f>IF($A466="","",SUM(AO466:AP466))</x:f>
      </x:c>
      <x:c r="AR466" s="23" t="str">
        <x:f>IF($A466="","",AQ466-X466)</x:f>
      </x:c>
      <x:c r="AS466" s="22" t="str">
        <x:f>IF($A466="","",IF(W466=0,"n.a.",V466/W466))</x:f>
      </x:c>
      <x:c r="AT466" s="26" t="str">
        <x:f>IF($A466="",IF(COUNTA(B466:Y466)&gt;0,"Missing ID",""),IF(COUNTIFS($A$9:$A$508,A466)&gt;1,"Duplicate ID",IF(OR(B466="",C466="",D466="",E466="",COUNT(F466:X466)&lt;&gt;19),"Missing / text input",IF(OR(COUNTIFS(Settings!$A$59:$A$64,B466)&lt;&gt;1,COUNTIFS(Settings!$A$29:$A$33,E466)&lt;&gt;1),"Unknown department / grade",IF(OR(F466&lt;=0,F466&gt;1,G466&lt;=0,L466&lt;=0,H466&lt;0,I466&lt;0,J466&lt;0,K466&lt;0,K466&gt;1,MIN(M466:X466)&lt;0,W466=0,V466&gt;W466,M466&gt;W466-V466,P466&gt;8,Q466&gt;4,R466&gt;12,S466&gt;12,T466&gt;1,AB466&lt;0),"Review quantity / rate",IF(OR(N466&gt;Settings!$C$17,AK466&gt;Settings!$C$19),"Review benefit ceiling","OK"))))))</x:f>
      </x:c>
    </x:row>
    <x:row r="467" ht="23" customHeight="1">
      <x:c r="A467" s="8"/>
      <x:c r="B467" s="8"/>
      <x:c r="C467" s="8"/>
      <x:c r="D467" s="8"/>
      <x:c r="E467" s="8"/>
      <x:c r="F467" s="20"/>
      <x:c r="G467" s="12"/>
      <x:c r="H467" s="21"/>
      <x:c r="I467" s="20"/>
      <x:c r="J467" s="20"/>
      <x:c r="K467" s="20"/>
      <x:c r="L467" s="12"/>
      <x:c r="M467" s="8"/>
      <x:c r="N467" s="12"/>
      <x:c r="O467" s="8"/>
      <x:c r="P467" s="8"/>
      <x:c r="Q467" s="8"/>
      <x:c r="R467" s="8"/>
      <x:c r="S467" s="8"/>
      <x:c r="T467" s="8"/>
      <x:c r="U467" s="12"/>
      <x:c r="V467" s="8"/>
      <x:c r="W467" s="8"/>
      <x:c r="X467" s="12"/>
      <x:c r="Y467" s="21"/>
      <x:c r="Z467" s="24" t="str">
        <x:f>IF($A467="","",INDEX(Settings!$C$29:$C$33,MATCH(E467,Settings!$A$29:$A$33,0)))</x:f>
      </x:c>
      <x:c r="AA467" s="22" t="str">
        <x:f>IF($A467="","",G467/Z467)</x:f>
      </x:c>
      <x:c r="AB467" s="25" t="str">
        <x:f>IF($A467="","",IF(ISNUMBER(Y467),Y467,Settings!$B$10))</x:f>
      </x:c>
      <x:c r="AC467" s="23" t="str">
        <x:f>IF($A467="","",G467*(1+AB467))</x:f>
      </x:c>
      <x:c r="AD467" s="23" t="str">
        <x:f>IF($A467="","",G467*F467*12)</x:f>
      </x:c>
      <x:c r="AE467" s="23" t="str">
        <x:f>IF($A467="","",G467*F467*J467)</x:f>
      </x:c>
      <x:c r="AF467" s="24" t="str">
        <x:f>IF($A467="","",L467*F467*K467*Settings!$B$13)</x:f>
      </x:c>
      <x:c r="AG467" s="23" t="str">
        <x:f>IF($A467="","",AD467*H467*I467)</x:f>
      </x:c>
      <x:c r="AH467" s="24" t="str">
        <x:f>IF($A467="","",SUM(AD467:AE467,AG467)*SUM(Settings!$B$11:$B$12))</x:f>
      </x:c>
      <x:c r="AI467" s="24" t="str">
        <x:f>IF($A467="","",M467*Settings!$B$16)</x:f>
      </x:c>
      <x:c r="AJ467" s="24" t="str">
        <x:f>IF($A467="","",M467*Settings!$B$15)</x:f>
      </x:c>
      <x:c r="AK467" s="24" t="str">
        <x:f>IF($A467="","",O467*Settings!$B$18)</x:f>
      </x:c>
      <x:c r="AL467" s="24" t="str">
        <x:f>IF($A467="","",P467*Settings!$B$20+Q467*Settings!$B$21+R467*Settings!$B$22+S467*Settings!$B$23)</x:f>
      </x:c>
      <x:c r="AM467" s="24" t="str">
        <x:f>IF($A467="","",T467*Settings!$B$24)</x:f>
      </x:c>
      <x:c r="AN467" s="23" t="str">
        <x:f>IF($A467="","",SUM(AI467,N467,AK467:AM467,U467))</x:f>
      </x:c>
      <x:c r="AO467" s="23" t="str">
        <x:f>IF($A467="","",SUM(AD467:AI467,N467,AK467:AM467,U467))</x:f>
      </x:c>
      <x:c r="AP467" s="24" t="str">
        <x:f>IF($A467="","",G467*F467*AB467*((13-Settings!$B$9)*(1+H467*I467)+J467)*(1+SUM(Settings!$B$11:$B$12)))</x:f>
      </x:c>
      <x:c r="AQ467" s="23" t="str">
        <x:f>IF($A467="","",SUM(AO467:AP467))</x:f>
      </x:c>
      <x:c r="AR467" s="23" t="str">
        <x:f>IF($A467="","",AQ467-X467)</x:f>
      </x:c>
      <x:c r="AS467" s="22" t="str">
        <x:f>IF($A467="","",IF(W467=0,"n.a.",V467/W467))</x:f>
      </x:c>
      <x:c r="AT467" s="26" t="str">
        <x:f>IF($A467="",IF(COUNTA(B467:Y467)&gt;0,"Missing ID",""),IF(COUNTIFS($A$9:$A$508,A467)&gt;1,"Duplicate ID",IF(OR(B467="",C467="",D467="",E467="",COUNT(F467:X467)&lt;&gt;19),"Missing / text input",IF(OR(COUNTIFS(Settings!$A$59:$A$64,B467)&lt;&gt;1,COUNTIFS(Settings!$A$29:$A$33,E467)&lt;&gt;1),"Unknown department / grade",IF(OR(F467&lt;=0,F467&gt;1,G467&lt;=0,L467&lt;=0,H467&lt;0,I467&lt;0,J467&lt;0,K467&lt;0,K467&gt;1,MIN(M467:X467)&lt;0,W467=0,V467&gt;W467,M467&gt;W467-V467,P467&gt;8,Q467&gt;4,R467&gt;12,S467&gt;12,T467&gt;1,AB467&lt;0),"Review quantity / rate",IF(OR(N467&gt;Settings!$C$17,AK467&gt;Settings!$C$19),"Review benefit ceiling","OK"))))))</x:f>
      </x:c>
    </x:row>
    <x:row r="468" ht="23" customHeight="1">
      <x:c r="A468" s="8"/>
      <x:c r="B468" s="8"/>
      <x:c r="C468" s="8"/>
      <x:c r="D468" s="8"/>
      <x:c r="E468" s="8"/>
      <x:c r="F468" s="20"/>
      <x:c r="G468" s="12"/>
      <x:c r="H468" s="21"/>
      <x:c r="I468" s="20"/>
      <x:c r="J468" s="20"/>
      <x:c r="K468" s="20"/>
      <x:c r="L468" s="12"/>
      <x:c r="M468" s="8"/>
      <x:c r="N468" s="12"/>
      <x:c r="O468" s="8"/>
      <x:c r="P468" s="8"/>
      <x:c r="Q468" s="8"/>
      <x:c r="R468" s="8"/>
      <x:c r="S468" s="8"/>
      <x:c r="T468" s="8"/>
      <x:c r="U468" s="12"/>
      <x:c r="V468" s="8"/>
      <x:c r="W468" s="8"/>
      <x:c r="X468" s="12"/>
      <x:c r="Y468" s="21"/>
      <x:c r="Z468" s="24" t="str">
        <x:f>IF($A468="","",INDEX(Settings!$C$29:$C$33,MATCH(E468,Settings!$A$29:$A$33,0)))</x:f>
      </x:c>
      <x:c r="AA468" s="22" t="str">
        <x:f>IF($A468="","",G468/Z468)</x:f>
      </x:c>
      <x:c r="AB468" s="25" t="str">
        <x:f>IF($A468="","",IF(ISNUMBER(Y468),Y468,Settings!$B$10))</x:f>
      </x:c>
      <x:c r="AC468" s="23" t="str">
        <x:f>IF($A468="","",G468*(1+AB468))</x:f>
      </x:c>
      <x:c r="AD468" s="23" t="str">
        <x:f>IF($A468="","",G468*F468*12)</x:f>
      </x:c>
      <x:c r="AE468" s="23" t="str">
        <x:f>IF($A468="","",G468*F468*J468)</x:f>
      </x:c>
      <x:c r="AF468" s="24" t="str">
        <x:f>IF($A468="","",L468*F468*K468*Settings!$B$13)</x:f>
      </x:c>
      <x:c r="AG468" s="23" t="str">
        <x:f>IF($A468="","",AD468*H468*I468)</x:f>
      </x:c>
      <x:c r="AH468" s="24" t="str">
        <x:f>IF($A468="","",SUM(AD468:AE468,AG468)*SUM(Settings!$B$11:$B$12))</x:f>
      </x:c>
      <x:c r="AI468" s="24" t="str">
        <x:f>IF($A468="","",M468*Settings!$B$16)</x:f>
      </x:c>
      <x:c r="AJ468" s="24" t="str">
        <x:f>IF($A468="","",M468*Settings!$B$15)</x:f>
      </x:c>
      <x:c r="AK468" s="24" t="str">
        <x:f>IF($A468="","",O468*Settings!$B$18)</x:f>
      </x:c>
      <x:c r="AL468" s="24" t="str">
        <x:f>IF($A468="","",P468*Settings!$B$20+Q468*Settings!$B$21+R468*Settings!$B$22+S468*Settings!$B$23)</x:f>
      </x:c>
      <x:c r="AM468" s="24" t="str">
        <x:f>IF($A468="","",T468*Settings!$B$24)</x:f>
      </x:c>
      <x:c r="AN468" s="23" t="str">
        <x:f>IF($A468="","",SUM(AI468,N468,AK468:AM468,U468))</x:f>
      </x:c>
      <x:c r="AO468" s="23" t="str">
        <x:f>IF($A468="","",SUM(AD468:AI468,N468,AK468:AM468,U468))</x:f>
      </x:c>
      <x:c r="AP468" s="24" t="str">
        <x:f>IF($A468="","",G468*F468*AB468*((13-Settings!$B$9)*(1+H468*I468)+J468)*(1+SUM(Settings!$B$11:$B$12)))</x:f>
      </x:c>
      <x:c r="AQ468" s="23" t="str">
        <x:f>IF($A468="","",SUM(AO468:AP468))</x:f>
      </x:c>
      <x:c r="AR468" s="23" t="str">
        <x:f>IF($A468="","",AQ468-X468)</x:f>
      </x:c>
      <x:c r="AS468" s="22" t="str">
        <x:f>IF($A468="","",IF(W468=0,"n.a.",V468/W468))</x:f>
      </x:c>
      <x:c r="AT468" s="26" t="str">
        <x:f>IF($A468="",IF(COUNTA(B468:Y468)&gt;0,"Missing ID",""),IF(COUNTIFS($A$9:$A$508,A468)&gt;1,"Duplicate ID",IF(OR(B468="",C468="",D468="",E468="",COUNT(F468:X468)&lt;&gt;19),"Missing / text input",IF(OR(COUNTIFS(Settings!$A$59:$A$64,B468)&lt;&gt;1,COUNTIFS(Settings!$A$29:$A$33,E468)&lt;&gt;1),"Unknown department / grade",IF(OR(F468&lt;=0,F468&gt;1,G468&lt;=0,L468&lt;=0,H468&lt;0,I468&lt;0,J468&lt;0,K468&lt;0,K468&gt;1,MIN(M468:X468)&lt;0,W468=0,V468&gt;W468,M468&gt;W468-V468,P468&gt;8,Q468&gt;4,R468&gt;12,S468&gt;12,T468&gt;1,AB468&lt;0),"Review quantity / rate",IF(OR(N468&gt;Settings!$C$17,AK468&gt;Settings!$C$19),"Review benefit ceiling","OK"))))))</x:f>
      </x:c>
    </x:row>
    <x:row r="469" ht="23" customHeight="1">
      <x:c r="A469" s="8"/>
      <x:c r="B469" s="8"/>
      <x:c r="C469" s="8"/>
      <x:c r="D469" s="8"/>
      <x:c r="E469" s="8"/>
      <x:c r="F469" s="20"/>
      <x:c r="G469" s="12"/>
      <x:c r="H469" s="21"/>
      <x:c r="I469" s="20"/>
      <x:c r="J469" s="20"/>
      <x:c r="K469" s="20"/>
      <x:c r="L469" s="12"/>
      <x:c r="M469" s="8"/>
      <x:c r="N469" s="12"/>
      <x:c r="O469" s="8"/>
      <x:c r="P469" s="8"/>
      <x:c r="Q469" s="8"/>
      <x:c r="R469" s="8"/>
      <x:c r="S469" s="8"/>
      <x:c r="T469" s="8"/>
      <x:c r="U469" s="12"/>
      <x:c r="V469" s="8"/>
      <x:c r="W469" s="8"/>
      <x:c r="X469" s="12"/>
      <x:c r="Y469" s="21"/>
      <x:c r="Z469" s="24" t="str">
        <x:f>IF($A469="","",INDEX(Settings!$C$29:$C$33,MATCH(E469,Settings!$A$29:$A$33,0)))</x:f>
      </x:c>
      <x:c r="AA469" s="22" t="str">
        <x:f>IF($A469="","",G469/Z469)</x:f>
      </x:c>
      <x:c r="AB469" s="25" t="str">
        <x:f>IF($A469="","",IF(ISNUMBER(Y469),Y469,Settings!$B$10))</x:f>
      </x:c>
      <x:c r="AC469" s="23" t="str">
        <x:f>IF($A469="","",G469*(1+AB469))</x:f>
      </x:c>
      <x:c r="AD469" s="23" t="str">
        <x:f>IF($A469="","",G469*F469*12)</x:f>
      </x:c>
      <x:c r="AE469" s="23" t="str">
        <x:f>IF($A469="","",G469*F469*J469)</x:f>
      </x:c>
      <x:c r="AF469" s="24" t="str">
        <x:f>IF($A469="","",L469*F469*K469*Settings!$B$13)</x:f>
      </x:c>
      <x:c r="AG469" s="23" t="str">
        <x:f>IF($A469="","",AD469*H469*I469)</x:f>
      </x:c>
      <x:c r="AH469" s="24" t="str">
        <x:f>IF($A469="","",SUM(AD469:AE469,AG469)*SUM(Settings!$B$11:$B$12))</x:f>
      </x:c>
      <x:c r="AI469" s="24" t="str">
        <x:f>IF($A469="","",M469*Settings!$B$16)</x:f>
      </x:c>
      <x:c r="AJ469" s="24" t="str">
        <x:f>IF($A469="","",M469*Settings!$B$15)</x:f>
      </x:c>
      <x:c r="AK469" s="24" t="str">
        <x:f>IF($A469="","",O469*Settings!$B$18)</x:f>
      </x:c>
      <x:c r="AL469" s="24" t="str">
        <x:f>IF($A469="","",P469*Settings!$B$20+Q469*Settings!$B$21+R469*Settings!$B$22+S469*Settings!$B$23)</x:f>
      </x:c>
      <x:c r="AM469" s="24" t="str">
        <x:f>IF($A469="","",T469*Settings!$B$24)</x:f>
      </x:c>
      <x:c r="AN469" s="23" t="str">
        <x:f>IF($A469="","",SUM(AI469,N469,AK469:AM469,U469))</x:f>
      </x:c>
      <x:c r="AO469" s="23" t="str">
        <x:f>IF($A469="","",SUM(AD469:AI469,N469,AK469:AM469,U469))</x:f>
      </x:c>
      <x:c r="AP469" s="24" t="str">
        <x:f>IF($A469="","",G469*F469*AB469*((13-Settings!$B$9)*(1+H469*I469)+J469)*(1+SUM(Settings!$B$11:$B$12)))</x:f>
      </x:c>
      <x:c r="AQ469" s="23" t="str">
        <x:f>IF($A469="","",SUM(AO469:AP469))</x:f>
      </x:c>
      <x:c r="AR469" s="23" t="str">
        <x:f>IF($A469="","",AQ469-X469)</x:f>
      </x:c>
      <x:c r="AS469" s="22" t="str">
        <x:f>IF($A469="","",IF(W469=0,"n.a.",V469/W469))</x:f>
      </x:c>
      <x:c r="AT469" s="26" t="str">
        <x:f>IF($A469="",IF(COUNTA(B469:Y469)&gt;0,"Missing ID",""),IF(COUNTIFS($A$9:$A$508,A469)&gt;1,"Duplicate ID",IF(OR(B469="",C469="",D469="",E469="",COUNT(F469:X469)&lt;&gt;19),"Missing / text input",IF(OR(COUNTIFS(Settings!$A$59:$A$64,B469)&lt;&gt;1,COUNTIFS(Settings!$A$29:$A$33,E469)&lt;&gt;1),"Unknown department / grade",IF(OR(F469&lt;=0,F469&gt;1,G469&lt;=0,L469&lt;=0,H469&lt;0,I469&lt;0,J469&lt;0,K469&lt;0,K469&gt;1,MIN(M469:X469)&lt;0,W469=0,V469&gt;W469,M469&gt;W469-V469,P469&gt;8,Q469&gt;4,R469&gt;12,S469&gt;12,T469&gt;1,AB469&lt;0),"Review quantity / rate",IF(OR(N469&gt;Settings!$C$17,AK469&gt;Settings!$C$19),"Review benefit ceiling","OK"))))))</x:f>
      </x:c>
    </x:row>
    <x:row r="470" ht="23" customHeight="1">
      <x:c r="A470" s="8"/>
      <x:c r="B470" s="8"/>
      <x:c r="C470" s="8"/>
      <x:c r="D470" s="8"/>
      <x:c r="E470" s="8"/>
      <x:c r="F470" s="20"/>
      <x:c r="G470" s="12"/>
      <x:c r="H470" s="21"/>
      <x:c r="I470" s="20"/>
      <x:c r="J470" s="20"/>
      <x:c r="K470" s="20"/>
      <x:c r="L470" s="12"/>
      <x:c r="M470" s="8"/>
      <x:c r="N470" s="12"/>
      <x:c r="O470" s="8"/>
      <x:c r="P470" s="8"/>
      <x:c r="Q470" s="8"/>
      <x:c r="R470" s="8"/>
      <x:c r="S470" s="8"/>
      <x:c r="T470" s="8"/>
      <x:c r="U470" s="12"/>
      <x:c r="V470" s="8"/>
      <x:c r="W470" s="8"/>
      <x:c r="X470" s="12"/>
      <x:c r="Y470" s="21"/>
      <x:c r="Z470" s="24" t="str">
        <x:f>IF($A470="","",INDEX(Settings!$C$29:$C$33,MATCH(E470,Settings!$A$29:$A$33,0)))</x:f>
      </x:c>
      <x:c r="AA470" s="22" t="str">
        <x:f>IF($A470="","",G470/Z470)</x:f>
      </x:c>
      <x:c r="AB470" s="25" t="str">
        <x:f>IF($A470="","",IF(ISNUMBER(Y470),Y470,Settings!$B$10))</x:f>
      </x:c>
      <x:c r="AC470" s="23" t="str">
        <x:f>IF($A470="","",G470*(1+AB470))</x:f>
      </x:c>
      <x:c r="AD470" s="23" t="str">
        <x:f>IF($A470="","",G470*F470*12)</x:f>
      </x:c>
      <x:c r="AE470" s="23" t="str">
        <x:f>IF($A470="","",G470*F470*J470)</x:f>
      </x:c>
      <x:c r="AF470" s="24" t="str">
        <x:f>IF($A470="","",L470*F470*K470*Settings!$B$13)</x:f>
      </x:c>
      <x:c r="AG470" s="23" t="str">
        <x:f>IF($A470="","",AD470*H470*I470)</x:f>
      </x:c>
      <x:c r="AH470" s="24" t="str">
        <x:f>IF($A470="","",SUM(AD470:AE470,AG470)*SUM(Settings!$B$11:$B$12))</x:f>
      </x:c>
      <x:c r="AI470" s="24" t="str">
        <x:f>IF($A470="","",M470*Settings!$B$16)</x:f>
      </x:c>
      <x:c r="AJ470" s="24" t="str">
        <x:f>IF($A470="","",M470*Settings!$B$15)</x:f>
      </x:c>
      <x:c r="AK470" s="24" t="str">
        <x:f>IF($A470="","",O470*Settings!$B$18)</x:f>
      </x:c>
      <x:c r="AL470" s="24" t="str">
        <x:f>IF($A470="","",P470*Settings!$B$20+Q470*Settings!$B$21+R470*Settings!$B$22+S470*Settings!$B$23)</x:f>
      </x:c>
      <x:c r="AM470" s="24" t="str">
        <x:f>IF($A470="","",T470*Settings!$B$24)</x:f>
      </x:c>
      <x:c r="AN470" s="23" t="str">
        <x:f>IF($A470="","",SUM(AI470,N470,AK470:AM470,U470))</x:f>
      </x:c>
      <x:c r="AO470" s="23" t="str">
        <x:f>IF($A470="","",SUM(AD470:AI470,N470,AK470:AM470,U470))</x:f>
      </x:c>
      <x:c r="AP470" s="24" t="str">
        <x:f>IF($A470="","",G470*F470*AB470*((13-Settings!$B$9)*(1+H470*I470)+J470)*(1+SUM(Settings!$B$11:$B$12)))</x:f>
      </x:c>
      <x:c r="AQ470" s="23" t="str">
        <x:f>IF($A470="","",SUM(AO470:AP470))</x:f>
      </x:c>
      <x:c r="AR470" s="23" t="str">
        <x:f>IF($A470="","",AQ470-X470)</x:f>
      </x:c>
      <x:c r="AS470" s="22" t="str">
        <x:f>IF($A470="","",IF(W470=0,"n.a.",V470/W470))</x:f>
      </x:c>
      <x:c r="AT470" s="26" t="str">
        <x:f>IF($A470="",IF(COUNTA(B470:Y470)&gt;0,"Missing ID",""),IF(COUNTIFS($A$9:$A$508,A470)&gt;1,"Duplicate ID",IF(OR(B470="",C470="",D470="",E470="",COUNT(F470:X470)&lt;&gt;19),"Missing / text input",IF(OR(COUNTIFS(Settings!$A$59:$A$64,B470)&lt;&gt;1,COUNTIFS(Settings!$A$29:$A$33,E470)&lt;&gt;1),"Unknown department / grade",IF(OR(F470&lt;=0,F470&gt;1,G470&lt;=0,L470&lt;=0,H470&lt;0,I470&lt;0,J470&lt;0,K470&lt;0,K470&gt;1,MIN(M470:X470)&lt;0,W470=0,V470&gt;W470,M470&gt;W470-V470,P470&gt;8,Q470&gt;4,R470&gt;12,S470&gt;12,T470&gt;1,AB470&lt;0),"Review quantity / rate",IF(OR(N470&gt;Settings!$C$17,AK470&gt;Settings!$C$19),"Review benefit ceiling","OK"))))))</x:f>
      </x:c>
    </x:row>
    <x:row r="471" ht="23" customHeight="1">
      <x:c r="A471" s="8"/>
      <x:c r="B471" s="8"/>
      <x:c r="C471" s="8"/>
      <x:c r="D471" s="8"/>
      <x:c r="E471" s="8"/>
      <x:c r="F471" s="20"/>
      <x:c r="G471" s="12"/>
      <x:c r="H471" s="21"/>
      <x:c r="I471" s="20"/>
      <x:c r="J471" s="20"/>
      <x:c r="K471" s="20"/>
      <x:c r="L471" s="12"/>
      <x:c r="M471" s="8"/>
      <x:c r="N471" s="12"/>
      <x:c r="O471" s="8"/>
      <x:c r="P471" s="8"/>
      <x:c r="Q471" s="8"/>
      <x:c r="R471" s="8"/>
      <x:c r="S471" s="8"/>
      <x:c r="T471" s="8"/>
      <x:c r="U471" s="12"/>
      <x:c r="V471" s="8"/>
      <x:c r="W471" s="8"/>
      <x:c r="X471" s="12"/>
      <x:c r="Y471" s="21"/>
      <x:c r="Z471" s="24" t="str">
        <x:f>IF($A471="","",INDEX(Settings!$C$29:$C$33,MATCH(E471,Settings!$A$29:$A$33,0)))</x:f>
      </x:c>
      <x:c r="AA471" s="22" t="str">
        <x:f>IF($A471="","",G471/Z471)</x:f>
      </x:c>
      <x:c r="AB471" s="25" t="str">
        <x:f>IF($A471="","",IF(ISNUMBER(Y471),Y471,Settings!$B$10))</x:f>
      </x:c>
      <x:c r="AC471" s="23" t="str">
        <x:f>IF($A471="","",G471*(1+AB471))</x:f>
      </x:c>
      <x:c r="AD471" s="23" t="str">
        <x:f>IF($A471="","",G471*F471*12)</x:f>
      </x:c>
      <x:c r="AE471" s="23" t="str">
        <x:f>IF($A471="","",G471*F471*J471)</x:f>
      </x:c>
      <x:c r="AF471" s="24" t="str">
        <x:f>IF($A471="","",L471*F471*K471*Settings!$B$13)</x:f>
      </x:c>
      <x:c r="AG471" s="23" t="str">
        <x:f>IF($A471="","",AD471*H471*I471)</x:f>
      </x:c>
      <x:c r="AH471" s="24" t="str">
        <x:f>IF($A471="","",SUM(AD471:AE471,AG471)*SUM(Settings!$B$11:$B$12))</x:f>
      </x:c>
      <x:c r="AI471" s="24" t="str">
        <x:f>IF($A471="","",M471*Settings!$B$16)</x:f>
      </x:c>
      <x:c r="AJ471" s="24" t="str">
        <x:f>IF($A471="","",M471*Settings!$B$15)</x:f>
      </x:c>
      <x:c r="AK471" s="24" t="str">
        <x:f>IF($A471="","",O471*Settings!$B$18)</x:f>
      </x:c>
      <x:c r="AL471" s="24" t="str">
        <x:f>IF($A471="","",P471*Settings!$B$20+Q471*Settings!$B$21+R471*Settings!$B$22+S471*Settings!$B$23)</x:f>
      </x:c>
      <x:c r="AM471" s="24" t="str">
        <x:f>IF($A471="","",T471*Settings!$B$24)</x:f>
      </x:c>
      <x:c r="AN471" s="23" t="str">
        <x:f>IF($A471="","",SUM(AI471,N471,AK471:AM471,U471))</x:f>
      </x:c>
      <x:c r="AO471" s="23" t="str">
        <x:f>IF($A471="","",SUM(AD471:AI471,N471,AK471:AM471,U471))</x:f>
      </x:c>
      <x:c r="AP471" s="24" t="str">
        <x:f>IF($A471="","",G471*F471*AB471*((13-Settings!$B$9)*(1+H471*I471)+J471)*(1+SUM(Settings!$B$11:$B$12)))</x:f>
      </x:c>
      <x:c r="AQ471" s="23" t="str">
        <x:f>IF($A471="","",SUM(AO471:AP471))</x:f>
      </x:c>
      <x:c r="AR471" s="23" t="str">
        <x:f>IF($A471="","",AQ471-X471)</x:f>
      </x:c>
      <x:c r="AS471" s="22" t="str">
        <x:f>IF($A471="","",IF(W471=0,"n.a.",V471/W471))</x:f>
      </x:c>
      <x:c r="AT471" s="26" t="str">
        <x:f>IF($A471="",IF(COUNTA(B471:Y471)&gt;0,"Missing ID",""),IF(COUNTIFS($A$9:$A$508,A471)&gt;1,"Duplicate ID",IF(OR(B471="",C471="",D471="",E471="",COUNT(F471:X471)&lt;&gt;19),"Missing / text input",IF(OR(COUNTIFS(Settings!$A$59:$A$64,B471)&lt;&gt;1,COUNTIFS(Settings!$A$29:$A$33,E471)&lt;&gt;1),"Unknown department / grade",IF(OR(F471&lt;=0,F471&gt;1,G471&lt;=0,L471&lt;=0,H471&lt;0,I471&lt;0,J471&lt;0,K471&lt;0,K471&gt;1,MIN(M471:X471)&lt;0,W471=0,V471&gt;W471,M471&gt;W471-V471,P471&gt;8,Q471&gt;4,R471&gt;12,S471&gt;12,T471&gt;1,AB471&lt;0),"Review quantity / rate",IF(OR(N471&gt;Settings!$C$17,AK471&gt;Settings!$C$19),"Review benefit ceiling","OK"))))))</x:f>
      </x:c>
    </x:row>
    <x:row r="472" ht="23" customHeight="1">
      <x:c r="A472" s="8"/>
      <x:c r="B472" s="8"/>
      <x:c r="C472" s="8"/>
      <x:c r="D472" s="8"/>
      <x:c r="E472" s="8"/>
      <x:c r="F472" s="20"/>
      <x:c r="G472" s="12"/>
      <x:c r="H472" s="21"/>
      <x:c r="I472" s="20"/>
      <x:c r="J472" s="20"/>
      <x:c r="K472" s="20"/>
      <x:c r="L472" s="12"/>
      <x:c r="M472" s="8"/>
      <x:c r="N472" s="12"/>
      <x:c r="O472" s="8"/>
      <x:c r="P472" s="8"/>
      <x:c r="Q472" s="8"/>
      <x:c r="R472" s="8"/>
      <x:c r="S472" s="8"/>
      <x:c r="T472" s="8"/>
      <x:c r="U472" s="12"/>
      <x:c r="V472" s="8"/>
      <x:c r="W472" s="8"/>
      <x:c r="X472" s="12"/>
      <x:c r="Y472" s="21"/>
      <x:c r="Z472" s="24" t="str">
        <x:f>IF($A472="","",INDEX(Settings!$C$29:$C$33,MATCH(E472,Settings!$A$29:$A$33,0)))</x:f>
      </x:c>
      <x:c r="AA472" s="22" t="str">
        <x:f>IF($A472="","",G472/Z472)</x:f>
      </x:c>
      <x:c r="AB472" s="25" t="str">
        <x:f>IF($A472="","",IF(ISNUMBER(Y472),Y472,Settings!$B$10))</x:f>
      </x:c>
      <x:c r="AC472" s="23" t="str">
        <x:f>IF($A472="","",G472*(1+AB472))</x:f>
      </x:c>
      <x:c r="AD472" s="23" t="str">
        <x:f>IF($A472="","",G472*F472*12)</x:f>
      </x:c>
      <x:c r="AE472" s="23" t="str">
        <x:f>IF($A472="","",G472*F472*J472)</x:f>
      </x:c>
      <x:c r="AF472" s="24" t="str">
        <x:f>IF($A472="","",L472*F472*K472*Settings!$B$13)</x:f>
      </x:c>
      <x:c r="AG472" s="23" t="str">
        <x:f>IF($A472="","",AD472*H472*I472)</x:f>
      </x:c>
      <x:c r="AH472" s="24" t="str">
        <x:f>IF($A472="","",SUM(AD472:AE472,AG472)*SUM(Settings!$B$11:$B$12))</x:f>
      </x:c>
      <x:c r="AI472" s="24" t="str">
        <x:f>IF($A472="","",M472*Settings!$B$16)</x:f>
      </x:c>
      <x:c r="AJ472" s="24" t="str">
        <x:f>IF($A472="","",M472*Settings!$B$15)</x:f>
      </x:c>
      <x:c r="AK472" s="24" t="str">
        <x:f>IF($A472="","",O472*Settings!$B$18)</x:f>
      </x:c>
      <x:c r="AL472" s="24" t="str">
        <x:f>IF($A472="","",P472*Settings!$B$20+Q472*Settings!$B$21+R472*Settings!$B$22+S472*Settings!$B$23)</x:f>
      </x:c>
      <x:c r="AM472" s="24" t="str">
        <x:f>IF($A472="","",T472*Settings!$B$24)</x:f>
      </x:c>
      <x:c r="AN472" s="23" t="str">
        <x:f>IF($A472="","",SUM(AI472,N472,AK472:AM472,U472))</x:f>
      </x:c>
      <x:c r="AO472" s="23" t="str">
        <x:f>IF($A472="","",SUM(AD472:AI472,N472,AK472:AM472,U472))</x:f>
      </x:c>
      <x:c r="AP472" s="24" t="str">
        <x:f>IF($A472="","",G472*F472*AB472*((13-Settings!$B$9)*(1+H472*I472)+J472)*(1+SUM(Settings!$B$11:$B$12)))</x:f>
      </x:c>
      <x:c r="AQ472" s="23" t="str">
        <x:f>IF($A472="","",SUM(AO472:AP472))</x:f>
      </x:c>
      <x:c r="AR472" s="23" t="str">
        <x:f>IF($A472="","",AQ472-X472)</x:f>
      </x:c>
      <x:c r="AS472" s="22" t="str">
        <x:f>IF($A472="","",IF(W472=0,"n.a.",V472/W472))</x:f>
      </x:c>
      <x:c r="AT472" s="26" t="str">
        <x:f>IF($A472="",IF(COUNTA(B472:Y472)&gt;0,"Missing ID",""),IF(COUNTIFS($A$9:$A$508,A472)&gt;1,"Duplicate ID",IF(OR(B472="",C472="",D472="",E472="",COUNT(F472:X472)&lt;&gt;19),"Missing / text input",IF(OR(COUNTIFS(Settings!$A$59:$A$64,B472)&lt;&gt;1,COUNTIFS(Settings!$A$29:$A$33,E472)&lt;&gt;1),"Unknown department / grade",IF(OR(F472&lt;=0,F472&gt;1,G472&lt;=0,L472&lt;=0,H472&lt;0,I472&lt;0,J472&lt;0,K472&lt;0,K472&gt;1,MIN(M472:X472)&lt;0,W472=0,V472&gt;W472,M472&gt;W472-V472,P472&gt;8,Q472&gt;4,R472&gt;12,S472&gt;12,T472&gt;1,AB472&lt;0),"Review quantity / rate",IF(OR(N472&gt;Settings!$C$17,AK472&gt;Settings!$C$19),"Review benefit ceiling","OK"))))))</x:f>
      </x:c>
    </x:row>
    <x:row r="473" ht="23" customHeight="1">
      <x:c r="A473" s="8"/>
      <x:c r="B473" s="8"/>
      <x:c r="C473" s="8"/>
      <x:c r="D473" s="8"/>
      <x:c r="E473" s="8"/>
      <x:c r="F473" s="20"/>
      <x:c r="G473" s="12"/>
      <x:c r="H473" s="21"/>
      <x:c r="I473" s="20"/>
      <x:c r="J473" s="20"/>
      <x:c r="K473" s="20"/>
      <x:c r="L473" s="12"/>
      <x:c r="M473" s="8"/>
      <x:c r="N473" s="12"/>
      <x:c r="O473" s="8"/>
      <x:c r="P473" s="8"/>
      <x:c r="Q473" s="8"/>
      <x:c r="R473" s="8"/>
      <x:c r="S473" s="8"/>
      <x:c r="T473" s="8"/>
      <x:c r="U473" s="12"/>
      <x:c r="V473" s="8"/>
      <x:c r="W473" s="8"/>
      <x:c r="X473" s="12"/>
      <x:c r="Y473" s="21"/>
      <x:c r="Z473" s="24" t="str">
        <x:f>IF($A473="","",INDEX(Settings!$C$29:$C$33,MATCH(E473,Settings!$A$29:$A$33,0)))</x:f>
      </x:c>
      <x:c r="AA473" s="22" t="str">
        <x:f>IF($A473="","",G473/Z473)</x:f>
      </x:c>
      <x:c r="AB473" s="25" t="str">
        <x:f>IF($A473="","",IF(ISNUMBER(Y473),Y473,Settings!$B$10))</x:f>
      </x:c>
      <x:c r="AC473" s="23" t="str">
        <x:f>IF($A473="","",G473*(1+AB473))</x:f>
      </x:c>
      <x:c r="AD473" s="23" t="str">
        <x:f>IF($A473="","",G473*F473*12)</x:f>
      </x:c>
      <x:c r="AE473" s="23" t="str">
        <x:f>IF($A473="","",G473*F473*J473)</x:f>
      </x:c>
      <x:c r="AF473" s="24" t="str">
        <x:f>IF($A473="","",L473*F473*K473*Settings!$B$13)</x:f>
      </x:c>
      <x:c r="AG473" s="23" t="str">
        <x:f>IF($A473="","",AD473*H473*I473)</x:f>
      </x:c>
      <x:c r="AH473" s="24" t="str">
        <x:f>IF($A473="","",SUM(AD473:AE473,AG473)*SUM(Settings!$B$11:$B$12))</x:f>
      </x:c>
      <x:c r="AI473" s="24" t="str">
        <x:f>IF($A473="","",M473*Settings!$B$16)</x:f>
      </x:c>
      <x:c r="AJ473" s="24" t="str">
        <x:f>IF($A473="","",M473*Settings!$B$15)</x:f>
      </x:c>
      <x:c r="AK473" s="24" t="str">
        <x:f>IF($A473="","",O473*Settings!$B$18)</x:f>
      </x:c>
      <x:c r="AL473" s="24" t="str">
        <x:f>IF($A473="","",P473*Settings!$B$20+Q473*Settings!$B$21+R473*Settings!$B$22+S473*Settings!$B$23)</x:f>
      </x:c>
      <x:c r="AM473" s="24" t="str">
        <x:f>IF($A473="","",T473*Settings!$B$24)</x:f>
      </x:c>
      <x:c r="AN473" s="23" t="str">
        <x:f>IF($A473="","",SUM(AI473,N473,AK473:AM473,U473))</x:f>
      </x:c>
      <x:c r="AO473" s="23" t="str">
        <x:f>IF($A473="","",SUM(AD473:AI473,N473,AK473:AM473,U473))</x:f>
      </x:c>
      <x:c r="AP473" s="24" t="str">
        <x:f>IF($A473="","",G473*F473*AB473*((13-Settings!$B$9)*(1+H473*I473)+J473)*(1+SUM(Settings!$B$11:$B$12)))</x:f>
      </x:c>
      <x:c r="AQ473" s="23" t="str">
        <x:f>IF($A473="","",SUM(AO473:AP473))</x:f>
      </x:c>
      <x:c r="AR473" s="23" t="str">
        <x:f>IF($A473="","",AQ473-X473)</x:f>
      </x:c>
      <x:c r="AS473" s="22" t="str">
        <x:f>IF($A473="","",IF(W473=0,"n.a.",V473/W473))</x:f>
      </x:c>
      <x:c r="AT473" s="26" t="str">
        <x:f>IF($A473="",IF(COUNTA(B473:Y473)&gt;0,"Missing ID",""),IF(COUNTIFS($A$9:$A$508,A473)&gt;1,"Duplicate ID",IF(OR(B473="",C473="",D473="",E473="",COUNT(F473:X473)&lt;&gt;19),"Missing / text input",IF(OR(COUNTIFS(Settings!$A$59:$A$64,B473)&lt;&gt;1,COUNTIFS(Settings!$A$29:$A$33,E473)&lt;&gt;1),"Unknown department / grade",IF(OR(F473&lt;=0,F473&gt;1,G473&lt;=0,L473&lt;=0,H473&lt;0,I473&lt;0,J473&lt;0,K473&lt;0,K473&gt;1,MIN(M473:X473)&lt;0,W473=0,V473&gt;W473,M473&gt;W473-V473,P473&gt;8,Q473&gt;4,R473&gt;12,S473&gt;12,T473&gt;1,AB473&lt;0),"Review quantity / rate",IF(OR(N473&gt;Settings!$C$17,AK473&gt;Settings!$C$19),"Review benefit ceiling","OK"))))))</x:f>
      </x:c>
    </x:row>
    <x:row r="474" ht="23" customHeight="1">
      <x:c r="A474" s="8"/>
      <x:c r="B474" s="8"/>
      <x:c r="C474" s="8"/>
      <x:c r="D474" s="8"/>
      <x:c r="E474" s="8"/>
      <x:c r="F474" s="20"/>
      <x:c r="G474" s="12"/>
      <x:c r="H474" s="21"/>
      <x:c r="I474" s="20"/>
      <x:c r="J474" s="20"/>
      <x:c r="K474" s="20"/>
      <x:c r="L474" s="12"/>
      <x:c r="M474" s="8"/>
      <x:c r="N474" s="12"/>
      <x:c r="O474" s="8"/>
      <x:c r="P474" s="8"/>
      <x:c r="Q474" s="8"/>
      <x:c r="R474" s="8"/>
      <x:c r="S474" s="8"/>
      <x:c r="T474" s="8"/>
      <x:c r="U474" s="12"/>
      <x:c r="V474" s="8"/>
      <x:c r="W474" s="8"/>
      <x:c r="X474" s="12"/>
      <x:c r="Y474" s="21"/>
      <x:c r="Z474" s="24" t="str">
        <x:f>IF($A474="","",INDEX(Settings!$C$29:$C$33,MATCH(E474,Settings!$A$29:$A$33,0)))</x:f>
      </x:c>
      <x:c r="AA474" s="22" t="str">
        <x:f>IF($A474="","",G474/Z474)</x:f>
      </x:c>
      <x:c r="AB474" s="25" t="str">
        <x:f>IF($A474="","",IF(ISNUMBER(Y474),Y474,Settings!$B$10))</x:f>
      </x:c>
      <x:c r="AC474" s="23" t="str">
        <x:f>IF($A474="","",G474*(1+AB474))</x:f>
      </x:c>
      <x:c r="AD474" s="23" t="str">
        <x:f>IF($A474="","",G474*F474*12)</x:f>
      </x:c>
      <x:c r="AE474" s="23" t="str">
        <x:f>IF($A474="","",G474*F474*J474)</x:f>
      </x:c>
      <x:c r="AF474" s="24" t="str">
        <x:f>IF($A474="","",L474*F474*K474*Settings!$B$13)</x:f>
      </x:c>
      <x:c r="AG474" s="23" t="str">
        <x:f>IF($A474="","",AD474*H474*I474)</x:f>
      </x:c>
      <x:c r="AH474" s="24" t="str">
        <x:f>IF($A474="","",SUM(AD474:AE474,AG474)*SUM(Settings!$B$11:$B$12))</x:f>
      </x:c>
      <x:c r="AI474" s="24" t="str">
        <x:f>IF($A474="","",M474*Settings!$B$16)</x:f>
      </x:c>
      <x:c r="AJ474" s="24" t="str">
        <x:f>IF($A474="","",M474*Settings!$B$15)</x:f>
      </x:c>
      <x:c r="AK474" s="24" t="str">
        <x:f>IF($A474="","",O474*Settings!$B$18)</x:f>
      </x:c>
      <x:c r="AL474" s="24" t="str">
        <x:f>IF($A474="","",P474*Settings!$B$20+Q474*Settings!$B$21+R474*Settings!$B$22+S474*Settings!$B$23)</x:f>
      </x:c>
      <x:c r="AM474" s="24" t="str">
        <x:f>IF($A474="","",T474*Settings!$B$24)</x:f>
      </x:c>
      <x:c r="AN474" s="23" t="str">
        <x:f>IF($A474="","",SUM(AI474,N474,AK474:AM474,U474))</x:f>
      </x:c>
      <x:c r="AO474" s="23" t="str">
        <x:f>IF($A474="","",SUM(AD474:AI474,N474,AK474:AM474,U474))</x:f>
      </x:c>
      <x:c r="AP474" s="24" t="str">
        <x:f>IF($A474="","",G474*F474*AB474*((13-Settings!$B$9)*(1+H474*I474)+J474)*(1+SUM(Settings!$B$11:$B$12)))</x:f>
      </x:c>
      <x:c r="AQ474" s="23" t="str">
        <x:f>IF($A474="","",SUM(AO474:AP474))</x:f>
      </x:c>
      <x:c r="AR474" s="23" t="str">
        <x:f>IF($A474="","",AQ474-X474)</x:f>
      </x:c>
      <x:c r="AS474" s="22" t="str">
        <x:f>IF($A474="","",IF(W474=0,"n.a.",V474/W474))</x:f>
      </x:c>
      <x:c r="AT474" s="26" t="str">
        <x:f>IF($A474="",IF(COUNTA(B474:Y474)&gt;0,"Missing ID",""),IF(COUNTIFS($A$9:$A$508,A474)&gt;1,"Duplicate ID",IF(OR(B474="",C474="",D474="",E474="",COUNT(F474:X474)&lt;&gt;19),"Missing / text input",IF(OR(COUNTIFS(Settings!$A$59:$A$64,B474)&lt;&gt;1,COUNTIFS(Settings!$A$29:$A$33,E474)&lt;&gt;1),"Unknown department / grade",IF(OR(F474&lt;=0,F474&gt;1,G474&lt;=0,L474&lt;=0,H474&lt;0,I474&lt;0,J474&lt;0,K474&lt;0,K474&gt;1,MIN(M474:X474)&lt;0,W474=0,V474&gt;W474,M474&gt;W474-V474,P474&gt;8,Q474&gt;4,R474&gt;12,S474&gt;12,T474&gt;1,AB474&lt;0),"Review quantity / rate",IF(OR(N474&gt;Settings!$C$17,AK474&gt;Settings!$C$19),"Review benefit ceiling","OK"))))))</x:f>
      </x:c>
    </x:row>
    <x:row r="475" ht="23" customHeight="1">
      <x:c r="A475" s="8"/>
      <x:c r="B475" s="8"/>
      <x:c r="C475" s="8"/>
      <x:c r="D475" s="8"/>
      <x:c r="E475" s="8"/>
      <x:c r="F475" s="20"/>
      <x:c r="G475" s="12"/>
      <x:c r="H475" s="21"/>
      <x:c r="I475" s="20"/>
      <x:c r="J475" s="20"/>
      <x:c r="K475" s="20"/>
      <x:c r="L475" s="12"/>
      <x:c r="M475" s="8"/>
      <x:c r="N475" s="12"/>
      <x:c r="O475" s="8"/>
      <x:c r="P475" s="8"/>
      <x:c r="Q475" s="8"/>
      <x:c r="R475" s="8"/>
      <x:c r="S475" s="8"/>
      <x:c r="T475" s="8"/>
      <x:c r="U475" s="12"/>
      <x:c r="V475" s="8"/>
      <x:c r="W475" s="8"/>
      <x:c r="X475" s="12"/>
      <x:c r="Y475" s="21"/>
      <x:c r="Z475" s="24" t="str">
        <x:f>IF($A475="","",INDEX(Settings!$C$29:$C$33,MATCH(E475,Settings!$A$29:$A$33,0)))</x:f>
      </x:c>
      <x:c r="AA475" s="22" t="str">
        <x:f>IF($A475="","",G475/Z475)</x:f>
      </x:c>
      <x:c r="AB475" s="25" t="str">
        <x:f>IF($A475="","",IF(ISNUMBER(Y475),Y475,Settings!$B$10))</x:f>
      </x:c>
      <x:c r="AC475" s="23" t="str">
        <x:f>IF($A475="","",G475*(1+AB475))</x:f>
      </x:c>
      <x:c r="AD475" s="23" t="str">
        <x:f>IF($A475="","",G475*F475*12)</x:f>
      </x:c>
      <x:c r="AE475" s="23" t="str">
        <x:f>IF($A475="","",G475*F475*J475)</x:f>
      </x:c>
      <x:c r="AF475" s="24" t="str">
        <x:f>IF($A475="","",L475*F475*K475*Settings!$B$13)</x:f>
      </x:c>
      <x:c r="AG475" s="23" t="str">
        <x:f>IF($A475="","",AD475*H475*I475)</x:f>
      </x:c>
      <x:c r="AH475" s="24" t="str">
        <x:f>IF($A475="","",SUM(AD475:AE475,AG475)*SUM(Settings!$B$11:$B$12))</x:f>
      </x:c>
      <x:c r="AI475" s="24" t="str">
        <x:f>IF($A475="","",M475*Settings!$B$16)</x:f>
      </x:c>
      <x:c r="AJ475" s="24" t="str">
        <x:f>IF($A475="","",M475*Settings!$B$15)</x:f>
      </x:c>
      <x:c r="AK475" s="24" t="str">
        <x:f>IF($A475="","",O475*Settings!$B$18)</x:f>
      </x:c>
      <x:c r="AL475" s="24" t="str">
        <x:f>IF($A475="","",P475*Settings!$B$20+Q475*Settings!$B$21+R475*Settings!$B$22+S475*Settings!$B$23)</x:f>
      </x:c>
      <x:c r="AM475" s="24" t="str">
        <x:f>IF($A475="","",T475*Settings!$B$24)</x:f>
      </x:c>
      <x:c r="AN475" s="23" t="str">
        <x:f>IF($A475="","",SUM(AI475,N475,AK475:AM475,U475))</x:f>
      </x:c>
      <x:c r="AO475" s="23" t="str">
        <x:f>IF($A475="","",SUM(AD475:AI475,N475,AK475:AM475,U475))</x:f>
      </x:c>
      <x:c r="AP475" s="24" t="str">
        <x:f>IF($A475="","",G475*F475*AB475*((13-Settings!$B$9)*(1+H475*I475)+J475)*(1+SUM(Settings!$B$11:$B$12)))</x:f>
      </x:c>
      <x:c r="AQ475" s="23" t="str">
        <x:f>IF($A475="","",SUM(AO475:AP475))</x:f>
      </x:c>
      <x:c r="AR475" s="23" t="str">
        <x:f>IF($A475="","",AQ475-X475)</x:f>
      </x:c>
      <x:c r="AS475" s="22" t="str">
        <x:f>IF($A475="","",IF(W475=0,"n.a.",V475/W475))</x:f>
      </x:c>
      <x:c r="AT475" s="26" t="str">
        <x:f>IF($A475="",IF(COUNTA(B475:Y475)&gt;0,"Missing ID",""),IF(COUNTIFS($A$9:$A$508,A475)&gt;1,"Duplicate ID",IF(OR(B475="",C475="",D475="",E475="",COUNT(F475:X475)&lt;&gt;19),"Missing / text input",IF(OR(COUNTIFS(Settings!$A$59:$A$64,B475)&lt;&gt;1,COUNTIFS(Settings!$A$29:$A$33,E475)&lt;&gt;1),"Unknown department / grade",IF(OR(F475&lt;=0,F475&gt;1,G475&lt;=0,L475&lt;=0,H475&lt;0,I475&lt;0,J475&lt;0,K475&lt;0,K475&gt;1,MIN(M475:X475)&lt;0,W475=0,V475&gt;W475,M475&gt;W475-V475,P475&gt;8,Q475&gt;4,R475&gt;12,S475&gt;12,T475&gt;1,AB475&lt;0),"Review quantity / rate",IF(OR(N475&gt;Settings!$C$17,AK475&gt;Settings!$C$19),"Review benefit ceiling","OK"))))))</x:f>
      </x:c>
    </x:row>
    <x:row r="476" ht="23" customHeight="1">
      <x:c r="A476" s="8"/>
      <x:c r="B476" s="8"/>
      <x:c r="C476" s="8"/>
      <x:c r="D476" s="8"/>
      <x:c r="E476" s="8"/>
      <x:c r="F476" s="20"/>
      <x:c r="G476" s="12"/>
      <x:c r="H476" s="21"/>
      <x:c r="I476" s="20"/>
      <x:c r="J476" s="20"/>
      <x:c r="K476" s="20"/>
      <x:c r="L476" s="12"/>
      <x:c r="M476" s="8"/>
      <x:c r="N476" s="12"/>
      <x:c r="O476" s="8"/>
      <x:c r="P476" s="8"/>
      <x:c r="Q476" s="8"/>
      <x:c r="R476" s="8"/>
      <x:c r="S476" s="8"/>
      <x:c r="T476" s="8"/>
      <x:c r="U476" s="12"/>
      <x:c r="V476" s="8"/>
      <x:c r="W476" s="8"/>
      <x:c r="X476" s="12"/>
      <x:c r="Y476" s="21"/>
      <x:c r="Z476" s="24" t="str">
        <x:f>IF($A476="","",INDEX(Settings!$C$29:$C$33,MATCH(E476,Settings!$A$29:$A$33,0)))</x:f>
      </x:c>
      <x:c r="AA476" s="22" t="str">
        <x:f>IF($A476="","",G476/Z476)</x:f>
      </x:c>
      <x:c r="AB476" s="25" t="str">
        <x:f>IF($A476="","",IF(ISNUMBER(Y476),Y476,Settings!$B$10))</x:f>
      </x:c>
      <x:c r="AC476" s="23" t="str">
        <x:f>IF($A476="","",G476*(1+AB476))</x:f>
      </x:c>
      <x:c r="AD476" s="23" t="str">
        <x:f>IF($A476="","",G476*F476*12)</x:f>
      </x:c>
      <x:c r="AE476" s="23" t="str">
        <x:f>IF($A476="","",G476*F476*J476)</x:f>
      </x:c>
      <x:c r="AF476" s="24" t="str">
        <x:f>IF($A476="","",L476*F476*K476*Settings!$B$13)</x:f>
      </x:c>
      <x:c r="AG476" s="23" t="str">
        <x:f>IF($A476="","",AD476*H476*I476)</x:f>
      </x:c>
      <x:c r="AH476" s="24" t="str">
        <x:f>IF($A476="","",SUM(AD476:AE476,AG476)*SUM(Settings!$B$11:$B$12))</x:f>
      </x:c>
      <x:c r="AI476" s="24" t="str">
        <x:f>IF($A476="","",M476*Settings!$B$16)</x:f>
      </x:c>
      <x:c r="AJ476" s="24" t="str">
        <x:f>IF($A476="","",M476*Settings!$B$15)</x:f>
      </x:c>
      <x:c r="AK476" s="24" t="str">
        <x:f>IF($A476="","",O476*Settings!$B$18)</x:f>
      </x:c>
      <x:c r="AL476" s="24" t="str">
        <x:f>IF($A476="","",P476*Settings!$B$20+Q476*Settings!$B$21+R476*Settings!$B$22+S476*Settings!$B$23)</x:f>
      </x:c>
      <x:c r="AM476" s="24" t="str">
        <x:f>IF($A476="","",T476*Settings!$B$24)</x:f>
      </x:c>
      <x:c r="AN476" s="23" t="str">
        <x:f>IF($A476="","",SUM(AI476,N476,AK476:AM476,U476))</x:f>
      </x:c>
      <x:c r="AO476" s="23" t="str">
        <x:f>IF($A476="","",SUM(AD476:AI476,N476,AK476:AM476,U476))</x:f>
      </x:c>
      <x:c r="AP476" s="24" t="str">
        <x:f>IF($A476="","",G476*F476*AB476*((13-Settings!$B$9)*(1+H476*I476)+J476)*(1+SUM(Settings!$B$11:$B$12)))</x:f>
      </x:c>
      <x:c r="AQ476" s="23" t="str">
        <x:f>IF($A476="","",SUM(AO476:AP476))</x:f>
      </x:c>
      <x:c r="AR476" s="23" t="str">
        <x:f>IF($A476="","",AQ476-X476)</x:f>
      </x:c>
      <x:c r="AS476" s="22" t="str">
        <x:f>IF($A476="","",IF(W476=0,"n.a.",V476/W476))</x:f>
      </x:c>
      <x:c r="AT476" s="26" t="str">
        <x:f>IF($A476="",IF(COUNTA(B476:Y476)&gt;0,"Missing ID",""),IF(COUNTIFS($A$9:$A$508,A476)&gt;1,"Duplicate ID",IF(OR(B476="",C476="",D476="",E476="",COUNT(F476:X476)&lt;&gt;19),"Missing / text input",IF(OR(COUNTIFS(Settings!$A$59:$A$64,B476)&lt;&gt;1,COUNTIFS(Settings!$A$29:$A$33,E476)&lt;&gt;1),"Unknown department / grade",IF(OR(F476&lt;=0,F476&gt;1,G476&lt;=0,L476&lt;=0,H476&lt;0,I476&lt;0,J476&lt;0,K476&lt;0,K476&gt;1,MIN(M476:X476)&lt;0,W476=0,V476&gt;W476,M476&gt;W476-V476,P476&gt;8,Q476&gt;4,R476&gt;12,S476&gt;12,T476&gt;1,AB476&lt;0),"Review quantity / rate",IF(OR(N476&gt;Settings!$C$17,AK476&gt;Settings!$C$19),"Review benefit ceiling","OK"))))))</x:f>
      </x:c>
    </x:row>
    <x:row r="477" ht="23" customHeight="1">
      <x:c r="A477" s="8"/>
      <x:c r="B477" s="8"/>
      <x:c r="C477" s="8"/>
      <x:c r="D477" s="8"/>
      <x:c r="E477" s="8"/>
      <x:c r="F477" s="20"/>
      <x:c r="G477" s="12"/>
      <x:c r="H477" s="21"/>
      <x:c r="I477" s="20"/>
      <x:c r="J477" s="20"/>
      <x:c r="K477" s="20"/>
      <x:c r="L477" s="12"/>
      <x:c r="M477" s="8"/>
      <x:c r="N477" s="12"/>
      <x:c r="O477" s="8"/>
      <x:c r="P477" s="8"/>
      <x:c r="Q477" s="8"/>
      <x:c r="R477" s="8"/>
      <x:c r="S477" s="8"/>
      <x:c r="T477" s="8"/>
      <x:c r="U477" s="12"/>
      <x:c r="V477" s="8"/>
      <x:c r="W477" s="8"/>
      <x:c r="X477" s="12"/>
      <x:c r="Y477" s="21"/>
      <x:c r="Z477" s="24" t="str">
        <x:f>IF($A477="","",INDEX(Settings!$C$29:$C$33,MATCH(E477,Settings!$A$29:$A$33,0)))</x:f>
      </x:c>
      <x:c r="AA477" s="22" t="str">
        <x:f>IF($A477="","",G477/Z477)</x:f>
      </x:c>
      <x:c r="AB477" s="25" t="str">
        <x:f>IF($A477="","",IF(ISNUMBER(Y477),Y477,Settings!$B$10))</x:f>
      </x:c>
      <x:c r="AC477" s="23" t="str">
        <x:f>IF($A477="","",G477*(1+AB477))</x:f>
      </x:c>
      <x:c r="AD477" s="23" t="str">
        <x:f>IF($A477="","",G477*F477*12)</x:f>
      </x:c>
      <x:c r="AE477" s="23" t="str">
        <x:f>IF($A477="","",G477*F477*J477)</x:f>
      </x:c>
      <x:c r="AF477" s="24" t="str">
        <x:f>IF($A477="","",L477*F477*K477*Settings!$B$13)</x:f>
      </x:c>
      <x:c r="AG477" s="23" t="str">
        <x:f>IF($A477="","",AD477*H477*I477)</x:f>
      </x:c>
      <x:c r="AH477" s="24" t="str">
        <x:f>IF($A477="","",SUM(AD477:AE477,AG477)*SUM(Settings!$B$11:$B$12))</x:f>
      </x:c>
      <x:c r="AI477" s="24" t="str">
        <x:f>IF($A477="","",M477*Settings!$B$16)</x:f>
      </x:c>
      <x:c r="AJ477" s="24" t="str">
        <x:f>IF($A477="","",M477*Settings!$B$15)</x:f>
      </x:c>
      <x:c r="AK477" s="24" t="str">
        <x:f>IF($A477="","",O477*Settings!$B$18)</x:f>
      </x:c>
      <x:c r="AL477" s="24" t="str">
        <x:f>IF($A477="","",P477*Settings!$B$20+Q477*Settings!$B$21+R477*Settings!$B$22+S477*Settings!$B$23)</x:f>
      </x:c>
      <x:c r="AM477" s="24" t="str">
        <x:f>IF($A477="","",T477*Settings!$B$24)</x:f>
      </x:c>
      <x:c r="AN477" s="23" t="str">
        <x:f>IF($A477="","",SUM(AI477,N477,AK477:AM477,U477))</x:f>
      </x:c>
      <x:c r="AO477" s="23" t="str">
        <x:f>IF($A477="","",SUM(AD477:AI477,N477,AK477:AM477,U477))</x:f>
      </x:c>
      <x:c r="AP477" s="24" t="str">
        <x:f>IF($A477="","",G477*F477*AB477*((13-Settings!$B$9)*(1+H477*I477)+J477)*(1+SUM(Settings!$B$11:$B$12)))</x:f>
      </x:c>
      <x:c r="AQ477" s="23" t="str">
        <x:f>IF($A477="","",SUM(AO477:AP477))</x:f>
      </x:c>
      <x:c r="AR477" s="23" t="str">
        <x:f>IF($A477="","",AQ477-X477)</x:f>
      </x:c>
      <x:c r="AS477" s="22" t="str">
        <x:f>IF($A477="","",IF(W477=0,"n.a.",V477/W477))</x:f>
      </x:c>
      <x:c r="AT477" s="26" t="str">
        <x:f>IF($A477="",IF(COUNTA(B477:Y477)&gt;0,"Missing ID",""),IF(COUNTIFS($A$9:$A$508,A477)&gt;1,"Duplicate ID",IF(OR(B477="",C477="",D477="",E477="",COUNT(F477:X477)&lt;&gt;19),"Missing / text input",IF(OR(COUNTIFS(Settings!$A$59:$A$64,B477)&lt;&gt;1,COUNTIFS(Settings!$A$29:$A$33,E477)&lt;&gt;1),"Unknown department / grade",IF(OR(F477&lt;=0,F477&gt;1,G477&lt;=0,L477&lt;=0,H477&lt;0,I477&lt;0,J477&lt;0,K477&lt;0,K477&gt;1,MIN(M477:X477)&lt;0,W477=0,V477&gt;W477,M477&gt;W477-V477,P477&gt;8,Q477&gt;4,R477&gt;12,S477&gt;12,T477&gt;1,AB477&lt;0),"Review quantity / rate",IF(OR(N477&gt;Settings!$C$17,AK477&gt;Settings!$C$19),"Review benefit ceiling","OK"))))))</x:f>
      </x:c>
    </x:row>
    <x:row r="478" ht="23" customHeight="1">
      <x:c r="A478" s="8"/>
      <x:c r="B478" s="8"/>
      <x:c r="C478" s="8"/>
      <x:c r="D478" s="8"/>
      <x:c r="E478" s="8"/>
      <x:c r="F478" s="20"/>
      <x:c r="G478" s="12"/>
      <x:c r="H478" s="21"/>
      <x:c r="I478" s="20"/>
      <x:c r="J478" s="20"/>
      <x:c r="K478" s="20"/>
      <x:c r="L478" s="12"/>
      <x:c r="M478" s="8"/>
      <x:c r="N478" s="12"/>
      <x:c r="O478" s="8"/>
      <x:c r="P478" s="8"/>
      <x:c r="Q478" s="8"/>
      <x:c r="R478" s="8"/>
      <x:c r="S478" s="8"/>
      <x:c r="T478" s="8"/>
      <x:c r="U478" s="12"/>
      <x:c r="V478" s="8"/>
      <x:c r="W478" s="8"/>
      <x:c r="X478" s="12"/>
      <x:c r="Y478" s="21"/>
      <x:c r="Z478" s="24" t="str">
        <x:f>IF($A478="","",INDEX(Settings!$C$29:$C$33,MATCH(E478,Settings!$A$29:$A$33,0)))</x:f>
      </x:c>
      <x:c r="AA478" s="22" t="str">
        <x:f>IF($A478="","",G478/Z478)</x:f>
      </x:c>
      <x:c r="AB478" s="25" t="str">
        <x:f>IF($A478="","",IF(ISNUMBER(Y478),Y478,Settings!$B$10))</x:f>
      </x:c>
      <x:c r="AC478" s="23" t="str">
        <x:f>IF($A478="","",G478*(1+AB478))</x:f>
      </x:c>
      <x:c r="AD478" s="23" t="str">
        <x:f>IF($A478="","",G478*F478*12)</x:f>
      </x:c>
      <x:c r="AE478" s="23" t="str">
        <x:f>IF($A478="","",G478*F478*J478)</x:f>
      </x:c>
      <x:c r="AF478" s="24" t="str">
        <x:f>IF($A478="","",L478*F478*K478*Settings!$B$13)</x:f>
      </x:c>
      <x:c r="AG478" s="23" t="str">
        <x:f>IF($A478="","",AD478*H478*I478)</x:f>
      </x:c>
      <x:c r="AH478" s="24" t="str">
        <x:f>IF($A478="","",SUM(AD478:AE478,AG478)*SUM(Settings!$B$11:$B$12))</x:f>
      </x:c>
      <x:c r="AI478" s="24" t="str">
        <x:f>IF($A478="","",M478*Settings!$B$16)</x:f>
      </x:c>
      <x:c r="AJ478" s="24" t="str">
        <x:f>IF($A478="","",M478*Settings!$B$15)</x:f>
      </x:c>
      <x:c r="AK478" s="24" t="str">
        <x:f>IF($A478="","",O478*Settings!$B$18)</x:f>
      </x:c>
      <x:c r="AL478" s="24" t="str">
        <x:f>IF($A478="","",P478*Settings!$B$20+Q478*Settings!$B$21+R478*Settings!$B$22+S478*Settings!$B$23)</x:f>
      </x:c>
      <x:c r="AM478" s="24" t="str">
        <x:f>IF($A478="","",T478*Settings!$B$24)</x:f>
      </x:c>
      <x:c r="AN478" s="23" t="str">
        <x:f>IF($A478="","",SUM(AI478,N478,AK478:AM478,U478))</x:f>
      </x:c>
      <x:c r="AO478" s="23" t="str">
        <x:f>IF($A478="","",SUM(AD478:AI478,N478,AK478:AM478,U478))</x:f>
      </x:c>
      <x:c r="AP478" s="24" t="str">
        <x:f>IF($A478="","",G478*F478*AB478*((13-Settings!$B$9)*(1+H478*I478)+J478)*(1+SUM(Settings!$B$11:$B$12)))</x:f>
      </x:c>
      <x:c r="AQ478" s="23" t="str">
        <x:f>IF($A478="","",SUM(AO478:AP478))</x:f>
      </x:c>
      <x:c r="AR478" s="23" t="str">
        <x:f>IF($A478="","",AQ478-X478)</x:f>
      </x:c>
      <x:c r="AS478" s="22" t="str">
        <x:f>IF($A478="","",IF(W478=0,"n.a.",V478/W478))</x:f>
      </x:c>
      <x:c r="AT478" s="26" t="str">
        <x:f>IF($A478="",IF(COUNTA(B478:Y478)&gt;0,"Missing ID",""),IF(COUNTIFS($A$9:$A$508,A478)&gt;1,"Duplicate ID",IF(OR(B478="",C478="",D478="",E478="",COUNT(F478:X478)&lt;&gt;19),"Missing / text input",IF(OR(COUNTIFS(Settings!$A$59:$A$64,B478)&lt;&gt;1,COUNTIFS(Settings!$A$29:$A$33,E478)&lt;&gt;1),"Unknown department / grade",IF(OR(F478&lt;=0,F478&gt;1,G478&lt;=0,L478&lt;=0,H478&lt;0,I478&lt;0,J478&lt;0,K478&lt;0,K478&gt;1,MIN(M478:X478)&lt;0,W478=0,V478&gt;W478,M478&gt;W478-V478,P478&gt;8,Q478&gt;4,R478&gt;12,S478&gt;12,T478&gt;1,AB478&lt;0),"Review quantity / rate",IF(OR(N478&gt;Settings!$C$17,AK478&gt;Settings!$C$19),"Review benefit ceiling","OK"))))))</x:f>
      </x:c>
    </x:row>
    <x:row r="479" ht="23" customHeight="1">
      <x:c r="A479" s="8"/>
      <x:c r="B479" s="8"/>
      <x:c r="C479" s="8"/>
      <x:c r="D479" s="8"/>
      <x:c r="E479" s="8"/>
      <x:c r="F479" s="20"/>
      <x:c r="G479" s="12"/>
      <x:c r="H479" s="21"/>
      <x:c r="I479" s="20"/>
      <x:c r="J479" s="20"/>
      <x:c r="K479" s="20"/>
      <x:c r="L479" s="12"/>
      <x:c r="M479" s="8"/>
      <x:c r="N479" s="12"/>
      <x:c r="O479" s="8"/>
      <x:c r="P479" s="8"/>
      <x:c r="Q479" s="8"/>
      <x:c r="R479" s="8"/>
      <x:c r="S479" s="8"/>
      <x:c r="T479" s="8"/>
      <x:c r="U479" s="12"/>
      <x:c r="V479" s="8"/>
      <x:c r="W479" s="8"/>
      <x:c r="X479" s="12"/>
      <x:c r="Y479" s="21"/>
      <x:c r="Z479" s="24" t="str">
        <x:f>IF($A479="","",INDEX(Settings!$C$29:$C$33,MATCH(E479,Settings!$A$29:$A$33,0)))</x:f>
      </x:c>
      <x:c r="AA479" s="22" t="str">
        <x:f>IF($A479="","",G479/Z479)</x:f>
      </x:c>
      <x:c r="AB479" s="25" t="str">
        <x:f>IF($A479="","",IF(ISNUMBER(Y479),Y479,Settings!$B$10))</x:f>
      </x:c>
      <x:c r="AC479" s="23" t="str">
        <x:f>IF($A479="","",G479*(1+AB479))</x:f>
      </x:c>
      <x:c r="AD479" s="23" t="str">
        <x:f>IF($A479="","",G479*F479*12)</x:f>
      </x:c>
      <x:c r="AE479" s="23" t="str">
        <x:f>IF($A479="","",G479*F479*J479)</x:f>
      </x:c>
      <x:c r="AF479" s="24" t="str">
        <x:f>IF($A479="","",L479*F479*K479*Settings!$B$13)</x:f>
      </x:c>
      <x:c r="AG479" s="23" t="str">
        <x:f>IF($A479="","",AD479*H479*I479)</x:f>
      </x:c>
      <x:c r="AH479" s="24" t="str">
        <x:f>IF($A479="","",SUM(AD479:AE479,AG479)*SUM(Settings!$B$11:$B$12))</x:f>
      </x:c>
      <x:c r="AI479" s="24" t="str">
        <x:f>IF($A479="","",M479*Settings!$B$16)</x:f>
      </x:c>
      <x:c r="AJ479" s="24" t="str">
        <x:f>IF($A479="","",M479*Settings!$B$15)</x:f>
      </x:c>
      <x:c r="AK479" s="24" t="str">
        <x:f>IF($A479="","",O479*Settings!$B$18)</x:f>
      </x:c>
      <x:c r="AL479" s="24" t="str">
        <x:f>IF($A479="","",P479*Settings!$B$20+Q479*Settings!$B$21+R479*Settings!$B$22+S479*Settings!$B$23)</x:f>
      </x:c>
      <x:c r="AM479" s="24" t="str">
        <x:f>IF($A479="","",T479*Settings!$B$24)</x:f>
      </x:c>
      <x:c r="AN479" s="23" t="str">
        <x:f>IF($A479="","",SUM(AI479,N479,AK479:AM479,U479))</x:f>
      </x:c>
      <x:c r="AO479" s="23" t="str">
        <x:f>IF($A479="","",SUM(AD479:AI479,N479,AK479:AM479,U479))</x:f>
      </x:c>
      <x:c r="AP479" s="24" t="str">
        <x:f>IF($A479="","",G479*F479*AB479*((13-Settings!$B$9)*(1+H479*I479)+J479)*(1+SUM(Settings!$B$11:$B$12)))</x:f>
      </x:c>
      <x:c r="AQ479" s="23" t="str">
        <x:f>IF($A479="","",SUM(AO479:AP479))</x:f>
      </x:c>
      <x:c r="AR479" s="23" t="str">
        <x:f>IF($A479="","",AQ479-X479)</x:f>
      </x:c>
      <x:c r="AS479" s="22" t="str">
        <x:f>IF($A479="","",IF(W479=0,"n.a.",V479/W479))</x:f>
      </x:c>
      <x:c r="AT479" s="26" t="str">
        <x:f>IF($A479="",IF(COUNTA(B479:Y479)&gt;0,"Missing ID",""),IF(COUNTIFS($A$9:$A$508,A479)&gt;1,"Duplicate ID",IF(OR(B479="",C479="",D479="",E479="",COUNT(F479:X479)&lt;&gt;19),"Missing / text input",IF(OR(COUNTIFS(Settings!$A$59:$A$64,B479)&lt;&gt;1,COUNTIFS(Settings!$A$29:$A$33,E479)&lt;&gt;1),"Unknown department / grade",IF(OR(F479&lt;=0,F479&gt;1,G479&lt;=0,L479&lt;=0,H479&lt;0,I479&lt;0,J479&lt;0,K479&lt;0,K479&gt;1,MIN(M479:X479)&lt;0,W479=0,V479&gt;W479,M479&gt;W479-V479,P479&gt;8,Q479&gt;4,R479&gt;12,S479&gt;12,T479&gt;1,AB479&lt;0),"Review quantity / rate",IF(OR(N479&gt;Settings!$C$17,AK479&gt;Settings!$C$19),"Review benefit ceiling","OK"))))))</x:f>
      </x:c>
    </x:row>
    <x:row r="480" ht="23" customHeight="1">
      <x:c r="A480" s="8"/>
      <x:c r="B480" s="8"/>
      <x:c r="C480" s="8"/>
      <x:c r="D480" s="8"/>
      <x:c r="E480" s="8"/>
      <x:c r="F480" s="20"/>
      <x:c r="G480" s="12"/>
      <x:c r="H480" s="21"/>
      <x:c r="I480" s="20"/>
      <x:c r="J480" s="20"/>
      <x:c r="K480" s="20"/>
      <x:c r="L480" s="12"/>
      <x:c r="M480" s="8"/>
      <x:c r="N480" s="12"/>
      <x:c r="O480" s="8"/>
      <x:c r="P480" s="8"/>
      <x:c r="Q480" s="8"/>
      <x:c r="R480" s="8"/>
      <x:c r="S480" s="8"/>
      <x:c r="T480" s="8"/>
      <x:c r="U480" s="12"/>
      <x:c r="V480" s="8"/>
      <x:c r="W480" s="8"/>
      <x:c r="X480" s="12"/>
      <x:c r="Y480" s="21"/>
      <x:c r="Z480" s="24" t="str">
        <x:f>IF($A480="","",INDEX(Settings!$C$29:$C$33,MATCH(E480,Settings!$A$29:$A$33,0)))</x:f>
      </x:c>
      <x:c r="AA480" s="22" t="str">
        <x:f>IF($A480="","",G480/Z480)</x:f>
      </x:c>
      <x:c r="AB480" s="25" t="str">
        <x:f>IF($A480="","",IF(ISNUMBER(Y480),Y480,Settings!$B$10))</x:f>
      </x:c>
      <x:c r="AC480" s="23" t="str">
        <x:f>IF($A480="","",G480*(1+AB480))</x:f>
      </x:c>
      <x:c r="AD480" s="23" t="str">
        <x:f>IF($A480="","",G480*F480*12)</x:f>
      </x:c>
      <x:c r="AE480" s="23" t="str">
        <x:f>IF($A480="","",G480*F480*J480)</x:f>
      </x:c>
      <x:c r="AF480" s="24" t="str">
        <x:f>IF($A480="","",L480*F480*K480*Settings!$B$13)</x:f>
      </x:c>
      <x:c r="AG480" s="23" t="str">
        <x:f>IF($A480="","",AD480*H480*I480)</x:f>
      </x:c>
      <x:c r="AH480" s="24" t="str">
        <x:f>IF($A480="","",SUM(AD480:AE480,AG480)*SUM(Settings!$B$11:$B$12))</x:f>
      </x:c>
      <x:c r="AI480" s="24" t="str">
        <x:f>IF($A480="","",M480*Settings!$B$16)</x:f>
      </x:c>
      <x:c r="AJ480" s="24" t="str">
        <x:f>IF($A480="","",M480*Settings!$B$15)</x:f>
      </x:c>
      <x:c r="AK480" s="24" t="str">
        <x:f>IF($A480="","",O480*Settings!$B$18)</x:f>
      </x:c>
      <x:c r="AL480" s="24" t="str">
        <x:f>IF($A480="","",P480*Settings!$B$20+Q480*Settings!$B$21+R480*Settings!$B$22+S480*Settings!$B$23)</x:f>
      </x:c>
      <x:c r="AM480" s="24" t="str">
        <x:f>IF($A480="","",T480*Settings!$B$24)</x:f>
      </x:c>
      <x:c r="AN480" s="23" t="str">
        <x:f>IF($A480="","",SUM(AI480,N480,AK480:AM480,U480))</x:f>
      </x:c>
      <x:c r="AO480" s="23" t="str">
        <x:f>IF($A480="","",SUM(AD480:AI480,N480,AK480:AM480,U480))</x:f>
      </x:c>
      <x:c r="AP480" s="24" t="str">
        <x:f>IF($A480="","",G480*F480*AB480*((13-Settings!$B$9)*(1+H480*I480)+J480)*(1+SUM(Settings!$B$11:$B$12)))</x:f>
      </x:c>
      <x:c r="AQ480" s="23" t="str">
        <x:f>IF($A480="","",SUM(AO480:AP480))</x:f>
      </x:c>
      <x:c r="AR480" s="23" t="str">
        <x:f>IF($A480="","",AQ480-X480)</x:f>
      </x:c>
      <x:c r="AS480" s="22" t="str">
        <x:f>IF($A480="","",IF(W480=0,"n.a.",V480/W480))</x:f>
      </x:c>
      <x:c r="AT480" s="26" t="str">
        <x:f>IF($A480="",IF(COUNTA(B480:Y480)&gt;0,"Missing ID",""),IF(COUNTIFS($A$9:$A$508,A480)&gt;1,"Duplicate ID",IF(OR(B480="",C480="",D480="",E480="",COUNT(F480:X480)&lt;&gt;19),"Missing / text input",IF(OR(COUNTIFS(Settings!$A$59:$A$64,B480)&lt;&gt;1,COUNTIFS(Settings!$A$29:$A$33,E480)&lt;&gt;1),"Unknown department / grade",IF(OR(F480&lt;=0,F480&gt;1,G480&lt;=0,L480&lt;=0,H480&lt;0,I480&lt;0,J480&lt;0,K480&lt;0,K480&gt;1,MIN(M480:X480)&lt;0,W480=0,V480&gt;W480,M480&gt;W480-V480,P480&gt;8,Q480&gt;4,R480&gt;12,S480&gt;12,T480&gt;1,AB480&lt;0),"Review quantity / rate",IF(OR(N480&gt;Settings!$C$17,AK480&gt;Settings!$C$19),"Review benefit ceiling","OK"))))))</x:f>
      </x:c>
    </x:row>
    <x:row r="481" ht="23" customHeight="1">
      <x:c r="A481" s="8"/>
      <x:c r="B481" s="8"/>
      <x:c r="C481" s="8"/>
      <x:c r="D481" s="8"/>
      <x:c r="E481" s="8"/>
      <x:c r="F481" s="20"/>
      <x:c r="G481" s="12"/>
      <x:c r="H481" s="21"/>
      <x:c r="I481" s="20"/>
      <x:c r="J481" s="20"/>
      <x:c r="K481" s="20"/>
      <x:c r="L481" s="12"/>
      <x:c r="M481" s="8"/>
      <x:c r="N481" s="12"/>
      <x:c r="O481" s="8"/>
      <x:c r="P481" s="8"/>
      <x:c r="Q481" s="8"/>
      <x:c r="R481" s="8"/>
      <x:c r="S481" s="8"/>
      <x:c r="T481" s="8"/>
      <x:c r="U481" s="12"/>
      <x:c r="V481" s="8"/>
      <x:c r="W481" s="8"/>
      <x:c r="X481" s="12"/>
      <x:c r="Y481" s="21"/>
      <x:c r="Z481" s="24" t="str">
        <x:f>IF($A481="","",INDEX(Settings!$C$29:$C$33,MATCH(E481,Settings!$A$29:$A$33,0)))</x:f>
      </x:c>
      <x:c r="AA481" s="22" t="str">
        <x:f>IF($A481="","",G481/Z481)</x:f>
      </x:c>
      <x:c r="AB481" s="25" t="str">
        <x:f>IF($A481="","",IF(ISNUMBER(Y481),Y481,Settings!$B$10))</x:f>
      </x:c>
      <x:c r="AC481" s="23" t="str">
        <x:f>IF($A481="","",G481*(1+AB481))</x:f>
      </x:c>
      <x:c r="AD481" s="23" t="str">
        <x:f>IF($A481="","",G481*F481*12)</x:f>
      </x:c>
      <x:c r="AE481" s="23" t="str">
        <x:f>IF($A481="","",G481*F481*J481)</x:f>
      </x:c>
      <x:c r="AF481" s="24" t="str">
        <x:f>IF($A481="","",L481*F481*K481*Settings!$B$13)</x:f>
      </x:c>
      <x:c r="AG481" s="23" t="str">
        <x:f>IF($A481="","",AD481*H481*I481)</x:f>
      </x:c>
      <x:c r="AH481" s="24" t="str">
        <x:f>IF($A481="","",SUM(AD481:AE481,AG481)*SUM(Settings!$B$11:$B$12))</x:f>
      </x:c>
      <x:c r="AI481" s="24" t="str">
        <x:f>IF($A481="","",M481*Settings!$B$16)</x:f>
      </x:c>
      <x:c r="AJ481" s="24" t="str">
        <x:f>IF($A481="","",M481*Settings!$B$15)</x:f>
      </x:c>
      <x:c r="AK481" s="24" t="str">
        <x:f>IF($A481="","",O481*Settings!$B$18)</x:f>
      </x:c>
      <x:c r="AL481" s="24" t="str">
        <x:f>IF($A481="","",P481*Settings!$B$20+Q481*Settings!$B$21+R481*Settings!$B$22+S481*Settings!$B$23)</x:f>
      </x:c>
      <x:c r="AM481" s="24" t="str">
        <x:f>IF($A481="","",T481*Settings!$B$24)</x:f>
      </x:c>
      <x:c r="AN481" s="23" t="str">
        <x:f>IF($A481="","",SUM(AI481,N481,AK481:AM481,U481))</x:f>
      </x:c>
      <x:c r="AO481" s="23" t="str">
        <x:f>IF($A481="","",SUM(AD481:AI481,N481,AK481:AM481,U481))</x:f>
      </x:c>
      <x:c r="AP481" s="24" t="str">
        <x:f>IF($A481="","",G481*F481*AB481*((13-Settings!$B$9)*(1+H481*I481)+J481)*(1+SUM(Settings!$B$11:$B$12)))</x:f>
      </x:c>
      <x:c r="AQ481" s="23" t="str">
        <x:f>IF($A481="","",SUM(AO481:AP481))</x:f>
      </x:c>
      <x:c r="AR481" s="23" t="str">
        <x:f>IF($A481="","",AQ481-X481)</x:f>
      </x:c>
      <x:c r="AS481" s="22" t="str">
        <x:f>IF($A481="","",IF(W481=0,"n.a.",V481/W481))</x:f>
      </x:c>
      <x:c r="AT481" s="26" t="str">
        <x:f>IF($A481="",IF(COUNTA(B481:Y481)&gt;0,"Missing ID",""),IF(COUNTIFS($A$9:$A$508,A481)&gt;1,"Duplicate ID",IF(OR(B481="",C481="",D481="",E481="",COUNT(F481:X481)&lt;&gt;19),"Missing / text input",IF(OR(COUNTIFS(Settings!$A$59:$A$64,B481)&lt;&gt;1,COUNTIFS(Settings!$A$29:$A$33,E481)&lt;&gt;1),"Unknown department / grade",IF(OR(F481&lt;=0,F481&gt;1,G481&lt;=0,L481&lt;=0,H481&lt;0,I481&lt;0,J481&lt;0,K481&lt;0,K481&gt;1,MIN(M481:X481)&lt;0,W481=0,V481&gt;W481,M481&gt;W481-V481,P481&gt;8,Q481&gt;4,R481&gt;12,S481&gt;12,T481&gt;1,AB481&lt;0),"Review quantity / rate",IF(OR(N481&gt;Settings!$C$17,AK481&gt;Settings!$C$19),"Review benefit ceiling","OK"))))))</x:f>
      </x:c>
    </x:row>
    <x:row r="482" ht="23" customHeight="1">
      <x:c r="A482" s="8"/>
      <x:c r="B482" s="8"/>
      <x:c r="C482" s="8"/>
      <x:c r="D482" s="8"/>
      <x:c r="E482" s="8"/>
      <x:c r="F482" s="20"/>
      <x:c r="G482" s="12"/>
      <x:c r="H482" s="21"/>
      <x:c r="I482" s="20"/>
      <x:c r="J482" s="20"/>
      <x:c r="K482" s="20"/>
      <x:c r="L482" s="12"/>
      <x:c r="M482" s="8"/>
      <x:c r="N482" s="12"/>
      <x:c r="O482" s="8"/>
      <x:c r="P482" s="8"/>
      <x:c r="Q482" s="8"/>
      <x:c r="R482" s="8"/>
      <x:c r="S482" s="8"/>
      <x:c r="T482" s="8"/>
      <x:c r="U482" s="12"/>
      <x:c r="V482" s="8"/>
      <x:c r="W482" s="8"/>
      <x:c r="X482" s="12"/>
      <x:c r="Y482" s="21"/>
      <x:c r="Z482" s="24" t="str">
        <x:f>IF($A482="","",INDEX(Settings!$C$29:$C$33,MATCH(E482,Settings!$A$29:$A$33,0)))</x:f>
      </x:c>
      <x:c r="AA482" s="22" t="str">
        <x:f>IF($A482="","",G482/Z482)</x:f>
      </x:c>
      <x:c r="AB482" s="25" t="str">
        <x:f>IF($A482="","",IF(ISNUMBER(Y482),Y482,Settings!$B$10))</x:f>
      </x:c>
      <x:c r="AC482" s="23" t="str">
        <x:f>IF($A482="","",G482*(1+AB482))</x:f>
      </x:c>
      <x:c r="AD482" s="23" t="str">
        <x:f>IF($A482="","",G482*F482*12)</x:f>
      </x:c>
      <x:c r="AE482" s="23" t="str">
        <x:f>IF($A482="","",G482*F482*J482)</x:f>
      </x:c>
      <x:c r="AF482" s="24" t="str">
        <x:f>IF($A482="","",L482*F482*K482*Settings!$B$13)</x:f>
      </x:c>
      <x:c r="AG482" s="23" t="str">
        <x:f>IF($A482="","",AD482*H482*I482)</x:f>
      </x:c>
      <x:c r="AH482" s="24" t="str">
        <x:f>IF($A482="","",SUM(AD482:AE482,AG482)*SUM(Settings!$B$11:$B$12))</x:f>
      </x:c>
      <x:c r="AI482" s="24" t="str">
        <x:f>IF($A482="","",M482*Settings!$B$16)</x:f>
      </x:c>
      <x:c r="AJ482" s="24" t="str">
        <x:f>IF($A482="","",M482*Settings!$B$15)</x:f>
      </x:c>
      <x:c r="AK482" s="24" t="str">
        <x:f>IF($A482="","",O482*Settings!$B$18)</x:f>
      </x:c>
      <x:c r="AL482" s="24" t="str">
        <x:f>IF($A482="","",P482*Settings!$B$20+Q482*Settings!$B$21+R482*Settings!$B$22+S482*Settings!$B$23)</x:f>
      </x:c>
      <x:c r="AM482" s="24" t="str">
        <x:f>IF($A482="","",T482*Settings!$B$24)</x:f>
      </x:c>
      <x:c r="AN482" s="23" t="str">
        <x:f>IF($A482="","",SUM(AI482,N482,AK482:AM482,U482))</x:f>
      </x:c>
      <x:c r="AO482" s="23" t="str">
        <x:f>IF($A482="","",SUM(AD482:AI482,N482,AK482:AM482,U482))</x:f>
      </x:c>
      <x:c r="AP482" s="24" t="str">
        <x:f>IF($A482="","",G482*F482*AB482*((13-Settings!$B$9)*(1+H482*I482)+J482)*(1+SUM(Settings!$B$11:$B$12)))</x:f>
      </x:c>
      <x:c r="AQ482" s="23" t="str">
        <x:f>IF($A482="","",SUM(AO482:AP482))</x:f>
      </x:c>
      <x:c r="AR482" s="23" t="str">
        <x:f>IF($A482="","",AQ482-X482)</x:f>
      </x:c>
      <x:c r="AS482" s="22" t="str">
        <x:f>IF($A482="","",IF(W482=0,"n.a.",V482/W482))</x:f>
      </x:c>
      <x:c r="AT482" s="26" t="str">
        <x:f>IF($A482="",IF(COUNTA(B482:Y482)&gt;0,"Missing ID",""),IF(COUNTIFS($A$9:$A$508,A482)&gt;1,"Duplicate ID",IF(OR(B482="",C482="",D482="",E482="",COUNT(F482:X482)&lt;&gt;19),"Missing / text input",IF(OR(COUNTIFS(Settings!$A$59:$A$64,B482)&lt;&gt;1,COUNTIFS(Settings!$A$29:$A$33,E482)&lt;&gt;1),"Unknown department / grade",IF(OR(F482&lt;=0,F482&gt;1,G482&lt;=0,L482&lt;=0,H482&lt;0,I482&lt;0,J482&lt;0,K482&lt;0,K482&gt;1,MIN(M482:X482)&lt;0,W482=0,V482&gt;W482,M482&gt;W482-V482,P482&gt;8,Q482&gt;4,R482&gt;12,S482&gt;12,T482&gt;1,AB482&lt;0),"Review quantity / rate",IF(OR(N482&gt;Settings!$C$17,AK482&gt;Settings!$C$19),"Review benefit ceiling","OK"))))))</x:f>
      </x:c>
    </x:row>
    <x:row r="483" ht="23" customHeight="1">
      <x:c r="A483" s="8"/>
      <x:c r="B483" s="8"/>
      <x:c r="C483" s="8"/>
      <x:c r="D483" s="8"/>
      <x:c r="E483" s="8"/>
      <x:c r="F483" s="20"/>
      <x:c r="G483" s="12"/>
      <x:c r="H483" s="21"/>
      <x:c r="I483" s="20"/>
      <x:c r="J483" s="20"/>
      <x:c r="K483" s="20"/>
      <x:c r="L483" s="12"/>
      <x:c r="M483" s="8"/>
      <x:c r="N483" s="12"/>
      <x:c r="O483" s="8"/>
      <x:c r="P483" s="8"/>
      <x:c r="Q483" s="8"/>
      <x:c r="R483" s="8"/>
      <x:c r="S483" s="8"/>
      <x:c r="T483" s="8"/>
      <x:c r="U483" s="12"/>
      <x:c r="V483" s="8"/>
      <x:c r="W483" s="8"/>
      <x:c r="X483" s="12"/>
      <x:c r="Y483" s="21"/>
      <x:c r="Z483" s="24" t="str">
        <x:f>IF($A483="","",INDEX(Settings!$C$29:$C$33,MATCH(E483,Settings!$A$29:$A$33,0)))</x:f>
      </x:c>
      <x:c r="AA483" s="22" t="str">
        <x:f>IF($A483="","",G483/Z483)</x:f>
      </x:c>
      <x:c r="AB483" s="25" t="str">
        <x:f>IF($A483="","",IF(ISNUMBER(Y483),Y483,Settings!$B$10))</x:f>
      </x:c>
      <x:c r="AC483" s="23" t="str">
        <x:f>IF($A483="","",G483*(1+AB483))</x:f>
      </x:c>
      <x:c r="AD483" s="23" t="str">
        <x:f>IF($A483="","",G483*F483*12)</x:f>
      </x:c>
      <x:c r="AE483" s="23" t="str">
        <x:f>IF($A483="","",G483*F483*J483)</x:f>
      </x:c>
      <x:c r="AF483" s="24" t="str">
        <x:f>IF($A483="","",L483*F483*K483*Settings!$B$13)</x:f>
      </x:c>
      <x:c r="AG483" s="23" t="str">
        <x:f>IF($A483="","",AD483*H483*I483)</x:f>
      </x:c>
      <x:c r="AH483" s="24" t="str">
        <x:f>IF($A483="","",SUM(AD483:AE483,AG483)*SUM(Settings!$B$11:$B$12))</x:f>
      </x:c>
      <x:c r="AI483" s="24" t="str">
        <x:f>IF($A483="","",M483*Settings!$B$16)</x:f>
      </x:c>
      <x:c r="AJ483" s="24" t="str">
        <x:f>IF($A483="","",M483*Settings!$B$15)</x:f>
      </x:c>
      <x:c r="AK483" s="24" t="str">
        <x:f>IF($A483="","",O483*Settings!$B$18)</x:f>
      </x:c>
      <x:c r="AL483" s="24" t="str">
        <x:f>IF($A483="","",P483*Settings!$B$20+Q483*Settings!$B$21+R483*Settings!$B$22+S483*Settings!$B$23)</x:f>
      </x:c>
      <x:c r="AM483" s="24" t="str">
        <x:f>IF($A483="","",T483*Settings!$B$24)</x:f>
      </x:c>
      <x:c r="AN483" s="23" t="str">
        <x:f>IF($A483="","",SUM(AI483,N483,AK483:AM483,U483))</x:f>
      </x:c>
      <x:c r="AO483" s="23" t="str">
        <x:f>IF($A483="","",SUM(AD483:AI483,N483,AK483:AM483,U483))</x:f>
      </x:c>
      <x:c r="AP483" s="24" t="str">
        <x:f>IF($A483="","",G483*F483*AB483*((13-Settings!$B$9)*(1+H483*I483)+J483)*(1+SUM(Settings!$B$11:$B$12)))</x:f>
      </x:c>
      <x:c r="AQ483" s="23" t="str">
        <x:f>IF($A483="","",SUM(AO483:AP483))</x:f>
      </x:c>
      <x:c r="AR483" s="23" t="str">
        <x:f>IF($A483="","",AQ483-X483)</x:f>
      </x:c>
      <x:c r="AS483" s="22" t="str">
        <x:f>IF($A483="","",IF(W483=0,"n.a.",V483/W483))</x:f>
      </x:c>
      <x:c r="AT483" s="26" t="str">
        <x:f>IF($A483="",IF(COUNTA(B483:Y483)&gt;0,"Missing ID",""),IF(COUNTIFS($A$9:$A$508,A483)&gt;1,"Duplicate ID",IF(OR(B483="",C483="",D483="",E483="",COUNT(F483:X483)&lt;&gt;19),"Missing / text input",IF(OR(COUNTIFS(Settings!$A$59:$A$64,B483)&lt;&gt;1,COUNTIFS(Settings!$A$29:$A$33,E483)&lt;&gt;1),"Unknown department / grade",IF(OR(F483&lt;=0,F483&gt;1,G483&lt;=0,L483&lt;=0,H483&lt;0,I483&lt;0,J483&lt;0,K483&lt;0,K483&gt;1,MIN(M483:X483)&lt;0,W483=0,V483&gt;W483,M483&gt;W483-V483,P483&gt;8,Q483&gt;4,R483&gt;12,S483&gt;12,T483&gt;1,AB483&lt;0),"Review quantity / rate",IF(OR(N483&gt;Settings!$C$17,AK483&gt;Settings!$C$19),"Review benefit ceiling","OK"))))))</x:f>
      </x:c>
    </x:row>
    <x:row r="484" ht="23" customHeight="1">
      <x:c r="A484" s="8"/>
      <x:c r="B484" s="8"/>
      <x:c r="C484" s="8"/>
      <x:c r="D484" s="8"/>
      <x:c r="E484" s="8"/>
      <x:c r="F484" s="20"/>
      <x:c r="G484" s="12"/>
      <x:c r="H484" s="21"/>
      <x:c r="I484" s="20"/>
      <x:c r="J484" s="20"/>
      <x:c r="K484" s="20"/>
      <x:c r="L484" s="12"/>
      <x:c r="M484" s="8"/>
      <x:c r="N484" s="12"/>
      <x:c r="O484" s="8"/>
      <x:c r="P484" s="8"/>
      <x:c r="Q484" s="8"/>
      <x:c r="R484" s="8"/>
      <x:c r="S484" s="8"/>
      <x:c r="T484" s="8"/>
      <x:c r="U484" s="12"/>
      <x:c r="V484" s="8"/>
      <x:c r="W484" s="8"/>
      <x:c r="X484" s="12"/>
      <x:c r="Y484" s="21"/>
      <x:c r="Z484" s="24" t="str">
        <x:f>IF($A484="","",INDEX(Settings!$C$29:$C$33,MATCH(E484,Settings!$A$29:$A$33,0)))</x:f>
      </x:c>
      <x:c r="AA484" s="22" t="str">
        <x:f>IF($A484="","",G484/Z484)</x:f>
      </x:c>
      <x:c r="AB484" s="25" t="str">
        <x:f>IF($A484="","",IF(ISNUMBER(Y484),Y484,Settings!$B$10))</x:f>
      </x:c>
      <x:c r="AC484" s="23" t="str">
        <x:f>IF($A484="","",G484*(1+AB484))</x:f>
      </x:c>
      <x:c r="AD484" s="23" t="str">
        <x:f>IF($A484="","",G484*F484*12)</x:f>
      </x:c>
      <x:c r="AE484" s="23" t="str">
        <x:f>IF($A484="","",G484*F484*J484)</x:f>
      </x:c>
      <x:c r="AF484" s="24" t="str">
        <x:f>IF($A484="","",L484*F484*K484*Settings!$B$13)</x:f>
      </x:c>
      <x:c r="AG484" s="23" t="str">
        <x:f>IF($A484="","",AD484*H484*I484)</x:f>
      </x:c>
      <x:c r="AH484" s="24" t="str">
        <x:f>IF($A484="","",SUM(AD484:AE484,AG484)*SUM(Settings!$B$11:$B$12))</x:f>
      </x:c>
      <x:c r="AI484" s="24" t="str">
        <x:f>IF($A484="","",M484*Settings!$B$16)</x:f>
      </x:c>
      <x:c r="AJ484" s="24" t="str">
        <x:f>IF($A484="","",M484*Settings!$B$15)</x:f>
      </x:c>
      <x:c r="AK484" s="24" t="str">
        <x:f>IF($A484="","",O484*Settings!$B$18)</x:f>
      </x:c>
      <x:c r="AL484" s="24" t="str">
        <x:f>IF($A484="","",P484*Settings!$B$20+Q484*Settings!$B$21+R484*Settings!$B$22+S484*Settings!$B$23)</x:f>
      </x:c>
      <x:c r="AM484" s="24" t="str">
        <x:f>IF($A484="","",T484*Settings!$B$24)</x:f>
      </x:c>
      <x:c r="AN484" s="23" t="str">
        <x:f>IF($A484="","",SUM(AI484,N484,AK484:AM484,U484))</x:f>
      </x:c>
      <x:c r="AO484" s="23" t="str">
        <x:f>IF($A484="","",SUM(AD484:AI484,N484,AK484:AM484,U484))</x:f>
      </x:c>
      <x:c r="AP484" s="24" t="str">
        <x:f>IF($A484="","",G484*F484*AB484*((13-Settings!$B$9)*(1+H484*I484)+J484)*(1+SUM(Settings!$B$11:$B$12)))</x:f>
      </x:c>
      <x:c r="AQ484" s="23" t="str">
        <x:f>IF($A484="","",SUM(AO484:AP484))</x:f>
      </x:c>
      <x:c r="AR484" s="23" t="str">
        <x:f>IF($A484="","",AQ484-X484)</x:f>
      </x:c>
      <x:c r="AS484" s="22" t="str">
        <x:f>IF($A484="","",IF(W484=0,"n.a.",V484/W484))</x:f>
      </x:c>
      <x:c r="AT484" s="26" t="str">
        <x:f>IF($A484="",IF(COUNTA(B484:Y484)&gt;0,"Missing ID",""),IF(COUNTIFS($A$9:$A$508,A484)&gt;1,"Duplicate ID",IF(OR(B484="",C484="",D484="",E484="",COUNT(F484:X484)&lt;&gt;19),"Missing / text input",IF(OR(COUNTIFS(Settings!$A$59:$A$64,B484)&lt;&gt;1,COUNTIFS(Settings!$A$29:$A$33,E484)&lt;&gt;1),"Unknown department / grade",IF(OR(F484&lt;=0,F484&gt;1,G484&lt;=0,L484&lt;=0,H484&lt;0,I484&lt;0,J484&lt;0,K484&lt;0,K484&gt;1,MIN(M484:X484)&lt;0,W484=0,V484&gt;W484,M484&gt;W484-V484,P484&gt;8,Q484&gt;4,R484&gt;12,S484&gt;12,T484&gt;1,AB484&lt;0),"Review quantity / rate",IF(OR(N484&gt;Settings!$C$17,AK484&gt;Settings!$C$19),"Review benefit ceiling","OK"))))))</x:f>
      </x:c>
    </x:row>
    <x:row r="485" ht="23" customHeight="1">
      <x:c r="A485" s="8"/>
      <x:c r="B485" s="8"/>
      <x:c r="C485" s="8"/>
      <x:c r="D485" s="8"/>
      <x:c r="E485" s="8"/>
      <x:c r="F485" s="20"/>
      <x:c r="G485" s="12"/>
      <x:c r="H485" s="21"/>
      <x:c r="I485" s="20"/>
      <x:c r="J485" s="20"/>
      <x:c r="K485" s="20"/>
      <x:c r="L485" s="12"/>
      <x:c r="M485" s="8"/>
      <x:c r="N485" s="12"/>
      <x:c r="O485" s="8"/>
      <x:c r="P485" s="8"/>
      <x:c r="Q485" s="8"/>
      <x:c r="R485" s="8"/>
      <x:c r="S485" s="8"/>
      <x:c r="T485" s="8"/>
      <x:c r="U485" s="12"/>
      <x:c r="V485" s="8"/>
      <x:c r="W485" s="8"/>
      <x:c r="X485" s="12"/>
      <x:c r="Y485" s="21"/>
      <x:c r="Z485" s="24" t="str">
        <x:f>IF($A485="","",INDEX(Settings!$C$29:$C$33,MATCH(E485,Settings!$A$29:$A$33,0)))</x:f>
      </x:c>
      <x:c r="AA485" s="22" t="str">
        <x:f>IF($A485="","",G485/Z485)</x:f>
      </x:c>
      <x:c r="AB485" s="25" t="str">
        <x:f>IF($A485="","",IF(ISNUMBER(Y485),Y485,Settings!$B$10))</x:f>
      </x:c>
      <x:c r="AC485" s="23" t="str">
        <x:f>IF($A485="","",G485*(1+AB485))</x:f>
      </x:c>
      <x:c r="AD485" s="23" t="str">
        <x:f>IF($A485="","",G485*F485*12)</x:f>
      </x:c>
      <x:c r="AE485" s="23" t="str">
        <x:f>IF($A485="","",G485*F485*J485)</x:f>
      </x:c>
      <x:c r="AF485" s="24" t="str">
        <x:f>IF($A485="","",L485*F485*K485*Settings!$B$13)</x:f>
      </x:c>
      <x:c r="AG485" s="23" t="str">
        <x:f>IF($A485="","",AD485*H485*I485)</x:f>
      </x:c>
      <x:c r="AH485" s="24" t="str">
        <x:f>IF($A485="","",SUM(AD485:AE485,AG485)*SUM(Settings!$B$11:$B$12))</x:f>
      </x:c>
      <x:c r="AI485" s="24" t="str">
        <x:f>IF($A485="","",M485*Settings!$B$16)</x:f>
      </x:c>
      <x:c r="AJ485" s="24" t="str">
        <x:f>IF($A485="","",M485*Settings!$B$15)</x:f>
      </x:c>
      <x:c r="AK485" s="24" t="str">
        <x:f>IF($A485="","",O485*Settings!$B$18)</x:f>
      </x:c>
      <x:c r="AL485" s="24" t="str">
        <x:f>IF($A485="","",P485*Settings!$B$20+Q485*Settings!$B$21+R485*Settings!$B$22+S485*Settings!$B$23)</x:f>
      </x:c>
      <x:c r="AM485" s="24" t="str">
        <x:f>IF($A485="","",T485*Settings!$B$24)</x:f>
      </x:c>
      <x:c r="AN485" s="23" t="str">
        <x:f>IF($A485="","",SUM(AI485,N485,AK485:AM485,U485))</x:f>
      </x:c>
      <x:c r="AO485" s="23" t="str">
        <x:f>IF($A485="","",SUM(AD485:AI485,N485,AK485:AM485,U485))</x:f>
      </x:c>
      <x:c r="AP485" s="24" t="str">
        <x:f>IF($A485="","",G485*F485*AB485*((13-Settings!$B$9)*(1+H485*I485)+J485)*(1+SUM(Settings!$B$11:$B$12)))</x:f>
      </x:c>
      <x:c r="AQ485" s="23" t="str">
        <x:f>IF($A485="","",SUM(AO485:AP485))</x:f>
      </x:c>
      <x:c r="AR485" s="23" t="str">
        <x:f>IF($A485="","",AQ485-X485)</x:f>
      </x:c>
      <x:c r="AS485" s="22" t="str">
        <x:f>IF($A485="","",IF(W485=0,"n.a.",V485/W485))</x:f>
      </x:c>
      <x:c r="AT485" s="26" t="str">
        <x:f>IF($A485="",IF(COUNTA(B485:Y485)&gt;0,"Missing ID",""),IF(COUNTIFS($A$9:$A$508,A485)&gt;1,"Duplicate ID",IF(OR(B485="",C485="",D485="",E485="",COUNT(F485:X485)&lt;&gt;19),"Missing / text input",IF(OR(COUNTIFS(Settings!$A$59:$A$64,B485)&lt;&gt;1,COUNTIFS(Settings!$A$29:$A$33,E485)&lt;&gt;1),"Unknown department / grade",IF(OR(F485&lt;=0,F485&gt;1,G485&lt;=0,L485&lt;=0,H485&lt;0,I485&lt;0,J485&lt;0,K485&lt;0,K485&gt;1,MIN(M485:X485)&lt;0,W485=0,V485&gt;W485,M485&gt;W485-V485,P485&gt;8,Q485&gt;4,R485&gt;12,S485&gt;12,T485&gt;1,AB485&lt;0),"Review quantity / rate",IF(OR(N485&gt;Settings!$C$17,AK485&gt;Settings!$C$19),"Review benefit ceiling","OK"))))))</x:f>
      </x:c>
    </x:row>
    <x:row r="486" ht="23" customHeight="1">
      <x:c r="A486" s="8"/>
      <x:c r="B486" s="8"/>
      <x:c r="C486" s="8"/>
      <x:c r="D486" s="8"/>
      <x:c r="E486" s="8"/>
      <x:c r="F486" s="20"/>
      <x:c r="G486" s="12"/>
      <x:c r="H486" s="21"/>
      <x:c r="I486" s="20"/>
      <x:c r="J486" s="20"/>
      <x:c r="K486" s="20"/>
      <x:c r="L486" s="12"/>
      <x:c r="M486" s="8"/>
      <x:c r="N486" s="12"/>
      <x:c r="O486" s="8"/>
      <x:c r="P486" s="8"/>
      <x:c r="Q486" s="8"/>
      <x:c r="R486" s="8"/>
      <x:c r="S486" s="8"/>
      <x:c r="T486" s="8"/>
      <x:c r="U486" s="12"/>
      <x:c r="V486" s="8"/>
      <x:c r="W486" s="8"/>
      <x:c r="X486" s="12"/>
      <x:c r="Y486" s="21"/>
      <x:c r="Z486" s="24" t="str">
        <x:f>IF($A486="","",INDEX(Settings!$C$29:$C$33,MATCH(E486,Settings!$A$29:$A$33,0)))</x:f>
      </x:c>
      <x:c r="AA486" s="22" t="str">
        <x:f>IF($A486="","",G486/Z486)</x:f>
      </x:c>
      <x:c r="AB486" s="25" t="str">
        <x:f>IF($A486="","",IF(ISNUMBER(Y486),Y486,Settings!$B$10))</x:f>
      </x:c>
      <x:c r="AC486" s="23" t="str">
        <x:f>IF($A486="","",G486*(1+AB486))</x:f>
      </x:c>
      <x:c r="AD486" s="23" t="str">
        <x:f>IF($A486="","",G486*F486*12)</x:f>
      </x:c>
      <x:c r="AE486" s="23" t="str">
        <x:f>IF($A486="","",G486*F486*J486)</x:f>
      </x:c>
      <x:c r="AF486" s="24" t="str">
        <x:f>IF($A486="","",L486*F486*K486*Settings!$B$13)</x:f>
      </x:c>
      <x:c r="AG486" s="23" t="str">
        <x:f>IF($A486="","",AD486*H486*I486)</x:f>
      </x:c>
      <x:c r="AH486" s="24" t="str">
        <x:f>IF($A486="","",SUM(AD486:AE486,AG486)*SUM(Settings!$B$11:$B$12))</x:f>
      </x:c>
      <x:c r="AI486" s="24" t="str">
        <x:f>IF($A486="","",M486*Settings!$B$16)</x:f>
      </x:c>
      <x:c r="AJ486" s="24" t="str">
        <x:f>IF($A486="","",M486*Settings!$B$15)</x:f>
      </x:c>
      <x:c r="AK486" s="24" t="str">
        <x:f>IF($A486="","",O486*Settings!$B$18)</x:f>
      </x:c>
      <x:c r="AL486" s="24" t="str">
        <x:f>IF($A486="","",P486*Settings!$B$20+Q486*Settings!$B$21+R486*Settings!$B$22+S486*Settings!$B$23)</x:f>
      </x:c>
      <x:c r="AM486" s="24" t="str">
        <x:f>IF($A486="","",T486*Settings!$B$24)</x:f>
      </x:c>
      <x:c r="AN486" s="23" t="str">
        <x:f>IF($A486="","",SUM(AI486,N486,AK486:AM486,U486))</x:f>
      </x:c>
      <x:c r="AO486" s="23" t="str">
        <x:f>IF($A486="","",SUM(AD486:AI486,N486,AK486:AM486,U486))</x:f>
      </x:c>
      <x:c r="AP486" s="24" t="str">
        <x:f>IF($A486="","",G486*F486*AB486*((13-Settings!$B$9)*(1+H486*I486)+J486)*(1+SUM(Settings!$B$11:$B$12)))</x:f>
      </x:c>
      <x:c r="AQ486" s="23" t="str">
        <x:f>IF($A486="","",SUM(AO486:AP486))</x:f>
      </x:c>
      <x:c r="AR486" s="23" t="str">
        <x:f>IF($A486="","",AQ486-X486)</x:f>
      </x:c>
      <x:c r="AS486" s="22" t="str">
        <x:f>IF($A486="","",IF(W486=0,"n.a.",V486/W486))</x:f>
      </x:c>
      <x:c r="AT486" s="26" t="str">
        <x:f>IF($A486="",IF(COUNTA(B486:Y486)&gt;0,"Missing ID",""),IF(COUNTIFS($A$9:$A$508,A486)&gt;1,"Duplicate ID",IF(OR(B486="",C486="",D486="",E486="",COUNT(F486:X486)&lt;&gt;19),"Missing / text input",IF(OR(COUNTIFS(Settings!$A$59:$A$64,B486)&lt;&gt;1,COUNTIFS(Settings!$A$29:$A$33,E486)&lt;&gt;1),"Unknown department / grade",IF(OR(F486&lt;=0,F486&gt;1,G486&lt;=0,L486&lt;=0,H486&lt;0,I486&lt;0,J486&lt;0,K486&lt;0,K486&gt;1,MIN(M486:X486)&lt;0,W486=0,V486&gt;W486,M486&gt;W486-V486,P486&gt;8,Q486&gt;4,R486&gt;12,S486&gt;12,T486&gt;1,AB486&lt;0),"Review quantity / rate",IF(OR(N486&gt;Settings!$C$17,AK486&gt;Settings!$C$19),"Review benefit ceiling","OK"))))))</x:f>
      </x:c>
    </x:row>
    <x:row r="487" ht="23" customHeight="1">
      <x:c r="A487" s="8"/>
      <x:c r="B487" s="8"/>
      <x:c r="C487" s="8"/>
      <x:c r="D487" s="8"/>
      <x:c r="E487" s="8"/>
      <x:c r="F487" s="20"/>
      <x:c r="G487" s="12"/>
      <x:c r="H487" s="21"/>
      <x:c r="I487" s="20"/>
      <x:c r="J487" s="20"/>
      <x:c r="K487" s="20"/>
      <x:c r="L487" s="12"/>
      <x:c r="M487" s="8"/>
      <x:c r="N487" s="12"/>
      <x:c r="O487" s="8"/>
      <x:c r="P487" s="8"/>
      <x:c r="Q487" s="8"/>
      <x:c r="R487" s="8"/>
      <x:c r="S487" s="8"/>
      <x:c r="T487" s="8"/>
      <x:c r="U487" s="12"/>
      <x:c r="V487" s="8"/>
      <x:c r="W487" s="8"/>
      <x:c r="X487" s="12"/>
      <x:c r="Y487" s="21"/>
      <x:c r="Z487" s="24" t="str">
        <x:f>IF($A487="","",INDEX(Settings!$C$29:$C$33,MATCH(E487,Settings!$A$29:$A$33,0)))</x:f>
      </x:c>
      <x:c r="AA487" s="22" t="str">
        <x:f>IF($A487="","",G487/Z487)</x:f>
      </x:c>
      <x:c r="AB487" s="25" t="str">
        <x:f>IF($A487="","",IF(ISNUMBER(Y487),Y487,Settings!$B$10))</x:f>
      </x:c>
      <x:c r="AC487" s="23" t="str">
        <x:f>IF($A487="","",G487*(1+AB487))</x:f>
      </x:c>
      <x:c r="AD487" s="23" t="str">
        <x:f>IF($A487="","",G487*F487*12)</x:f>
      </x:c>
      <x:c r="AE487" s="23" t="str">
        <x:f>IF($A487="","",G487*F487*J487)</x:f>
      </x:c>
      <x:c r="AF487" s="24" t="str">
        <x:f>IF($A487="","",L487*F487*K487*Settings!$B$13)</x:f>
      </x:c>
      <x:c r="AG487" s="23" t="str">
        <x:f>IF($A487="","",AD487*H487*I487)</x:f>
      </x:c>
      <x:c r="AH487" s="24" t="str">
        <x:f>IF($A487="","",SUM(AD487:AE487,AG487)*SUM(Settings!$B$11:$B$12))</x:f>
      </x:c>
      <x:c r="AI487" s="24" t="str">
        <x:f>IF($A487="","",M487*Settings!$B$16)</x:f>
      </x:c>
      <x:c r="AJ487" s="24" t="str">
        <x:f>IF($A487="","",M487*Settings!$B$15)</x:f>
      </x:c>
      <x:c r="AK487" s="24" t="str">
        <x:f>IF($A487="","",O487*Settings!$B$18)</x:f>
      </x:c>
      <x:c r="AL487" s="24" t="str">
        <x:f>IF($A487="","",P487*Settings!$B$20+Q487*Settings!$B$21+R487*Settings!$B$22+S487*Settings!$B$23)</x:f>
      </x:c>
      <x:c r="AM487" s="24" t="str">
        <x:f>IF($A487="","",T487*Settings!$B$24)</x:f>
      </x:c>
      <x:c r="AN487" s="23" t="str">
        <x:f>IF($A487="","",SUM(AI487,N487,AK487:AM487,U487))</x:f>
      </x:c>
      <x:c r="AO487" s="23" t="str">
        <x:f>IF($A487="","",SUM(AD487:AI487,N487,AK487:AM487,U487))</x:f>
      </x:c>
      <x:c r="AP487" s="24" t="str">
        <x:f>IF($A487="","",G487*F487*AB487*((13-Settings!$B$9)*(1+H487*I487)+J487)*(1+SUM(Settings!$B$11:$B$12)))</x:f>
      </x:c>
      <x:c r="AQ487" s="23" t="str">
        <x:f>IF($A487="","",SUM(AO487:AP487))</x:f>
      </x:c>
      <x:c r="AR487" s="23" t="str">
        <x:f>IF($A487="","",AQ487-X487)</x:f>
      </x:c>
      <x:c r="AS487" s="22" t="str">
        <x:f>IF($A487="","",IF(W487=0,"n.a.",V487/W487))</x:f>
      </x:c>
      <x:c r="AT487" s="26" t="str">
        <x:f>IF($A487="",IF(COUNTA(B487:Y487)&gt;0,"Missing ID",""),IF(COUNTIFS($A$9:$A$508,A487)&gt;1,"Duplicate ID",IF(OR(B487="",C487="",D487="",E487="",COUNT(F487:X487)&lt;&gt;19),"Missing / text input",IF(OR(COUNTIFS(Settings!$A$59:$A$64,B487)&lt;&gt;1,COUNTIFS(Settings!$A$29:$A$33,E487)&lt;&gt;1),"Unknown department / grade",IF(OR(F487&lt;=0,F487&gt;1,G487&lt;=0,L487&lt;=0,H487&lt;0,I487&lt;0,J487&lt;0,K487&lt;0,K487&gt;1,MIN(M487:X487)&lt;0,W487=0,V487&gt;W487,M487&gt;W487-V487,P487&gt;8,Q487&gt;4,R487&gt;12,S487&gt;12,T487&gt;1,AB487&lt;0),"Review quantity / rate",IF(OR(N487&gt;Settings!$C$17,AK487&gt;Settings!$C$19),"Review benefit ceiling","OK"))))))</x:f>
      </x:c>
    </x:row>
    <x:row r="488" ht="23" customHeight="1">
      <x:c r="A488" s="8"/>
      <x:c r="B488" s="8"/>
      <x:c r="C488" s="8"/>
      <x:c r="D488" s="8"/>
      <x:c r="E488" s="8"/>
      <x:c r="F488" s="20"/>
      <x:c r="G488" s="12"/>
      <x:c r="H488" s="21"/>
      <x:c r="I488" s="20"/>
      <x:c r="J488" s="20"/>
      <x:c r="K488" s="20"/>
      <x:c r="L488" s="12"/>
      <x:c r="M488" s="8"/>
      <x:c r="N488" s="12"/>
      <x:c r="O488" s="8"/>
      <x:c r="P488" s="8"/>
      <x:c r="Q488" s="8"/>
      <x:c r="R488" s="8"/>
      <x:c r="S488" s="8"/>
      <x:c r="T488" s="8"/>
      <x:c r="U488" s="12"/>
      <x:c r="V488" s="8"/>
      <x:c r="W488" s="8"/>
      <x:c r="X488" s="12"/>
      <x:c r="Y488" s="21"/>
      <x:c r="Z488" s="24" t="str">
        <x:f>IF($A488="","",INDEX(Settings!$C$29:$C$33,MATCH(E488,Settings!$A$29:$A$33,0)))</x:f>
      </x:c>
      <x:c r="AA488" s="22" t="str">
        <x:f>IF($A488="","",G488/Z488)</x:f>
      </x:c>
      <x:c r="AB488" s="25" t="str">
        <x:f>IF($A488="","",IF(ISNUMBER(Y488),Y488,Settings!$B$10))</x:f>
      </x:c>
      <x:c r="AC488" s="23" t="str">
        <x:f>IF($A488="","",G488*(1+AB488))</x:f>
      </x:c>
      <x:c r="AD488" s="23" t="str">
        <x:f>IF($A488="","",G488*F488*12)</x:f>
      </x:c>
      <x:c r="AE488" s="23" t="str">
        <x:f>IF($A488="","",G488*F488*J488)</x:f>
      </x:c>
      <x:c r="AF488" s="24" t="str">
        <x:f>IF($A488="","",L488*F488*K488*Settings!$B$13)</x:f>
      </x:c>
      <x:c r="AG488" s="23" t="str">
        <x:f>IF($A488="","",AD488*H488*I488)</x:f>
      </x:c>
      <x:c r="AH488" s="24" t="str">
        <x:f>IF($A488="","",SUM(AD488:AE488,AG488)*SUM(Settings!$B$11:$B$12))</x:f>
      </x:c>
      <x:c r="AI488" s="24" t="str">
        <x:f>IF($A488="","",M488*Settings!$B$16)</x:f>
      </x:c>
      <x:c r="AJ488" s="24" t="str">
        <x:f>IF($A488="","",M488*Settings!$B$15)</x:f>
      </x:c>
      <x:c r="AK488" s="24" t="str">
        <x:f>IF($A488="","",O488*Settings!$B$18)</x:f>
      </x:c>
      <x:c r="AL488" s="24" t="str">
        <x:f>IF($A488="","",P488*Settings!$B$20+Q488*Settings!$B$21+R488*Settings!$B$22+S488*Settings!$B$23)</x:f>
      </x:c>
      <x:c r="AM488" s="24" t="str">
        <x:f>IF($A488="","",T488*Settings!$B$24)</x:f>
      </x:c>
      <x:c r="AN488" s="23" t="str">
        <x:f>IF($A488="","",SUM(AI488,N488,AK488:AM488,U488))</x:f>
      </x:c>
      <x:c r="AO488" s="23" t="str">
        <x:f>IF($A488="","",SUM(AD488:AI488,N488,AK488:AM488,U488))</x:f>
      </x:c>
      <x:c r="AP488" s="24" t="str">
        <x:f>IF($A488="","",G488*F488*AB488*((13-Settings!$B$9)*(1+H488*I488)+J488)*(1+SUM(Settings!$B$11:$B$12)))</x:f>
      </x:c>
      <x:c r="AQ488" s="23" t="str">
        <x:f>IF($A488="","",SUM(AO488:AP488))</x:f>
      </x:c>
      <x:c r="AR488" s="23" t="str">
        <x:f>IF($A488="","",AQ488-X488)</x:f>
      </x:c>
      <x:c r="AS488" s="22" t="str">
        <x:f>IF($A488="","",IF(W488=0,"n.a.",V488/W488))</x:f>
      </x:c>
      <x:c r="AT488" s="26" t="str">
        <x:f>IF($A488="",IF(COUNTA(B488:Y488)&gt;0,"Missing ID",""),IF(COUNTIFS($A$9:$A$508,A488)&gt;1,"Duplicate ID",IF(OR(B488="",C488="",D488="",E488="",COUNT(F488:X488)&lt;&gt;19),"Missing / text input",IF(OR(COUNTIFS(Settings!$A$59:$A$64,B488)&lt;&gt;1,COUNTIFS(Settings!$A$29:$A$33,E488)&lt;&gt;1),"Unknown department / grade",IF(OR(F488&lt;=0,F488&gt;1,G488&lt;=0,L488&lt;=0,H488&lt;0,I488&lt;0,J488&lt;0,K488&lt;0,K488&gt;1,MIN(M488:X488)&lt;0,W488=0,V488&gt;W488,M488&gt;W488-V488,P488&gt;8,Q488&gt;4,R488&gt;12,S488&gt;12,T488&gt;1,AB488&lt;0),"Review quantity / rate",IF(OR(N488&gt;Settings!$C$17,AK488&gt;Settings!$C$19),"Review benefit ceiling","OK"))))))</x:f>
      </x:c>
    </x:row>
    <x:row r="489" ht="23" customHeight="1">
      <x:c r="A489" s="8"/>
      <x:c r="B489" s="8"/>
      <x:c r="C489" s="8"/>
      <x:c r="D489" s="8"/>
      <x:c r="E489" s="8"/>
      <x:c r="F489" s="20"/>
      <x:c r="G489" s="12"/>
      <x:c r="H489" s="21"/>
      <x:c r="I489" s="20"/>
      <x:c r="J489" s="20"/>
      <x:c r="K489" s="20"/>
      <x:c r="L489" s="12"/>
      <x:c r="M489" s="8"/>
      <x:c r="N489" s="12"/>
      <x:c r="O489" s="8"/>
      <x:c r="P489" s="8"/>
      <x:c r="Q489" s="8"/>
      <x:c r="R489" s="8"/>
      <x:c r="S489" s="8"/>
      <x:c r="T489" s="8"/>
      <x:c r="U489" s="12"/>
      <x:c r="V489" s="8"/>
      <x:c r="W489" s="8"/>
      <x:c r="X489" s="12"/>
      <x:c r="Y489" s="21"/>
      <x:c r="Z489" s="24" t="str">
        <x:f>IF($A489="","",INDEX(Settings!$C$29:$C$33,MATCH(E489,Settings!$A$29:$A$33,0)))</x:f>
      </x:c>
      <x:c r="AA489" s="22" t="str">
        <x:f>IF($A489="","",G489/Z489)</x:f>
      </x:c>
      <x:c r="AB489" s="25" t="str">
        <x:f>IF($A489="","",IF(ISNUMBER(Y489),Y489,Settings!$B$10))</x:f>
      </x:c>
      <x:c r="AC489" s="23" t="str">
        <x:f>IF($A489="","",G489*(1+AB489))</x:f>
      </x:c>
      <x:c r="AD489" s="23" t="str">
        <x:f>IF($A489="","",G489*F489*12)</x:f>
      </x:c>
      <x:c r="AE489" s="23" t="str">
        <x:f>IF($A489="","",G489*F489*J489)</x:f>
      </x:c>
      <x:c r="AF489" s="24" t="str">
        <x:f>IF($A489="","",L489*F489*K489*Settings!$B$13)</x:f>
      </x:c>
      <x:c r="AG489" s="23" t="str">
        <x:f>IF($A489="","",AD489*H489*I489)</x:f>
      </x:c>
      <x:c r="AH489" s="24" t="str">
        <x:f>IF($A489="","",SUM(AD489:AE489,AG489)*SUM(Settings!$B$11:$B$12))</x:f>
      </x:c>
      <x:c r="AI489" s="24" t="str">
        <x:f>IF($A489="","",M489*Settings!$B$16)</x:f>
      </x:c>
      <x:c r="AJ489" s="24" t="str">
        <x:f>IF($A489="","",M489*Settings!$B$15)</x:f>
      </x:c>
      <x:c r="AK489" s="24" t="str">
        <x:f>IF($A489="","",O489*Settings!$B$18)</x:f>
      </x:c>
      <x:c r="AL489" s="24" t="str">
        <x:f>IF($A489="","",P489*Settings!$B$20+Q489*Settings!$B$21+R489*Settings!$B$22+S489*Settings!$B$23)</x:f>
      </x:c>
      <x:c r="AM489" s="24" t="str">
        <x:f>IF($A489="","",T489*Settings!$B$24)</x:f>
      </x:c>
      <x:c r="AN489" s="23" t="str">
        <x:f>IF($A489="","",SUM(AI489,N489,AK489:AM489,U489))</x:f>
      </x:c>
      <x:c r="AO489" s="23" t="str">
        <x:f>IF($A489="","",SUM(AD489:AI489,N489,AK489:AM489,U489))</x:f>
      </x:c>
      <x:c r="AP489" s="24" t="str">
        <x:f>IF($A489="","",G489*F489*AB489*((13-Settings!$B$9)*(1+H489*I489)+J489)*(1+SUM(Settings!$B$11:$B$12)))</x:f>
      </x:c>
      <x:c r="AQ489" s="23" t="str">
        <x:f>IF($A489="","",SUM(AO489:AP489))</x:f>
      </x:c>
      <x:c r="AR489" s="23" t="str">
        <x:f>IF($A489="","",AQ489-X489)</x:f>
      </x:c>
      <x:c r="AS489" s="22" t="str">
        <x:f>IF($A489="","",IF(W489=0,"n.a.",V489/W489))</x:f>
      </x:c>
      <x:c r="AT489" s="26" t="str">
        <x:f>IF($A489="",IF(COUNTA(B489:Y489)&gt;0,"Missing ID",""),IF(COUNTIFS($A$9:$A$508,A489)&gt;1,"Duplicate ID",IF(OR(B489="",C489="",D489="",E489="",COUNT(F489:X489)&lt;&gt;19),"Missing / text input",IF(OR(COUNTIFS(Settings!$A$59:$A$64,B489)&lt;&gt;1,COUNTIFS(Settings!$A$29:$A$33,E489)&lt;&gt;1),"Unknown department / grade",IF(OR(F489&lt;=0,F489&gt;1,G489&lt;=0,L489&lt;=0,H489&lt;0,I489&lt;0,J489&lt;0,K489&lt;0,K489&gt;1,MIN(M489:X489)&lt;0,W489=0,V489&gt;W489,M489&gt;W489-V489,P489&gt;8,Q489&gt;4,R489&gt;12,S489&gt;12,T489&gt;1,AB489&lt;0),"Review quantity / rate",IF(OR(N489&gt;Settings!$C$17,AK489&gt;Settings!$C$19),"Review benefit ceiling","OK"))))))</x:f>
      </x:c>
    </x:row>
    <x:row r="490" ht="23" customHeight="1">
      <x:c r="A490" s="8"/>
      <x:c r="B490" s="8"/>
      <x:c r="C490" s="8"/>
      <x:c r="D490" s="8"/>
      <x:c r="E490" s="8"/>
      <x:c r="F490" s="20"/>
      <x:c r="G490" s="12"/>
      <x:c r="H490" s="21"/>
      <x:c r="I490" s="20"/>
      <x:c r="J490" s="20"/>
      <x:c r="K490" s="20"/>
      <x:c r="L490" s="12"/>
      <x:c r="M490" s="8"/>
      <x:c r="N490" s="12"/>
      <x:c r="O490" s="8"/>
      <x:c r="P490" s="8"/>
      <x:c r="Q490" s="8"/>
      <x:c r="R490" s="8"/>
      <x:c r="S490" s="8"/>
      <x:c r="T490" s="8"/>
      <x:c r="U490" s="12"/>
      <x:c r="V490" s="8"/>
      <x:c r="W490" s="8"/>
      <x:c r="X490" s="12"/>
      <x:c r="Y490" s="21"/>
      <x:c r="Z490" s="24" t="str">
        <x:f>IF($A490="","",INDEX(Settings!$C$29:$C$33,MATCH(E490,Settings!$A$29:$A$33,0)))</x:f>
      </x:c>
      <x:c r="AA490" s="22" t="str">
        <x:f>IF($A490="","",G490/Z490)</x:f>
      </x:c>
      <x:c r="AB490" s="25" t="str">
        <x:f>IF($A490="","",IF(ISNUMBER(Y490),Y490,Settings!$B$10))</x:f>
      </x:c>
      <x:c r="AC490" s="23" t="str">
        <x:f>IF($A490="","",G490*(1+AB490))</x:f>
      </x:c>
      <x:c r="AD490" s="23" t="str">
        <x:f>IF($A490="","",G490*F490*12)</x:f>
      </x:c>
      <x:c r="AE490" s="23" t="str">
        <x:f>IF($A490="","",G490*F490*J490)</x:f>
      </x:c>
      <x:c r="AF490" s="24" t="str">
        <x:f>IF($A490="","",L490*F490*K490*Settings!$B$13)</x:f>
      </x:c>
      <x:c r="AG490" s="23" t="str">
        <x:f>IF($A490="","",AD490*H490*I490)</x:f>
      </x:c>
      <x:c r="AH490" s="24" t="str">
        <x:f>IF($A490="","",SUM(AD490:AE490,AG490)*SUM(Settings!$B$11:$B$12))</x:f>
      </x:c>
      <x:c r="AI490" s="24" t="str">
        <x:f>IF($A490="","",M490*Settings!$B$16)</x:f>
      </x:c>
      <x:c r="AJ490" s="24" t="str">
        <x:f>IF($A490="","",M490*Settings!$B$15)</x:f>
      </x:c>
      <x:c r="AK490" s="24" t="str">
        <x:f>IF($A490="","",O490*Settings!$B$18)</x:f>
      </x:c>
      <x:c r="AL490" s="24" t="str">
        <x:f>IF($A490="","",P490*Settings!$B$20+Q490*Settings!$B$21+R490*Settings!$B$22+S490*Settings!$B$23)</x:f>
      </x:c>
      <x:c r="AM490" s="24" t="str">
        <x:f>IF($A490="","",T490*Settings!$B$24)</x:f>
      </x:c>
      <x:c r="AN490" s="23" t="str">
        <x:f>IF($A490="","",SUM(AI490,N490,AK490:AM490,U490))</x:f>
      </x:c>
      <x:c r="AO490" s="23" t="str">
        <x:f>IF($A490="","",SUM(AD490:AI490,N490,AK490:AM490,U490))</x:f>
      </x:c>
      <x:c r="AP490" s="24" t="str">
        <x:f>IF($A490="","",G490*F490*AB490*((13-Settings!$B$9)*(1+H490*I490)+J490)*(1+SUM(Settings!$B$11:$B$12)))</x:f>
      </x:c>
      <x:c r="AQ490" s="23" t="str">
        <x:f>IF($A490="","",SUM(AO490:AP490))</x:f>
      </x:c>
      <x:c r="AR490" s="23" t="str">
        <x:f>IF($A490="","",AQ490-X490)</x:f>
      </x:c>
      <x:c r="AS490" s="22" t="str">
        <x:f>IF($A490="","",IF(W490=0,"n.a.",V490/W490))</x:f>
      </x:c>
      <x:c r="AT490" s="26" t="str">
        <x:f>IF($A490="",IF(COUNTA(B490:Y490)&gt;0,"Missing ID",""),IF(COUNTIFS($A$9:$A$508,A490)&gt;1,"Duplicate ID",IF(OR(B490="",C490="",D490="",E490="",COUNT(F490:X490)&lt;&gt;19),"Missing / text input",IF(OR(COUNTIFS(Settings!$A$59:$A$64,B490)&lt;&gt;1,COUNTIFS(Settings!$A$29:$A$33,E490)&lt;&gt;1),"Unknown department / grade",IF(OR(F490&lt;=0,F490&gt;1,G490&lt;=0,L490&lt;=0,H490&lt;0,I490&lt;0,J490&lt;0,K490&lt;0,K490&gt;1,MIN(M490:X490)&lt;0,W490=0,V490&gt;W490,M490&gt;W490-V490,P490&gt;8,Q490&gt;4,R490&gt;12,S490&gt;12,T490&gt;1,AB490&lt;0),"Review quantity / rate",IF(OR(N490&gt;Settings!$C$17,AK490&gt;Settings!$C$19),"Review benefit ceiling","OK"))))))</x:f>
      </x:c>
    </x:row>
    <x:row r="491" ht="23" customHeight="1">
      <x:c r="A491" s="8"/>
      <x:c r="B491" s="8"/>
      <x:c r="C491" s="8"/>
      <x:c r="D491" s="8"/>
      <x:c r="E491" s="8"/>
      <x:c r="F491" s="20"/>
      <x:c r="G491" s="12"/>
      <x:c r="H491" s="21"/>
      <x:c r="I491" s="20"/>
      <x:c r="J491" s="20"/>
      <x:c r="K491" s="20"/>
      <x:c r="L491" s="12"/>
      <x:c r="M491" s="8"/>
      <x:c r="N491" s="12"/>
      <x:c r="O491" s="8"/>
      <x:c r="P491" s="8"/>
      <x:c r="Q491" s="8"/>
      <x:c r="R491" s="8"/>
      <x:c r="S491" s="8"/>
      <x:c r="T491" s="8"/>
      <x:c r="U491" s="12"/>
      <x:c r="V491" s="8"/>
      <x:c r="W491" s="8"/>
      <x:c r="X491" s="12"/>
      <x:c r="Y491" s="21"/>
      <x:c r="Z491" s="24" t="str">
        <x:f>IF($A491="","",INDEX(Settings!$C$29:$C$33,MATCH(E491,Settings!$A$29:$A$33,0)))</x:f>
      </x:c>
      <x:c r="AA491" s="22" t="str">
        <x:f>IF($A491="","",G491/Z491)</x:f>
      </x:c>
      <x:c r="AB491" s="25" t="str">
        <x:f>IF($A491="","",IF(ISNUMBER(Y491),Y491,Settings!$B$10))</x:f>
      </x:c>
      <x:c r="AC491" s="23" t="str">
        <x:f>IF($A491="","",G491*(1+AB491))</x:f>
      </x:c>
      <x:c r="AD491" s="23" t="str">
        <x:f>IF($A491="","",G491*F491*12)</x:f>
      </x:c>
      <x:c r="AE491" s="23" t="str">
        <x:f>IF($A491="","",G491*F491*J491)</x:f>
      </x:c>
      <x:c r="AF491" s="24" t="str">
        <x:f>IF($A491="","",L491*F491*K491*Settings!$B$13)</x:f>
      </x:c>
      <x:c r="AG491" s="23" t="str">
        <x:f>IF($A491="","",AD491*H491*I491)</x:f>
      </x:c>
      <x:c r="AH491" s="24" t="str">
        <x:f>IF($A491="","",SUM(AD491:AE491,AG491)*SUM(Settings!$B$11:$B$12))</x:f>
      </x:c>
      <x:c r="AI491" s="24" t="str">
        <x:f>IF($A491="","",M491*Settings!$B$16)</x:f>
      </x:c>
      <x:c r="AJ491" s="24" t="str">
        <x:f>IF($A491="","",M491*Settings!$B$15)</x:f>
      </x:c>
      <x:c r="AK491" s="24" t="str">
        <x:f>IF($A491="","",O491*Settings!$B$18)</x:f>
      </x:c>
      <x:c r="AL491" s="24" t="str">
        <x:f>IF($A491="","",P491*Settings!$B$20+Q491*Settings!$B$21+R491*Settings!$B$22+S491*Settings!$B$23)</x:f>
      </x:c>
      <x:c r="AM491" s="24" t="str">
        <x:f>IF($A491="","",T491*Settings!$B$24)</x:f>
      </x:c>
      <x:c r="AN491" s="23" t="str">
        <x:f>IF($A491="","",SUM(AI491,N491,AK491:AM491,U491))</x:f>
      </x:c>
      <x:c r="AO491" s="23" t="str">
        <x:f>IF($A491="","",SUM(AD491:AI491,N491,AK491:AM491,U491))</x:f>
      </x:c>
      <x:c r="AP491" s="24" t="str">
        <x:f>IF($A491="","",G491*F491*AB491*((13-Settings!$B$9)*(1+H491*I491)+J491)*(1+SUM(Settings!$B$11:$B$12)))</x:f>
      </x:c>
      <x:c r="AQ491" s="23" t="str">
        <x:f>IF($A491="","",SUM(AO491:AP491))</x:f>
      </x:c>
      <x:c r="AR491" s="23" t="str">
        <x:f>IF($A491="","",AQ491-X491)</x:f>
      </x:c>
      <x:c r="AS491" s="22" t="str">
        <x:f>IF($A491="","",IF(W491=0,"n.a.",V491/W491))</x:f>
      </x:c>
      <x:c r="AT491" s="26" t="str">
        <x:f>IF($A491="",IF(COUNTA(B491:Y491)&gt;0,"Missing ID",""),IF(COUNTIFS($A$9:$A$508,A491)&gt;1,"Duplicate ID",IF(OR(B491="",C491="",D491="",E491="",COUNT(F491:X491)&lt;&gt;19),"Missing / text input",IF(OR(COUNTIFS(Settings!$A$59:$A$64,B491)&lt;&gt;1,COUNTIFS(Settings!$A$29:$A$33,E491)&lt;&gt;1),"Unknown department / grade",IF(OR(F491&lt;=0,F491&gt;1,G491&lt;=0,L491&lt;=0,H491&lt;0,I491&lt;0,J491&lt;0,K491&lt;0,K491&gt;1,MIN(M491:X491)&lt;0,W491=0,V491&gt;W491,M491&gt;W491-V491,P491&gt;8,Q491&gt;4,R491&gt;12,S491&gt;12,T491&gt;1,AB491&lt;0),"Review quantity / rate",IF(OR(N491&gt;Settings!$C$17,AK491&gt;Settings!$C$19),"Review benefit ceiling","OK"))))))</x:f>
      </x:c>
    </x:row>
    <x:row r="492" ht="23" customHeight="1">
      <x:c r="A492" s="8"/>
      <x:c r="B492" s="8"/>
      <x:c r="C492" s="8"/>
      <x:c r="D492" s="8"/>
      <x:c r="E492" s="8"/>
      <x:c r="F492" s="20"/>
      <x:c r="G492" s="12"/>
      <x:c r="H492" s="21"/>
      <x:c r="I492" s="20"/>
      <x:c r="J492" s="20"/>
      <x:c r="K492" s="20"/>
      <x:c r="L492" s="12"/>
      <x:c r="M492" s="8"/>
      <x:c r="N492" s="12"/>
      <x:c r="O492" s="8"/>
      <x:c r="P492" s="8"/>
      <x:c r="Q492" s="8"/>
      <x:c r="R492" s="8"/>
      <x:c r="S492" s="8"/>
      <x:c r="T492" s="8"/>
      <x:c r="U492" s="12"/>
      <x:c r="V492" s="8"/>
      <x:c r="W492" s="8"/>
      <x:c r="X492" s="12"/>
      <x:c r="Y492" s="21"/>
      <x:c r="Z492" s="24" t="str">
        <x:f>IF($A492="","",INDEX(Settings!$C$29:$C$33,MATCH(E492,Settings!$A$29:$A$33,0)))</x:f>
      </x:c>
      <x:c r="AA492" s="22" t="str">
        <x:f>IF($A492="","",G492/Z492)</x:f>
      </x:c>
      <x:c r="AB492" s="25" t="str">
        <x:f>IF($A492="","",IF(ISNUMBER(Y492),Y492,Settings!$B$10))</x:f>
      </x:c>
      <x:c r="AC492" s="23" t="str">
        <x:f>IF($A492="","",G492*(1+AB492))</x:f>
      </x:c>
      <x:c r="AD492" s="23" t="str">
        <x:f>IF($A492="","",G492*F492*12)</x:f>
      </x:c>
      <x:c r="AE492" s="23" t="str">
        <x:f>IF($A492="","",G492*F492*J492)</x:f>
      </x:c>
      <x:c r="AF492" s="24" t="str">
        <x:f>IF($A492="","",L492*F492*K492*Settings!$B$13)</x:f>
      </x:c>
      <x:c r="AG492" s="23" t="str">
        <x:f>IF($A492="","",AD492*H492*I492)</x:f>
      </x:c>
      <x:c r="AH492" s="24" t="str">
        <x:f>IF($A492="","",SUM(AD492:AE492,AG492)*SUM(Settings!$B$11:$B$12))</x:f>
      </x:c>
      <x:c r="AI492" s="24" t="str">
        <x:f>IF($A492="","",M492*Settings!$B$16)</x:f>
      </x:c>
      <x:c r="AJ492" s="24" t="str">
        <x:f>IF($A492="","",M492*Settings!$B$15)</x:f>
      </x:c>
      <x:c r="AK492" s="24" t="str">
        <x:f>IF($A492="","",O492*Settings!$B$18)</x:f>
      </x:c>
      <x:c r="AL492" s="24" t="str">
        <x:f>IF($A492="","",P492*Settings!$B$20+Q492*Settings!$B$21+R492*Settings!$B$22+S492*Settings!$B$23)</x:f>
      </x:c>
      <x:c r="AM492" s="24" t="str">
        <x:f>IF($A492="","",T492*Settings!$B$24)</x:f>
      </x:c>
      <x:c r="AN492" s="23" t="str">
        <x:f>IF($A492="","",SUM(AI492,N492,AK492:AM492,U492))</x:f>
      </x:c>
      <x:c r="AO492" s="23" t="str">
        <x:f>IF($A492="","",SUM(AD492:AI492,N492,AK492:AM492,U492))</x:f>
      </x:c>
      <x:c r="AP492" s="24" t="str">
        <x:f>IF($A492="","",G492*F492*AB492*((13-Settings!$B$9)*(1+H492*I492)+J492)*(1+SUM(Settings!$B$11:$B$12)))</x:f>
      </x:c>
      <x:c r="AQ492" s="23" t="str">
        <x:f>IF($A492="","",SUM(AO492:AP492))</x:f>
      </x:c>
      <x:c r="AR492" s="23" t="str">
        <x:f>IF($A492="","",AQ492-X492)</x:f>
      </x:c>
      <x:c r="AS492" s="22" t="str">
        <x:f>IF($A492="","",IF(W492=0,"n.a.",V492/W492))</x:f>
      </x:c>
      <x:c r="AT492" s="26" t="str">
        <x:f>IF($A492="",IF(COUNTA(B492:Y492)&gt;0,"Missing ID",""),IF(COUNTIFS($A$9:$A$508,A492)&gt;1,"Duplicate ID",IF(OR(B492="",C492="",D492="",E492="",COUNT(F492:X492)&lt;&gt;19),"Missing / text input",IF(OR(COUNTIFS(Settings!$A$59:$A$64,B492)&lt;&gt;1,COUNTIFS(Settings!$A$29:$A$33,E492)&lt;&gt;1),"Unknown department / grade",IF(OR(F492&lt;=0,F492&gt;1,G492&lt;=0,L492&lt;=0,H492&lt;0,I492&lt;0,J492&lt;0,K492&lt;0,K492&gt;1,MIN(M492:X492)&lt;0,W492=0,V492&gt;W492,M492&gt;W492-V492,P492&gt;8,Q492&gt;4,R492&gt;12,S492&gt;12,T492&gt;1,AB492&lt;0),"Review quantity / rate",IF(OR(N492&gt;Settings!$C$17,AK492&gt;Settings!$C$19),"Review benefit ceiling","OK"))))))</x:f>
      </x:c>
    </x:row>
    <x:row r="493" ht="23" customHeight="1">
      <x:c r="A493" s="8"/>
      <x:c r="B493" s="8"/>
      <x:c r="C493" s="8"/>
      <x:c r="D493" s="8"/>
      <x:c r="E493" s="8"/>
      <x:c r="F493" s="20"/>
      <x:c r="G493" s="12"/>
      <x:c r="H493" s="21"/>
      <x:c r="I493" s="20"/>
      <x:c r="J493" s="20"/>
      <x:c r="K493" s="20"/>
      <x:c r="L493" s="12"/>
      <x:c r="M493" s="8"/>
      <x:c r="N493" s="12"/>
      <x:c r="O493" s="8"/>
      <x:c r="P493" s="8"/>
      <x:c r="Q493" s="8"/>
      <x:c r="R493" s="8"/>
      <x:c r="S493" s="8"/>
      <x:c r="T493" s="8"/>
      <x:c r="U493" s="12"/>
      <x:c r="V493" s="8"/>
      <x:c r="W493" s="8"/>
      <x:c r="X493" s="12"/>
      <x:c r="Y493" s="21"/>
      <x:c r="Z493" s="24" t="str">
        <x:f>IF($A493="","",INDEX(Settings!$C$29:$C$33,MATCH(E493,Settings!$A$29:$A$33,0)))</x:f>
      </x:c>
      <x:c r="AA493" s="22" t="str">
        <x:f>IF($A493="","",G493/Z493)</x:f>
      </x:c>
      <x:c r="AB493" s="25" t="str">
        <x:f>IF($A493="","",IF(ISNUMBER(Y493),Y493,Settings!$B$10))</x:f>
      </x:c>
      <x:c r="AC493" s="23" t="str">
        <x:f>IF($A493="","",G493*(1+AB493))</x:f>
      </x:c>
      <x:c r="AD493" s="23" t="str">
        <x:f>IF($A493="","",G493*F493*12)</x:f>
      </x:c>
      <x:c r="AE493" s="23" t="str">
        <x:f>IF($A493="","",G493*F493*J493)</x:f>
      </x:c>
      <x:c r="AF493" s="24" t="str">
        <x:f>IF($A493="","",L493*F493*K493*Settings!$B$13)</x:f>
      </x:c>
      <x:c r="AG493" s="23" t="str">
        <x:f>IF($A493="","",AD493*H493*I493)</x:f>
      </x:c>
      <x:c r="AH493" s="24" t="str">
        <x:f>IF($A493="","",SUM(AD493:AE493,AG493)*SUM(Settings!$B$11:$B$12))</x:f>
      </x:c>
      <x:c r="AI493" s="24" t="str">
        <x:f>IF($A493="","",M493*Settings!$B$16)</x:f>
      </x:c>
      <x:c r="AJ493" s="24" t="str">
        <x:f>IF($A493="","",M493*Settings!$B$15)</x:f>
      </x:c>
      <x:c r="AK493" s="24" t="str">
        <x:f>IF($A493="","",O493*Settings!$B$18)</x:f>
      </x:c>
      <x:c r="AL493" s="24" t="str">
        <x:f>IF($A493="","",P493*Settings!$B$20+Q493*Settings!$B$21+R493*Settings!$B$22+S493*Settings!$B$23)</x:f>
      </x:c>
      <x:c r="AM493" s="24" t="str">
        <x:f>IF($A493="","",T493*Settings!$B$24)</x:f>
      </x:c>
      <x:c r="AN493" s="23" t="str">
        <x:f>IF($A493="","",SUM(AI493,N493,AK493:AM493,U493))</x:f>
      </x:c>
      <x:c r="AO493" s="23" t="str">
        <x:f>IF($A493="","",SUM(AD493:AI493,N493,AK493:AM493,U493))</x:f>
      </x:c>
      <x:c r="AP493" s="24" t="str">
        <x:f>IF($A493="","",G493*F493*AB493*((13-Settings!$B$9)*(1+H493*I493)+J493)*(1+SUM(Settings!$B$11:$B$12)))</x:f>
      </x:c>
      <x:c r="AQ493" s="23" t="str">
        <x:f>IF($A493="","",SUM(AO493:AP493))</x:f>
      </x:c>
      <x:c r="AR493" s="23" t="str">
        <x:f>IF($A493="","",AQ493-X493)</x:f>
      </x:c>
      <x:c r="AS493" s="22" t="str">
        <x:f>IF($A493="","",IF(W493=0,"n.a.",V493/W493))</x:f>
      </x:c>
      <x:c r="AT493" s="26" t="str">
        <x:f>IF($A493="",IF(COUNTA(B493:Y493)&gt;0,"Missing ID",""),IF(COUNTIFS($A$9:$A$508,A493)&gt;1,"Duplicate ID",IF(OR(B493="",C493="",D493="",E493="",COUNT(F493:X493)&lt;&gt;19),"Missing / text input",IF(OR(COUNTIFS(Settings!$A$59:$A$64,B493)&lt;&gt;1,COUNTIFS(Settings!$A$29:$A$33,E493)&lt;&gt;1),"Unknown department / grade",IF(OR(F493&lt;=0,F493&gt;1,G493&lt;=0,L493&lt;=0,H493&lt;0,I493&lt;0,J493&lt;0,K493&lt;0,K493&gt;1,MIN(M493:X493)&lt;0,W493=0,V493&gt;W493,M493&gt;W493-V493,P493&gt;8,Q493&gt;4,R493&gt;12,S493&gt;12,T493&gt;1,AB493&lt;0),"Review quantity / rate",IF(OR(N493&gt;Settings!$C$17,AK493&gt;Settings!$C$19),"Review benefit ceiling","OK"))))))</x:f>
      </x:c>
    </x:row>
    <x:row r="494" ht="23" customHeight="1">
      <x:c r="A494" s="8"/>
      <x:c r="B494" s="8"/>
      <x:c r="C494" s="8"/>
      <x:c r="D494" s="8"/>
      <x:c r="E494" s="8"/>
      <x:c r="F494" s="20"/>
      <x:c r="G494" s="12"/>
      <x:c r="H494" s="21"/>
      <x:c r="I494" s="20"/>
      <x:c r="J494" s="20"/>
      <x:c r="K494" s="20"/>
      <x:c r="L494" s="12"/>
      <x:c r="M494" s="8"/>
      <x:c r="N494" s="12"/>
      <x:c r="O494" s="8"/>
      <x:c r="P494" s="8"/>
      <x:c r="Q494" s="8"/>
      <x:c r="R494" s="8"/>
      <x:c r="S494" s="8"/>
      <x:c r="T494" s="8"/>
      <x:c r="U494" s="12"/>
      <x:c r="V494" s="8"/>
      <x:c r="W494" s="8"/>
      <x:c r="X494" s="12"/>
      <x:c r="Y494" s="21"/>
      <x:c r="Z494" s="24" t="str">
        <x:f>IF($A494="","",INDEX(Settings!$C$29:$C$33,MATCH(E494,Settings!$A$29:$A$33,0)))</x:f>
      </x:c>
      <x:c r="AA494" s="22" t="str">
        <x:f>IF($A494="","",G494/Z494)</x:f>
      </x:c>
      <x:c r="AB494" s="25" t="str">
        <x:f>IF($A494="","",IF(ISNUMBER(Y494),Y494,Settings!$B$10))</x:f>
      </x:c>
      <x:c r="AC494" s="23" t="str">
        <x:f>IF($A494="","",G494*(1+AB494))</x:f>
      </x:c>
      <x:c r="AD494" s="23" t="str">
        <x:f>IF($A494="","",G494*F494*12)</x:f>
      </x:c>
      <x:c r="AE494" s="23" t="str">
        <x:f>IF($A494="","",G494*F494*J494)</x:f>
      </x:c>
      <x:c r="AF494" s="24" t="str">
        <x:f>IF($A494="","",L494*F494*K494*Settings!$B$13)</x:f>
      </x:c>
      <x:c r="AG494" s="23" t="str">
        <x:f>IF($A494="","",AD494*H494*I494)</x:f>
      </x:c>
      <x:c r="AH494" s="24" t="str">
        <x:f>IF($A494="","",SUM(AD494:AE494,AG494)*SUM(Settings!$B$11:$B$12))</x:f>
      </x:c>
      <x:c r="AI494" s="24" t="str">
        <x:f>IF($A494="","",M494*Settings!$B$16)</x:f>
      </x:c>
      <x:c r="AJ494" s="24" t="str">
        <x:f>IF($A494="","",M494*Settings!$B$15)</x:f>
      </x:c>
      <x:c r="AK494" s="24" t="str">
        <x:f>IF($A494="","",O494*Settings!$B$18)</x:f>
      </x:c>
      <x:c r="AL494" s="24" t="str">
        <x:f>IF($A494="","",P494*Settings!$B$20+Q494*Settings!$B$21+R494*Settings!$B$22+S494*Settings!$B$23)</x:f>
      </x:c>
      <x:c r="AM494" s="24" t="str">
        <x:f>IF($A494="","",T494*Settings!$B$24)</x:f>
      </x:c>
      <x:c r="AN494" s="23" t="str">
        <x:f>IF($A494="","",SUM(AI494,N494,AK494:AM494,U494))</x:f>
      </x:c>
      <x:c r="AO494" s="23" t="str">
        <x:f>IF($A494="","",SUM(AD494:AI494,N494,AK494:AM494,U494))</x:f>
      </x:c>
      <x:c r="AP494" s="24" t="str">
        <x:f>IF($A494="","",G494*F494*AB494*((13-Settings!$B$9)*(1+H494*I494)+J494)*(1+SUM(Settings!$B$11:$B$12)))</x:f>
      </x:c>
      <x:c r="AQ494" s="23" t="str">
        <x:f>IF($A494="","",SUM(AO494:AP494))</x:f>
      </x:c>
      <x:c r="AR494" s="23" t="str">
        <x:f>IF($A494="","",AQ494-X494)</x:f>
      </x:c>
      <x:c r="AS494" s="22" t="str">
        <x:f>IF($A494="","",IF(W494=0,"n.a.",V494/W494))</x:f>
      </x:c>
      <x:c r="AT494" s="26" t="str">
        <x:f>IF($A494="",IF(COUNTA(B494:Y494)&gt;0,"Missing ID",""),IF(COUNTIFS($A$9:$A$508,A494)&gt;1,"Duplicate ID",IF(OR(B494="",C494="",D494="",E494="",COUNT(F494:X494)&lt;&gt;19),"Missing / text input",IF(OR(COUNTIFS(Settings!$A$59:$A$64,B494)&lt;&gt;1,COUNTIFS(Settings!$A$29:$A$33,E494)&lt;&gt;1),"Unknown department / grade",IF(OR(F494&lt;=0,F494&gt;1,G494&lt;=0,L494&lt;=0,H494&lt;0,I494&lt;0,J494&lt;0,K494&lt;0,K494&gt;1,MIN(M494:X494)&lt;0,W494=0,V494&gt;W494,M494&gt;W494-V494,P494&gt;8,Q494&gt;4,R494&gt;12,S494&gt;12,T494&gt;1,AB494&lt;0),"Review quantity / rate",IF(OR(N494&gt;Settings!$C$17,AK494&gt;Settings!$C$19),"Review benefit ceiling","OK"))))))</x:f>
      </x:c>
    </x:row>
    <x:row r="495" ht="23" customHeight="1">
      <x:c r="A495" s="8"/>
      <x:c r="B495" s="8"/>
      <x:c r="C495" s="8"/>
      <x:c r="D495" s="8"/>
      <x:c r="E495" s="8"/>
      <x:c r="F495" s="20"/>
      <x:c r="G495" s="12"/>
      <x:c r="H495" s="21"/>
      <x:c r="I495" s="20"/>
      <x:c r="J495" s="20"/>
      <x:c r="K495" s="20"/>
      <x:c r="L495" s="12"/>
      <x:c r="M495" s="8"/>
      <x:c r="N495" s="12"/>
      <x:c r="O495" s="8"/>
      <x:c r="P495" s="8"/>
      <x:c r="Q495" s="8"/>
      <x:c r="R495" s="8"/>
      <x:c r="S495" s="8"/>
      <x:c r="T495" s="8"/>
      <x:c r="U495" s="12"/>
      <x:c r="V495" s="8"/>
      <x:c r="W495" s="8"/>
      <x:c r="X495" s="12"/>
      <x:c r="Y495" s="21"/>
      <x:c r="Z495" s="24" t="str">
        <x:f>IF($A495="","",INDEX(Settings!$C$29:$C$33,MATCH(E495,Settings!$A$29:$A$33,0)))</x:f>
      </x:c>
      <x:c r="AA495" s="22" t="str">
        <x:f>IF($A495="","",G495/Z495)</x:f>
      </x:c>
      <x:c r="AB495" s="25" t="str">
        <x:f>IF($A495="","",IF(ISNUMBER(Y495),Y495,Settings!$B$10))</x:f>
      </x:c>
      <x:c r="AC495" s="23" t="str">
        <x:f>IF($A495="","",G495*(1+AB495))</x:f>
      </x:c>
      <x:c r="AD495" s="23" t="str">
        <x:f>IF($A495="","",G495*F495*12)</x:f>
      </x:c>
      <x:c r="AE495" s="23" t="str">
        <x:f>IF($A495="","",G495*F495*J495)</x:f>
      </x:c>
      <x:c r="AF495" s="24" t="str">
        <x:f>IF($A495="","",L495*F495*K495*Settings!$B$13)</x:f>
      </x:c>
      <x:c r="AG495" s="23" t="str">
        <x:f>IF($A495="","",AD495*H495*I495)</x:f>
      </x:c>
      <x:c r="AH495" s="24" t="str">
        <x:f>IF($A495="","",SUM(AD495:AE495,AG495)*SUM(Settings!$B$11:$B$12))</x:f>
      </x:c>
      <x:c r="AI495" s="24" t="str">
        <x:f>IF($A495="","",M495*Settings!$B$16)</x:f>
      </x:c>
      <x:c r="AJ495" s="24" t="str">
        <x:f>IF($A495="","",M495*Settings!$B$15)</x:f>
      </x:c>
      <x:c r="AK495" s="24" t="str">
        <x:f>IF($A495="","",O495*Settings!$B$18)</x:f>
      </x:c>
      <x:c r="AL495" s="24" t="str">
        <x:f>IF($A495="","",P495*Settings!$B$20+Q495*Settings!$B$21+R495*Settings!$B$22+S495*Settings!$B$23)</x:f>
      </x:c>
      <x:c r="AM495" s="24" t="str">
        <x:f>IF($A495="","",T495*Settings!$B$24)</x:f>
      </x:c>
      <x:c r="AN495" s="23" t="str">
        <x:f>IF($A495="","",SUM(AI495,N495,AK495:AM495,U495))</x:f>
      </x:c>
      <x:c r="AO495" s="23" t="str">
        <x:f>IF($A495="","",SUM(AD495:AI495,N495,AK495:AM495,U495))</x:f>
      </x:c>
      <x:c r="AP495" s="24" t="str">
        <x:f>IF($A495="","",G495*F495*AB495*((13-Settings!$B$9)*(1+H495*I495)+J495)*(1+SUM(Settings!$B$11:$B$12)))</x:f>
      </x:c>
      <x:c r="AQ495" s="23" t="str">
        <x:f>IF($A495="","",SUM(AO495:AP495))</x:f>
      </x:c>
      <x:c r="AR495" s="23" t="str">
        <x:f>IF($A495="","",AQ495-X495)</x:f>
      </x:c>
      <x:c r="AS495" s="22" t="str">
        <x:f>IF($A495="","",IF(W495=0,"n.a.",V495/W495))</x:f>
      </x:c>
      <x:c r="AT495" s="26" t="str">
        <x:f>IF($A495="",IF(COUNTA(B495:Y495)&gt;0,"Missing ID",""),IF(COUNTIFS($A$9:$A$508,A495)&gt;1,"Duplicate ID",IF(OR(B495="",C495="",D495="",E495="",COUNT(F495:X495)&lt;&gt;19),"Missing / text input",IF(OR(COUNTIFS(Settings!$A$59:$A$64,B495)&lt;&gt;1,COUNTIFS(Settings!$A$29:$A$33,E495)&lt;&gt;1),"Unknown department / grade",IF(OR(F495&lt;=0,F495&gt;1,G495&lt;=0,L495&lt;=0,H495&lt;0,I495&lt;0,J495&lt;0,K495&lt;0,K495&gt;1,MIN(M495:X495)&lt;0,W495=0,V495&gt;W495,M495&gt;W495-V495,P495&gt;8,Q495&gt;4,R495&gt;12,S495&gt;12,T495&gt;1,AB495&lt;0),"Review quantity / rate",IF(OR(N495&gt;Settings!$C$17,AK495&gt;Settings!$C$19),"Review benefit ceiling","OK"))))))</x:f>
      </x:c>
    </x:row>
    <x:row r="496" ht="23" customHeight="1">
      <x:c r="A496" s="8"/>
      <x:c r="B496" s="8"/>
      <x:c r="C496" s="8"/>
      <x:c r="D496" s="8"/>
      <x:c r="E496" s="8"/>
      <x:c r="F496" s="20"/>
      <x:c r="G496" s="12"/>
      <x:c r="H496" s="21"/>
      <x:c r="I496" s="20"/>
      <x:c r="J496" s="20"/>
      <x:c r="K496" s="20"/>
      <x:c r="L496" s="12"/>
      <x:c r="M496" s="8"/>
      <x:c r="N496" s="12"/>
      <x:c r="O496" s="8"/>
      <x:c r="P496" s="8"/>
      <x:c r="Q496" s="8"/>
      <x:c r="R496" s="8"/>
      <x:c r="S496" s="8"/>
      <x:c r="T496" s="8"/>
      <x:c r="U496" s="12"/>
      <x:c r="V496" s="8"/>
      <x:c r="W496" s="8"/>
      <x:c r="X496" s="12"/>
      <x:c r="Y496" s="21"/>
      <x:c r="Z496" s="24" t="str">
        <x:f>IF($A496="","",INDEX(Settings!$C$29:$C$33,MATCH(E496,Settings!$A$29:$A$33,0)))</x:f>
      </x:c>
      <x:c r="AA496" s="22" t="str">
        <x:f>IF($A496="","",G496/Z496)</x:f>
      </x:c>
      <x:c r="AB496" s="25" t="str">
        <x:f>IF($A496="","",IF(ISNUMBER(Y496),Y496,Settings!$B$10))</x:f>
      </x:c>
      <x:c r="AC496" s="23" t="str">
        <x:f>IF($A496="","",G496*(1+AB496))</x:f>
      </x:c>
      <x:c r="AD496" s="23" t="str">
        <x:f>IF($A496="","",G496*F496*12)</x:f>
      </x:c>
      <x:c r="AE496" s="23" t="str">
        <x:f>IF($A496="","",G496*F496*J496)</x:f>
      </x:c>
      <x:c r="AF496" s="24" t="str">
        <x:f>IF($A496="","",L496*F496*K496*Settings!$B$13)</x:f>
      </x:c>
      <x:c r="AG496" s="23" t="str">
        <x:f>IF($A496="","",AD496*H496*I496)</x:f>
      </x:c>
      <x:c r="AH496" s="24" t="str">
        <x:f>IF($A496="","",SUM(AD496:AE496,AG496)*SUM(Settings!$B$11:$B$12))</x:f>
      </x:c>
      <x:c r="AI496" s="24" t="str">
        <x:f>IF($A496="","",M496*Settings!$B$16)</x:f>
      </x:c>
      <x:c r="AJ496" s="24" t="str">
        <x:f>IF($A496="","",M496*Settings!$B$15)</x:f>
      </x:c>
      <x:c r="AK496" s="24" t="str">
        <x:f>IF($A496="","",O496*Settings!$B$18)</x:f>
      </x:c>
      <x:c r="AL496" s="24" t="str">
        <x:f>IF($A496="","",P496*Settings!$B$20+Q496*Settings!$B$21+R496*Settings!$B$22+S496*Settings!$B$23)</x:f>
      </x:c>
      <x:c r="AM496" s="24" t="str">
        <x:f>IF($A496="","",T496*Settings!$B$24)</x:f>
      </x:c>
      <x:c r="AN496" s="23" t="str">
        <x:f>IF($A496="","",SUM(AI496,N496,AK496:AM496,U496))</x:f>
      </x:c>
      <x:c r="AO496" s="23" t="str">
        <x:f>IF($A496="","",SUM(AD496:AI496,N496,AK496:AM496,U496))</x:f>
      </x:c>
      <x:c r="AP496" s="24" t="str">
        <x:f>IF($A496="","",G496*F496*AB496*((13-Settings!$B$9)*(1+H496*I496)+J496)*(1+SUM(Settings!$B$11:$B$12)))</x:f>
      </x:c>
      <x:c r="AQ496" s="23" t="str">
        <x:f>IF($A496="","",SUM(AO496:AP496))</x:f>
      </x:c>
      <x:c r="AR496" s="23" t="str">
        <x:f>IF($A496="","",AQ496-X496)</x:f>
      </x:c>
      <x:c r="AS496" s="22" t="str">
        <x:f>IF($A496="","",IF(W496=0,"n.a.",V496/W496))</x:f>
      </x:c>
      <x:c r="AT496" s="26" t="str">
        <x:f>IF($A496="",IF(COUNTA(B496:Y496)&gt;0,"Missing ID",""),IF(COUNTIFS($A$9:$A$508,A496)&gt;1,"Duplicate ID",IF(OR(B496="",C496="",D496="",E496="",COUNT(F496:X496)&lt;&gt;19),"Missing / text input",IF(OR(COUNTIFS(Settings!$A$59:$A$64,B496)&lt;&gt;1,COUNTIFS(Settings!$A$29:$A$33,E496)&lt;&gt;1),"Unknown department / grade",IF(OR(F496&lt;=0,F496&gt;1,G496&lt;=0,L496&lt;=0,H496&lt;0,I496&lt;0,J496&lt;0,K496&lt;0,K496&gt;1,MIN(M496:X496)&lt;0,W496=0,V496&gt;W496,M496&gt;W496-V496,P496&gt;8,Q496&gt;4,R496&gt;12,S496&gt;12,T496&gt;1,AB496&lt;0),"Review quantity / rate",IF(OR(N496&gt;Settings!$C$17,AK496&gt;Settings!$C$19),"Review benefit ceiling","OK"))))))</x:f>
      </x:c>
    </x:row>
    <x:row r="497" ht="23" customHeight="1">
      <x:c r="A497" s="8"/>
      <x:c r="B497" s="8"/>
      <x:c r="C497" s="8"/>
      <x:c r="D497" s="8"/>
      <x:c r="E497" s="8"/>
      <x:c r="F497" s="20"/>
      <x:c r="G497" s="12"/>
      <x:c r="H497" s="21"/>
      <x:c r="I497" s="20"/>
      <x:c r="J497" s="20"/>
      <x:c r="K497" s="20"/>
      <x:c r="L497" s="12"/>
      <x:c r="M497" s="8"/>
      <x:c r="N497" s="12"/>
      <x:c r="O497" s="8"/>
      <x:c r="P497" s="8"/>
      <x:c r="Q497" s="8"/>
      <x:c r="R497" s="8"/>
      <x:c r="S497" s="8"/>
      <x:c r="T497" s="8"/>
      <x:c r="U497" s="12"/>
      <x:c r="V497" s="8"/>
      <x:c r="W497" s="8"/>
      <x:c r="X497" s="12"/>
      <x:c r="Y497" s="21"/>
      <x:c r="Z497" s="24" t="str">
        <x:f>IF($A497="","",INDEX(Settings!$C$29:$C$33,MATCH(E497,Settings!$A$29:$A$33,0)))</x:f>
      </x:c>
      <x:c r="AA497" s="22" t="str">
        <x:f>IF($A497="","",G497/Z497)</x:f>
      </x:c>
      <x:c r="AB497" s="25" t="str">
        <x:f>IF($A497="","",IF(ISNUMBER(Y497),Y497,Settings!$B$10))</x:f>
      </x:c>
      <x:c r="AC497" s="23" t="str">
        <x:f>IF($A497="","",G497*(1+AB497))</x:f>
      </x:c>
      <x:c r="AD497" s="23" t="str">
        <x:f>IF($A497="","",G497*F497*12)</x:f>
      </x:c>
      <x:c r="AE497" s="23" t="str">
        <x:f>IF($A497="","",G497*F497*J497)</x:f>
      </x:c>
      <x:c r="AF497" s="24" t="str">
        <x:f>IF($A497="","",L497*F497*K497*Settings!$B$13)</x:f>
      </x:c>
      <x:c r="AG497" s="23" t="str">
        <x:f>IF($A497="","",AD497*H497*I497)</x:f>
      </x:c>
      <x:c r="AH497" s="24" t="str">
        <x:f>IF($A497="","",SUM(AD497:AE497,AG497)*SUM(Settings!$B$11:$B$12))</x:f>
      </x:c>
      <x:c r="AI497" s="24" t="str">
        <x:f>IF($A497="","",M497*Settings!$B$16)</x:f>
      </x:c>
      <x:c r="AJ497" s="24" t="str">
        <x:f>IF($A497="","",M497*Settings!$B$15)</x:f>
      </x:c>
      <x:c r="AK497" s="24" t="str">
        <x:f>IF($A497="","",O497*Settings!$B$18)</x:f>
      </x:c>
      <x:c r="AL497" s="24" t="str">
        <x:f>IF($A497="","",P497*Settings!$B$20+Q497*Settings!$B$21+R497*Settings!$B$22+S497*Settings!$B$23)</x:f>
      </x:c>
      <x:c r="AM497" s="24" t="str">
        <x:f>IF($A497="","",T497*Settings!$B$24)</x:f>
      </x:c>
      <x:c r="AN497" s="23" t="str">
        <x:f>IF($A497="","",SUM(AI497,N497,AK497:AM497,U497))</x:f>
      </x:c>
      <x:c r="AO497" s="23" t="str">
        <x:f>IF($A497="","",SUM(AD497:AI497,N497,AK497:AM497,U497))</x:f>
      </x:c>
      <x:c r="AP497" s="24" t="str">
        <x:f>IF($A497="","",G497*F497*AB497*((13-Settings!$B$9)*(1+H497*I497)+J497)*(1+SUM(Settings!$B$11:$B$12)))</x:f>
      </x:c>
      <x:c r="AQ497" s="23" t="str">
        <x:f>IF($A497="","",SUM(AO497:AP497))</x:f>
      </x:c>
      <x:c r="AR497" s="23" t="str">
        <x:f>IF($A497="","",AQ497-X497)</x:f>
      </x:c>
      <x:c r="AS497" s="22" t="str">
        <x:f>IF($A497="","",IF(W497=0,"n.a.",V497/W497))</x:f>
      </x:c>
      <x:c r="AT497" s="26" t="str">
        <x:f>IF($A497="",IF(COUNTA(B497:Y497)&gt;0,"Missing ID",""),IF(COUNTIFS($A$9:$A$508,A497)&gt;1,"Duplicate ID",IF(OR(B497="",C497="",D497="",E497="",COUNT(F497:X497)&lt;&gt;19),"Missing / text input",IF(OR(COUNTIFS(Settings!$A$59:$A$64,B497)&lt;&gt;1,COUNTIFS(Settings!$A$29:$A$33,E497)&lt;&gt;1),"Unknown department / grade",IF(OR(F497&lt;=0,F497&gt;1,G497&lt;=0,L497&lt;=0,H497&lt;0,I497&lt;0,J497&lt;0,K497&lt;0,K497&gt;1,MIN(M497:X497)&lt;0,W497=0,V497&gt;W497,M497&gt;W497-V497,P497&gt;8,Q497&gt;4,R497&gt;12,S497&gt;12,T497&gt;1,AB497&lt;0),"Review quantity / rate",IF(OR(N497&gt;Settings!$C$17,AK497&gt;Settings!$C$19),"Review benefit ceiling","OK"))))))</x:f>
      </x:c>
    </x:row>
    <x:row r="498" ht="23" customHeight="1">
      <x:c r="A498" s="8"/>
      <x:c r="B498" s="8"/>
      <x:c r="C498" s="8"/>
      <x:c r="D498" s="8"/>
      <x:c r="E498" s="8"/>
      <x:c r="F498" s="20"/>
      <x:c r="G498" s="12"/>
      <x:c r="H498" s="21"/>
      <x:c r="I498" s="20"/>
      <x:c r="J498" s="20"/>
      <x:c r="K498" s="20"/>
      <x:c r="L498" s="12"/>
      <x:c r="M498" s="8"/>
      <x:c r="N498" s="12"/>
      <x:c r="O498" s="8"/>
      <x:c r="P498" s="8"/>
      <x:c r="Q498" s="8"/>
      <x:c r="R498" s="8"/>
      <x:c r="S498" s="8"/>
      <x:c r="T498" s="8"/>
      <x:c r="U498" s="12"/>
      <x:c r="V498" s="8"/>
      <x:c r="W498" s="8"/>
      <x:c r="X498" s="12"/>
      <x:c r="Y498" s="21"/>
      <x:c r="Z498" s="24" t="str">
        <x:f>IF($A498="","",INDEX(Settings!$C$29:$C$33,MATCH(E498,Settings!$A$29:$A$33,0)))</x:f>
      </x:c>
      <x:c r="AA498" s="22" t="str">
        <x:f>IF($A498="","",G498/Z498)</x:f>
      </x:c>
      <x:c r="AB498" s="25" t="str">
        <x:f>IF($A498="","",IF(ISNUMBER(Y498),Y498,Settings!$B$10))</x:f>
      </x:c>
      <x:c r="AC498" s="23" t="str">
        <x:f>IF($A498="","",G498*(1+AB498))</x:f>
      </x:c>
      <x:c r="AD498" s="23" t="str">
        <x:f>IF($A498="","",G498*F498*12)</x:f>
      </x:c>
      <x:c r="AE498" s="23" t="str">
        <x:f>IF($A498="","",G498*F498*J498)</x:f>
      </x:c>
      <x:c r="AF498" s="24" t="str">
        <x:f>IF($A498="","",L498*F498*K498*Settings!$B$13)</x:f>
      </x:c>
      <x:c r="AG498" s="23" t="str">
        <x:f>IF($A498="","",AD498*H498*I498)</x:f>
      </x:c>
      <x:c r="AH498" s="24" t="str">
        <x:f>IF($A498="","",SUM(AD498:AE498,AG498)*SUM(Settings!$B$11:$B$12))</x:f>
      </x:c>
      <x:c r="AI498" s="24" t="str">
        <x:f>IF($A498="","",M498*Settings!$B$16)</x:f>
      </x:c>
      <x:c r="AJ498" s="24" t="str">
        <x:f>IF($A498="","",M498*Settings!$B$15)</x:f>
      </x:c>
      <x:c r="AK498" s="24" t="str">
        <x:f>IF($A498="","",O498*Settings!$B$18)</x:f>
      </x:c>
      <x:c r="AL498" s="24" t="str">
        <x:f>IF($A498="","",P498*Settings!$B$20+Q498*Settings!$B$21+R498*Settings!$B$22+S498*Settings!$B$23)</x:f>
      </x:c>
      <x:c r="AM498" s="24" t="str">
        <x:f>IF($A498="","",T498*Settings!$B$24)</x:f>
      </x:c>
      <x:c r="AN498" s="23" t="str">
        <x:f>IF($A498="","",SUM(AI498,N498,AK498:AM498,U498))</x:f>
      </x:c>
      <x:c r="AO498" s="23" t="str">
        <x:f>IF($A498="","",SUM(AD498:AI498,N498,AK498:AM498,U498))</x:f>
      </x:c>
      <x:c r="AP498" s="24" t="str">
        <x:f>IF($A498="","",G498*F498*AB498*((13-Settings!$B$9)*(1+H498*I498)+J498)*(1+SUM(Settings!$B$11:$B$12)))</x:f>
      </x:c>
      <x:c r="AQ498" s="23" t="str">
        <x:f>IF($A498="","",SUM(AO498:AP498))</x:f>
      </x:c>
      <x:c r="AR498" s="23" t="str">
        <x:f>IF($A498="","",AQ498-X498)</x:f>
      </x:c>
      <x:c r="AS498" s="22" t="str">
        <x:f>IF($A498="","",IF(W498=0,"n.a.",V498/W498))</x:f>
      </x:c>
      <x:c r="AT498" s="26" t="str">
        <x:f>IF($A498="",IF(COUNTA(B498:Y498)&gt;0,"Missing ID",""),IF(COUNTIFS($A$9:$A$508,A498)&gt;1,"Duplicate ID",IF(OR(B498="",C498="",D498="",E498="",COUNT(F498:X498)&lt;&gt;19),"Missing / text input",IF(OR(COUNTIFS(Settings!$A$59:$A$64,B498)&lt;&gt;1,COUNTIFS(Settings!$A$29:$A$33,E498)&lt;&gt;1),"Unknown department / grade",IF(OR(F498&lt;=0,F498&gt;1,G498&lt;=0,L498&lt;=0,H498&lt;0,I498&lt;0,J498&lt;0,K498&lt;0,K498&gt;1,MIN(M498:X498)&lt;0,W498=0,V498&gt;W498,M498&gt;W498-V498,P498&gt;8,Q498&gt;4,R498&gt;12,S498&gt;12,T498&gt;1,AB498&lt;0),"Review quantity / rate",IF(OR(N498&gt;Settings!$C$17,AK498&gt;Settings!$C$19),"Review benefit ceiling","OK"))))))</x:f>
      </x:c>
    </x:row>
    <x:row r="499" ht="23" customHeight="1">
      <x:c r="A499" s="8"/>
      <x:c r="B499" s="8"/>
      <x:c r="C499" s="8"/>
      <x:c r="D499" s="8"/>
      <x:c r="E499" s="8"/>
      <x:c r="F499" s="20"/>
      <x:c r="G499" s="12"/>
      <x:c r="H499" s="21"/>
      <x:c r="I499" s="20"/>
      <x:c r="J499" s="20"/>
      <x:c r="K499" s="20"/>
      <x:c r="L499" s="12"/>
      <x:c r="M499" s="8"/>
      <x:c r="N499" s="12"/>
      <x:c r="O499" s="8"/>
      <x:c r="P499" s="8"/>
      <x:c r="Q499" s="8"/>
      <x:c r="R499" s="8"/>
      <x:c r="S499" s="8"/>
      <x:c r="T499" s="8"/>
      <x:c r="U499" s="12"/>
      <x:c r="V499" s="8"/>
      <x:c r="W499" s="8"/>
      <x:c r="X499" s="12"/>
      <x:c r="Y499" s="21"/>
      <x:c r="Z499" s="24" t="str">
        <x:f>IF($A499="","",INDEX(Settings!$C$29:$C$33,MATCH(E499,Settings!$A$29:$A$33,0)))</x:f>
      </x:c>
      <x:c r="AA499" s="22" t="str">
        <x:f>IF($A499="","",G499/Z499)</x:f>
      </x:c>
      <x:c r="AB499" s="25" t="str">
        <x:f>IF($A499="","",IF(ISNUMBER(Y499),Y499,Settings!$B$10))</x:f>
      </x:c>
      <x:c r="AC499" s="23" t="str">
        <x:f>IF($A499="","",G499*(1+AB499))</x:f>
      </x:c>
      <x:c r="AD499" s="23" t="str">
        <x:f>IF($A499="","",G499*F499*12)</x:f>
      </x:c>
      <x:c r="AE499" s="23" t="str">
        <x:f>IF($A499="","",G499*F499*J499)</x:f>
      </x:c>
      <x:c r="AF499" s="24" t="str">
        <x:f>IF($A499="","",L499*F499*K499*Settings!$B$13)</x:f>
      </x:c>
      <x:c r="AG499" s="23" t="str">
        <x:f>IF($A499="","",AD499*H499*I499)</x:f>
      </x:c>
      <x:c r="AH499" s="24" t="str">
        <x:f>IF($A499="","",SUM(AD499:AE499,AG499)*SUM(Settings!$B$11:$B$12))</x:f>
      </x:c>
      <x:c r="AI499" s="24" t="str">
        <x:f>IF($A499="","",M499*Settings!$B$16)</x:f>
      </x:c>
      <x:c r="AJ499" s="24" t="str">
        <x:f>IF($A499="","",M499*Settings!$B$15)</x:f>
      </x:c>
      <x:c r="AK499" s="24" t="str">
        <x:f>IF($A499="","",O499*Settings!$B$18)</x:f>
      </x:c>
      <x:c r="AL499" s="24" t="str">
        <x:f>IF($A499="","",P499*Settings!$B$20+Q499*Settings!$B$21+R499*Settings!$B$22+S499*Settings!$B$23)</x:f>
      </x:c>
      <x:c r="AM499" s="24" t="str">
        <x:f>IF($A499="","",T499*Settings!$B$24)</x:f>
      </x:c>
      <x:c r="AN499" s="23" t="str">
        <x:f>IF($A499="","",SUM(AI499,N499,AK499:AM499,U499))</x:f>
      </x:c>
      <x:c r="AO499" s="23" t="str">
        <x:f>IF($A499="","",SUM(AD499:AI499,N499,AK499:AM499,U499))</x:f>
      </x:c>
      <x:c r="AP499" s="24" t="str">
        <x:f>IF($A499="","",G499*F499*AB499*((13-Settings!$B$9)*(1+H499*I499)+J499)*(1+SUM(Settings!$B$11:$B$12)))</x:f>
      </x:c>
      <x:c r="AQ499" s="23" t="str">
        <x:f>IF($A499="","",SUM(AO499:AP499))</x:f>
      </x:c>
      <x:c r="AR499" s="23" t="str">
        <x:f>IF($A499="","",AQ499-X499)</x:f>
      </x:c>
      <x:c r="AS499" s="22" t="str">
        <x:f>IF($A499="","",IF(W499=0,"n.a.",V499/W499))</x:f>
      </x:c>
      <x:c r="AT499" s="26" t="str">
        <x:f>IF($A499="",IF(COUNTA(B499:Y499)&gt;0,"Missing ID",""),IF(COUNTIFS($A$9:$A$508,A499)&gt;1,"Duplicate ID",IF(OR(B499="",C499="",D499="",E499="",COUNT(F499:X499)&lt;&gt;19),"Missing / text input",IF(OR(COUNTIFS(Settings!$A$59:$A$64,B499)&lt;&gt;1,COUNTIFS(Settings!$A$29:$A$33,E499)&lt;&gt;1),"Unknown department / grade",IF(OR(F499&lt;=0,F499&gt;1,G499&lt;=0,L499&lt;=0,H499&lt;0,I499&lt;0,J499&lt;0,K499&lt;0,K499&gt;1,MIN(M499:X499)&lt;0,W499=0,V499&gt;W499,M499&gt;W499-V499,P499&gt;8,Q499&gt;4,R499&gt;12,S499&gt;12,T499&gt;1,AB499&lt;0),"Review quantity / rate",IF(OR(N499&gt;Settings!$C$17,AK499&gt;Settings!$C$19),"Review benefit ceiling","OK"))))))</x:f>
      </x:c>
    </x:row>
    <x:row r="500" ht="23" customHeight="1">
      <x:c r="A500" s="8"/>
      <x:c r="B500" s="8"/>
      <x:c r="C500" s="8"/>
      <x:c r="D500" s="8"/>
      <x:c r="E500" s="8"/>
      <x:c r="F500" s="20"/>
      <x:c r="G500" s="12"/>
      <x:c r="H500" s="21"/>
      <x:c r="I500" s="20"/>
      <x:c r="J500" s="20"/>
      <x:c r="K500" s="20"/>
      <x:c r="L500" s="12"/>
      <x:c r="M500" s="8"/>
      <x:c r="N500" s="12"/>
      <x:c r="O500" s="8"/>
      <x:c r="P500" s="8"/>
      <x:c r="Q500" s="8"/>
      <x:c r="R500" s="8"/>
      <x:c r="S500" s="8"/>
      <x:c r="T500" s="8"/>
      <x:c r="U500" s="12"/>
      <x:c r="V500" s="8"/>
      <x:c r="W500" s="8"/>
      <x:c r="X500" s="12"/>
      <x:c r="Y500" s="21"/>
      <x:c r="Z500" s="24" t="str">
        <x:f>IF($A500="","",INDEX(Settings!$C$29:$C$33,MATCH(E500,Settings!$A$29:$A$33,0)))</x:f>
      </x:c>
      <x:c r="AA500" s="22" t="str">
        <x:f>IF($A500="","",G500/Z500)</x:f>
      </x:c>
      <x:c r="AB500" s="25" t="str">
        <x:f>IF($A500="","",IF(ISNUMBER(Y500),Y500,Settings!$B$10))</x:f>
      </x:c>
      <x:c r="AC500" s="23" t="str">
        <x:f>IF($A500="","",G500*(1+AB500))</x:f>
      </x:c>
      <x:c r="AD500" s="23" t="str">
        <x:f>IF($A500="","",G500*F500*12)</x:f>
      </x:c>
      <x:c r="AE500" s="23" t="str">
        <x:f>IF($A500="","",G500*F500*J500)</x:f>
      </x:c>
      <x:c r="AF500" s="24" t="str">
        <x:f>IF($A500="","",L500*F500*K500*Settings!$B$13)</x:f>
      </x:c>
      <x:c r="AG500" s="23" t="str">
        <x:f>IF($A500="","",AD500*H500*I500)</x:f>
      </x:c>
      <x:c r="AH500" s="24" t="str">
        <x:f>IF($A500="","",SUM(AD500:AE500,AG500)*SUM(Settings!$B$11:$B$12))</x:f>
      </x:c>
      <x:c r="AI500" s="24" t="str">
        <x:f>IF($A500="","",M500*Settings!$B$16)</x:f>
      </x:c>
      <x:c r="AJ500" s="24" t="str">
        <x:f>IF($A500="","",M500*Settings!$B$15)</x:f>
      </x:c>
      <x:c r="AK500" s="24" t="str">
        <x:f>IF($A500="","",O500*Settings!$B$18)</x:f>
      </x:c>
      <x:c r="AL500" s="24" t="str">
        <x:f>IF($A500="","",P500*Settings!$B$20+Q500*Settings!$B$21+R500*Settings!$B$22+S500*Settings!$B$23)</x:f>
      </x:c>
      <x:c r="AM500" s="24" t="str">
        <x:f>IF($A500="","",T500*Settings!$B$24)</x:f>
      </x:c>
      <x:c r="AN500" s="23" t="str">
        <x:f>IF($A500="","",SUM(AI500,N500,AK500:AM500,U500))</x:f>
      </x:c>
      <x:c r="AO500" s="23" t="str">
        <x:f>IF($A500="","",SUM(AD500:AI500,N500,AK500:AM500,U500))</x:f>
      </x:c>
      <x:c r="AP500" s="24" t="str">
        <x:f>IF($A500="","",G500*F500*AB500*((13-Settings!$B$9)*(1+H500*I500)+J500)*(1+SUM(Settings!$B$11:$B$12)))</x:f>
      </x:c>
      <x:c r="AQ500" s="23" t="str">
        <x:f>IF($A500="","",SUM(AO500:AP500))</x:f>
      </x:c>
      <x:c r="AR500" s="23" t="str">
        <x:f>IF($A500="","",AQ500-X500)</x:f>
      </x:c>
      <x:c r="AS500" s="22" t="str">
        <x:f>IF($A500="","",IF(W500=0,"n.a.",V500/W500))</x:f>
      </x:c>
      <x:c r="AT500" s="26" t="str">
        <x:f>IF($A500="",IF(COUNTA(B500:Y500)&gt;0,"Missing ID",""),IF(COUNTIFS($A$9:$A$508,A500)&gt;1,"Duplicate ID",IF(OR(B500="",C500="",D500="",E500="",COUNT(F500:X500)&lt;&gt;19),"Missing / text input",IF(OR(COUNTIFS(Settings!$A$59:$A$64,B500)&lt;&gt;1,COUNTIFS(Settings!$A$29:$A$33,E500)&lt;&gt;1),"Unknown department / grade",IF(OR(F500&lt;=0,F500&gt;1,G500&lt;=0,L500&lt;=0,H500&lt;0,I500&lt;0,J500&lt;0,K500&lt;0,K500&gt;1,MIN(M500:X500)&lt;0,W500=0,V500&gt;W500,M500&gt;W500-V500,P500&gt;8,Q500&gt;4,R500&gt;12,S500&gt;12,T500&gt;1,AB500&lt;0),"Review quantity / rate",IF(OR(N500&gt;Settings!$C$17,AK500&gt;Settings!$C$19),"Review benefit ceiling","OK"))))))</x:f>
      </x:c>
    </x:row>
    <x:row r="501" ht="23" customHeight="1">
      <x:c r="A501" s="8"/>
      <x:c r="B501" s="8"/>
      <x:c r="C501" s="8"/>
      <x:c r="D501" s="8"/>
      <x:c r="E501" s="8"/>
      <x:c r="F501" s="20"/>
      <x:c r="G501" s="12"/>
      <x:c r="H501" s="21"/>
      <x:c r="I501" s="20"/>
      <x:c r="J501" s="20"/>
      <x:c r="K501" s="20"/>
      <x:c r="L501" s="12"/>
      <x:c r="M501" s="8"/>
      <x:c r="N501" s="12"/>
      <x:c r="O501" s="8"/>
      <x:c r="P501" s="8"/>
      <x:c r="Q501" s="8"/>
      <x:c r="R501" s="8"/>
      <x:c r="S501" s="8"/>
      <x:c r="T501" s="8"/>
      <x:c r="U501" s="12"/>
      <x:c r="V501" s="8"/>
      <x:c r="W501" s="8"/>
      <x:c r="X501" s="12"/>
      <x:c r="Y501" s="21"/>
      <x:c r="Z501" s="24" t="str">
        <x:f>IF($A501="","",INDEX(Settings!$C$29:$C$33,MATCH(E501,Settings!$A$29:$A$33,0)))</x:f>
      </x:c>
      <x:c r="AA501" s="22" t="str">
        <x:f>IF($A501="","",G501/Z501)</x:f>
      </x:c>
      <x:c r="AB501" s="25" t="str">
        <x:f>IF($A501="","",IF(ISNUMBER(Y501),Y501,Settings!$B$10))</x:f>
      </x:c>
      <x:c r="AC501" s="23" t="str">
        <x:f>IF($A501="","",G501*(1+AB501))</x:f>
      </x:c>
      <x:c r="AD501" s="23" t="str">
        <x:f>IF($A501="","",G501*F501*12)</x:f>
      </x:c>
      <x:c r="AE501" s="23" t="str">
        <x:f>IF($A501="","",G501*F501*J501)</x:f>
      </x:c>
      <x:c r="AF501" s="24" t="str">
        <x:f>IF($A501="","",L501*F501*K501*Settings!$B$13)</x:f>
      </x:c>
      <x:c r="AG501" s="23" t="str">
        <x:f>IF($A501="","",AD501*H501*I501)</x:f>
      </x:c>
      <x:c r="AH501" s="24" t="str">
        <x:f>IF($A501="","",SUM(AD501:AE501,AG501)*SUM(Settings!$B$11:$B$12))</x:f>
      </x:c>
      <x:c r="AI501" s="24" t="str">
        <x:f>IF($A501="","",M501*Settings!$B$16)</x:f>
      </x:c>
      <x:c r="AJ501" s="24" t="str">
        <x:f>IF($A501="","",M501*Settings!$B$15)</x:f>
      </x:c>
      <x:c r="AK501" s="24" t="str">
        <x:f>IF($A501="","",O501*Settings!$B$18)</x:f>
      </x:c>
      <x:c r="AL501" s="24" t="str">
        <x:f>IF($A501="","",P501*Settings!$B$20+Q501*Settings!$B$21+R501*Settings!$B$22+S501*Settings!$B$23)</x:f>
      </x:c>
      <x:c r="AM501" s="24" t="str">
        <x:f>IF($A501="","",T501*Settings!$B$24)</x:f>
      </x:c>
      <x:c r="AN501" s="23" t="str">
        <x:f>IF($A501="","",SUM(AI501,N501,AK501:AM501,U501))</x:f>
      </x:c>
      <x:c r="AO501" s="23" t="str">
        <x:f>IF($A501="","",SUM(AD501:AI501,N501,AK501:AM501,U501))</x:f>
      </x:c>
      <x:c r="AP501" s="24" t="str">
        <x:f>IF($A501="","",G501*F501*AB501*((13-Settings!$B$9)*(1+H501*I501)+J501)*(1+SUM(Settings!$B$11:$B$12)))</x:f>
      </x:c>
      <x:c r="AQ501" s="23" t="str">
        <x:f>IF($A501="","",SUM(AO501:AP501))</x:f>
      </x:c>
      <x:c r="AR501" s="23" t="str">
        <x:f>IF($A501="","",AQ501-X501)</x:f>
      </x:c>
      <x:c r="AS501" s="22" t="str">
        <x:f>IF($A501="","",IF(W501=0,"n.a.",V501/W501))</x:f>
      </x:c>
      <x:c r="AT501" s="26" t="str">
        <x:f>IF($A501="",IF(COUNTA(B501:Y501)&gt;0,"Missing ID",""),IF(COUNTIFS($A$9:$A$508,A501)&gt;1,"Duplicate ID",IF(OR(B501="",C501="",D501="",E501="",COUNT(F501:X501)&lt;&gt;19),"Missing / text input",IF(OR(COUNTIFS(Settings!$A$59:$A$64,B501)&lt;&gt;1,COUNTIFS(Settings!$A$29:$A$33,E501)&lt;&gt;1),"Unknown department / grade",IF(OR(F501&lt;=0,F501&gt;1,G501&lt;=0,L501&lt;=0,H501&lt;0,I501&lt;0,J501&lt;0,K501&lt;0,K501&gt;1,MIN(M501:X501)&lt;0,W501=0,V501&gt;W501,M501&gt;W501-V501,P501&gt;8,Q501&gt;4,R501&gt;12,S501&gt;12,T501&gt;1,AB501&lt;0),"Review quantity / rate",IF(OR(N501&gt;Settings!$C$17,AK501&gt;Settings!$C$19),"Review benefit ceiling","OK"))))))</x:f>
      </x:c>
    </x:row>
    <x:row r="502" ht="23" customHeight="1">
      <x:c r="A502" s="8"/>
      <x:c r="B502" s="8"/>
      <x:c r="C502" s="8"/>
      <x:c r="D502" s="8"/>
      <x:c r="E502" s="8"/>
      <x:c r="F502" s="20"/>
      <x:c r="G502" s="12"/>
      <x:c r="H502" s="21"/>
      <x:c r="I502" s="20"/>
      <x:c r="J502" s="20"/>
      <x:c r="K502" s="20"/>
      <x:c r="L502" s="12"/>
      <x:c r="M502" s="8"/>
      <x:c r="N502" s="12"/>
      <x:c r="O502" s="8"/>
      <x:c r="P502" s="8"/>
      <x:c r="Q502" s="8"/>
      <x:c r="R502" s="8"/>
      <x:c r="S502" s="8"/>
      <x:c r="T502" s="8"/>
      <x:c r="U502" s="12"/>
      <x:c r="V502" s="8"/>
      <x:c r="W502" s="8"/>
      <x:c r="X502" s="12"/>
      <x:c r="Y502" s="21"/>
      <x:c r="Z502" s="24" t="str">
        <x:f>IF($A502="","",INDEX(Settings!$C$29:$C$33,MATCH(E502,Settings!$A$29:$A$33,0)))</x:f>
      </x:c>
      <x:c r="AA502" s="22" t="str">
        <x:f>IF($A502="","",G502/Z502)</x:f>
      </x:c>
      <x:c r="AB502" s="25" t="str">
        <x:f>IF($A502="","",IF(ISNUMBER(Y502),Y502,Settings!$B$10))</x:f>
      </x:c>
      <x:c r="AC502" s="23" t="str">
        <x:f>IF($A502="","",G502*(1+AB502))</x:f>
      </x:c>
      <x:c r="AD502" s="23" t="str">
        <x:f>IF($A502="","",G502*F502*12)</x:f>
      </x:c>
      <x:c r="AE502" s="23" t="str">
        <x:f>IF($A502="","",G502*F502*J502)</x:f>
      </x:c>
      <x:c r="AF502" s="24" t="str">
        <x:f>IF($A502="","",L502*F502*K502*Settings!$B$13)</x:f>
      </x:c>
      <x:c r="AG502" s="23" t="str">
        <x:f>IF($A502="","",AD502*H502*I502)</x:f>
      </x:c>
      <x:c r="AH502" s="24" t="str">
        <x:f>IF($A502="","",SUM(AD502:AE502,AG502)*SUM(Settings!$B$11:$B$12))</x:f>
      </x:c>
      <x:c r="AI502" s="24" t="str">
        <x:f>IF($A502="","",M502*Settings!$B$16)</x:f>
      </x:c>
      <x:c r="AJ502" s="24" t="str">
        <x:f>IF($A502="","",M502*Settings!$B$15)</x:f>
      </x:c>
      <x:c r="AK502" s="24" t="str">
        <x:f>IF($A502="","",O502*Settings!$B$18)</x:f>
      </x:c>
      <x:c r="AL502" s="24" t="str">
        <x:f>IF($A502="","",P502*Settings!$B$20+Q502*Settings!$B$21+R502*Settings!$B$22+S502*Settings!$B$23)</x:f>
      </x:c>
      <x:c r="AM502" s="24" t="str">
        <x:f>IF($A502="","",T502*Settings!$B$24)</x:f>
      </x:c>
      <x:c r="AN502" s="23" t="str">
        <x:f>IF($A502="","",SUM(AI502,N502,AK502:AM502,U502))</x:f>
      </x:c>
      <x:c r="AO502" s="23" t="str">
        <x:f>IF($A502="","",SUM(AD502:AI502,N502,AK502:AM502,U502))</x:f>
      </x:c>
      <x:c r="AP502" s="24" t="str">
        <x:f>IF($A502="","",G502*F502*AB502*((13-Settings!$B$9)*(1+H502*I502)+J502)*(1+SUM(Settings!$B$11:$B$12)))</x:f>
      </x:c>
      <x:c r="AQ502" s="23" t="str">
        <x:f>IF($A502="","",SUM(AO502:AP502))</x:f>
      </x:c>
      <x:c r="AR502" s="23" t="str">
        <x:f>IF($A502="","",AQ502-X502)</x:f>
      </x:c>
      <x:c r="AS502" s="22" t="str">
        <x:f>IF($A502="","",IF(W502=0,"n.a.",V502/W502))</x:f>
      </x:c>
      <x:c r="AT502" s="26" t="str">
        <x:f>IF($A502="",IF(COUNTA(B502:Y502)&gt;0,"Missing ID",""),IF(COUNTIFS($A$9:$A$508,A502)&gt;1,"Duplicate ID",IF(OR(B502="",C502="",D502="",E502="",COUNT(F502:X502)&lt;&gt;19),"Missing / text input",IF(OR(COUNTIFS(Settings!$A$59:$A$64,B502)&lt;&gt;1,COUNTIFS(Settings!$A$29:$A$33,E502)&lt;&gt;1),"Unknown department / grade",IF(OR(F502&lt;=0,F502&gt;1,G502&lt;=0,L502&lt;=0,H502&lt;0,I502&lt;0,J502&lt;0,K502&lt;0,K502&gt;1,MIN(M502:X502)&lt;0,W502=0,V502&gt;W502,M502&gt;W502-V502,P502&gt;8,Q502&gt;4,R502&gt;12,S502&gt;12,T502&gt;1,AB502&lt;0),"Review quantity / rate",IF(OR(N502&gt;Settings!$C$17,AK502&gt;Settings!$C$19),"Review benefit ceiling","OK"))))))</x:f>
      </x:c>
    </x:row>
    <x:row r="503" ht="23" customHeight="1">
      <x:c r="A503" s="8"/>
      <x:c r="B503" s="8"/>
      <x:c r="C503" s="8"/>
      <x:c r="D503" s="8"/>
      <x:c r="E503" s="8"/>
      <x:c r="F503" s="20"/>
      <x:c r="G503" s="12"/>
      <x:c r="H503" s="21"/>
      <x:c r="I503" s="20"/>
      <x:c r="J503" s="20"/>
      <x:c r="K503" s="20"/>
      <x:c r="L503" s="12"/>
      <x:c r="M503" s="8"/>
      <x:c r="N503" s="12"/>
      <x:c r="O503" s="8"/>
      <x:c r="P503" s="8"/>
      <x:c r="Q503" s="8"/>
      <x:c r="R503" s="8"/>
      <x:c r="S503" s="8"/>
      <x:c r="T503" s="8"/>
      <x:c r="U503" s="12"/>
      <x:c r="V503" s="8"/>
      <x:c r="W503" s="8"/>
      <x:c r="X503" s="12"/>
      <x:c r="Y503" s="21"/>
      <x:c r="Z503" s="24" t="str">
        <x:f>IF($A503="","",INDEX(Settings!$C$29:$C$33,MATCH(E503,Settings!$A$29:$A$33,0)))</x:f>
      </x:c>
      <x:c r="AA503" s="22" t="str">
        <x:f>IF($A503="","",G503/Z503)</x:f>
      </x:c>
      <x:c r="AB503" s="25" t="str">
        <x:f>IF($A503="","",IF(ISNUMBER(Y503),Y503,Settings!$B$10))</x:f>
      </x:c>
      <x:c r="AC503" s="23" t="str">
        <x:f>IF($A503="","",G503*(1+AB503))</x:f>
      </x:c>
      <x:c r="AD503" s="23" t="str">
        <x:f>IF($A503="","",G503*F503*12)</x:f>
      </x:c>
      <x:c r="AE503" s="23" t="str">
        <x:f>IF($A503="","",G503*F503*J503)</x:f>
      </x:c>
      <x:c r="AF503" s="24" t="str">
        <x:f>IF($A503="","",L503*F503*K503*Settings!$B$13)</x:f>
      </x:c>
      <x:c r="AG503" s="23" t="str">
        <x:f>IF($A503="","",AD503*H503*I503)</x:f>
      </x:c>
      <x:c r="AH503" s="24" t="str">
        <x:f>IF($A503="","",SUM(AD503:AE503,AG503)*SUM(Settings!$B$11:$B$12))</x:f>
      </x:c>
      <x:c r="AI503" s="24" t="str">
        <x:f>IF($A503="","",M503*Settings!$B$16)</x:f>
      </x:c>
      <x:c r="AJ503" s="24" t="str">
        <x:f>IF($A503="","",M503*Settings!$B$15)</x:f>
      </x:c>
      <x:c r="AK503" s="24" t="str">
        <x:f>IF($A503="","",O503*Settings!$B$18)</x:f>
      </x:c>
      <x:c r="AL503" s="24" t="str">
        <x:f>IF($A503="","",P503*Settings!$B$20+Q503*Settings!$B$21+R503*Settings!$B$22+S503*Settings!$B$23)</x:f>
      </x:c>
      <x:c r="AM503" s="24" t="str">
        <x:f>IF($A503="","",T503*Settings!$B$24)</x:f>
      </x:c>
      <x:c r="AN503" s="23" t="str">
        <x:f>IF($A503="","",SUM(AI503,N503,AK503:AM503,U503))</x:f>
      </x:c>
      <x:c r="AO503" s="23" t="str">
        <x:f>IF($A503="","",SUM(AD503:AI503,N503,AK503:AM503,U503))</x:f>
      </x:c>
      <x:c r="AP503" s="24" t="str">
        <x:f>IF($A503="","",G503*F503*AB503*((13-Settings!$B$9)*(1+H503*I503)+J503)*(1+SUM(Settings!$B$11:$B$12)))</x:f>
      </x:c>
      <x:c r="AQ503" s="23" t="str">
        <x:f>IF($A503="","",SUM(AO503:AP503))</x:f>
      </x:c>
      <x:c r="AR503" s="23" t="str">
        <x:f>IF($A503="","",AQ503-X503)</x:f>
      </x:c>
      <x:c r="AS503" s="22" t="str">
        <x:f>IF($A503="","",IF(W503=0,"n.a.",V503/W503))</x:f>
      </x:c>
      <x:c r="AT503" s="26" t="str">
        <x:f>IF($A503="",IF(COUNTA(B503:Y503)&gt;0,"Missing ID",""),IF(COUNTIFS($A$9:$A$508,A503)&gt;1,"Duplicate ID",IF(OR(B503="",C503="",D503="",E503="",COUNT(F503:X503)&lt;&gt;19),"Missing / text input",IF(OR(COUNTIFS(Settings!$A$59:$A$64,B503)&lt;&gt;1,COUNTIFS(Settings!$A$29:$A$33,E503)&lt;&gt;1),"Unknown department / grade",IF(OR(F503&lt;=0,F503&gt;1,G503&lt;=0,L503&lt;=0,H503&lt;0,I503&lt;0,J503&lt;0,K503&lt;0,K503&gt;1,MIN(M503:X503)&lt;0,W503=0,V503&gt;W503,M503&gt;W503-V503,P503&gt;8,Q503&gt;4,R503&gt;12,S503&gt;12,T503&gt;1,AB503&lt;0),"Review quantity / rate",IF(OR(N503&gt;Settings!$C$17,AK503&gt;Settings!$C$19),"Review benefit ceiling","OK"))))))</x:f>
      </x:c>
    </x:row>
    <x:row r="504" ht="23" customHeight="1">
      <x:c r="A504" s="8"/>
      <x:c r="B504" s="8"/>
      <x:c r="C504" s="8"/>
      <x:c r="D504" s="8"/>
      <x:c r="E504" s="8"/>
      <x:c r="F504" s="20"/>
      <x:c r="G504" s="12"/>
      <x:c r="H504" s="21"/>
      <x:c r="I504" s="20"/>
      <x:c r="J504" s="20"/>
      <x:c r="K504" s="20"/>
      <x:c r="L504" s="12"/>
      <x:c r="M504" s="8"/>
      <x:c r="N504" s="12"/>
      <x:c r="O504" s="8"/>
      <x:c r="P504" s="8"/>
      <x:c r="Q504" s="8"/>
      <x:c r="R504" s="8"/>
      <x:c r="S504" s="8"/>
      <x:c r="T504" s="8"/>
      <x:c r="U504" s="12"/>
      <x:c r="V504" s="8"/>
      <x:c r="W504" s="8"/>
      <x:c r="X504" s="12"/>
      <x:c r="Y504" s="21"/>
      <x:c r="Z504" s="24" t="str">
        <x:f>IF($A504="","",INDEX(Settings!$C$29:$C$33,MATCH(E504,Settings!$A$29:$A$33,0)))</x:f>
      </x:c>
      <x:c r="AA504" s="22" t="str">
        <x:f>IF($A504="","",G504/Z504)</x:f>
      </x:c>
      <x:c r="AB504" s="25" t="str">
        <x:f>IF($A504="","",IF(ISNUMBER(Y504),Y504,Settings!$B$10))</x:f>
      </x:c>
      <x:c r="AC504" s="23" t="str">
        <x:f>IF($A504="","",G504*(1+AB504))</x:f>
      </x:c>
      <x:c r="AD504" s="23" t="str">
        <x:f>IF($A504="","",G504*F504*12)</x:f>
      </x:c>
      <x:c r="AE504" s="23" t="str">
        <x:f>IF($A504="","",G504*F504*J504)</x:f>
      </x:c>
      <x:c r="AF504" s="24" t="str">
        <x:f>IF($A504="","",L504*F504*K504*Settings!$B$13)</x:f>
      </x:c>
      <x:c r="AG504" s="23" t="str">
        <x:f>IF($A504="","",AD504*H504*I504)</x:f>
      </x:c>
      <x:c r="AH504" s="24" t="str">
        <x:f>IF($A504="","",SUM(AD504:AE504,AG504)*SUM(Settings!$B$11:$B$12))</x:f>
      </x:c>
      <x:c r="AI504" s="24" t="str">
        <x:f>IF($A504="","",M504*Settings!$B$16)</x:f>
      </x:c>
      <x:c r="AJ504" s="24" t="str">
        <x:f>IF($A504="","",M504*Settings!$B$15)</x:f>
      </x:c>
      <x:c r="AK504" s="24" t="str">
        <x:f>IF($A504="","",O504*Settings!$B$18)</x:f>
      </x:c>
      <x:c r="AL504" s="24" t="str">
        <x:f>IF($A504="","",P504*Settings!$B$20+Q504*Settings!$B$21+R504*Settings!$B$22+S504*Settings!$B$23)</x:f>
      </x:c>
      <x:c r="AM504" s="24" t="str">
        <x:f>IF($A504="","",T504*Settings!$B$24)</x:f>
      </x:c>
      <x:c r="AN504" s="23" t="str">
        <x:f>IF($A504="","",SUM(AI504,N504,AK504:AM504,U504))</x:f>
      </x:c>
      <x:c r="AO504" s="23" t="str">
        <x:f>IF($A504="","",SUM(AD504:AI504,N504,AK504:AM504,U504))</x:f>
      </x:c>
      <x:c r="AP504" s="24" t="str">
        <x:f>IF($A504="","",G504*F504*AB504*((13-Settings!$B$9)*(1+H504*I504)+J504)*(1+SUM(Settings!$B$11:$B$12)))</x:f>
      </x:c>
      <x:c r="AQ504" s="23" t="str">
        <x:f>IF($A504="","",SUM(AO504:AP504))</x:f>
      </x:c>
      <x:c r="AR504" s="23" t="str">
        <x:f>IF($A504="","",AQ504-X504)</x:f>
      </x:c>
      <x:c r="AS504" s="22" t="str">
        <x:f>IF($A504="","",IF(W504=0,"n.a.",V504/W504))</x:f>
      </x:c>
      <x:c r="AT504" s="26" t="str">
        <x:f>IF($A504="",IF(COUNTA(B504:Y504)&gt;0,"Missing ID",""),IF(COUNTIFS($A$9:$A$508,A504)&gt;1,"Duplicate ID",IF(OR(B504="",C504="",D504="",E504="",COUNT(F504:X504)&lt;&gt;19),"Missing / text input",IF(OR(COUNTIFS(Settings!$A$59:$A$64,B504)&lt;&gt;1,COUNTIFS(Settings!$A$29:$A$33,E504)&lt;&gt;1),"Unknown department / grade",IF(OR(F504&lt;=0,F504&gt;1,G504&lt;=0,L504&lt;=0,H504&lt;0,I504&lt;0,J504&lt;0,K504&lt;0,K504&gt;1,MIN(M504:X504)&lt;0,W504=0,V504&gt;W504,M504&gt;W504-V504,P504&gt;8,Q504&gt;4,R504&gt;12,S504&gt;12,T504&gt;1,AB504&lt;0),"Review quantity / rate",IF(OR(N504&gt;Settings!$C$17,AK504&gt;Settings!$C$19),"Review benefit ceiling","OK"))))))</x:f>
      </x:c>
    </x:row>
    <x:row r="505" ht="23" customHeight="1">
      <x:c r="A505" s="8"/>
      <x:c r="B505" s="8"/>
      <x:c r="C505" s="8"/>
      <x:c r="D505" s="8"/>
      <x:c r="E505" s="8"/>
      <x:c r="F505" s="20"/>
      <x:c r="G505" s="12"/>
      <x:c r="H505" s="21"/>
      <x:c r="I505" s="20"/>
      <x:c r="J505" s="20"/>
      <x:c r="K505" s="20"/>
      <x:c r="L505" s="12"/>
      <x:c r="M505" s="8"/>
      <x:c r="N505" s="12"/>
      <x:c r="O505" s="8"/>
      <x:c r="P505" s="8"/>
      <x:c r="Q505" s="8"/>
      <x:c r="R505" s="8"/>
      <x:c r="S505" s="8"/>
      <x:c r="T505" s="8"/>
      <x:c r="U505" s="12"/>
      <x:c r="V505" s="8"/>
      <x:c r="W505" s="8"/>
      <x:c r="X505" s="12"/>
      <x:c r="Y505" s="21"/>
      <x:c r="Z505" s="24" t="str">
        <x:f>IF($A505="","",INDEX(Settings!$C$29:$C$33,MATCH(E505,Settings!$A$29:$A$33,0)))</x:f>
      </x:c>
      <x:c r="AA505" s="22" t="str">
        <x:f>IF($A505="","",G505/Z505)</x:f>
      </x:c>
      <x:c r="AB505" s="25" t="str">
        <x:f>IF($A505="","",IF(ISNUMBER(Y505),Y505,Settings!$B$10))</x:f>
      </x:c>
      <x:c r="AC505" s="23" t="str">
        <x:f>IF($A505="","",G505*(1+AB505))</x:f>
      </x:c>
      <x:c r="AD505" s="23" t="str">
        <x:f>IF($A505="","",G505*F505*12)</x:f>
      </x:c>
      <x:c r="AE505" s="23" t="str">
        <x:f>IF($A505="","",G505*F505*J505)</x:f>
      </x:c>
      <x:c r="AF505" s="24" t="str">
        <x:f>IF($A505="","",L505*F505*K505*Settings!$B$13)</x:f>
      </x:c>
      <x:c r="AG505" s="23" t="str">
        <x:f>IF($A505="","",AD505*H505*I505)</x:f>
      </x:c>
      <x:c r="AH505" s="24" t="str">
        <x:f>IF($A505="","",SUM(AD505:AE505,AG505)*SUM(Settings!$B$11:$B$12))</x:f>
      </x:c>
      <x:c r="AI505" s="24" t="str">
        <x:f>IF($A505="","",M505*Settings!$B$16)</x:f>
      </x:c>
      <x:c r="AJ505" s="24" t="str">
        <x:f>IF($A505="","",M505*Settings!$B$15)</x:f>
      </x:c>
      <x:c r="AK505" s="24" t="str">
        <x:f>IF($A505="","",O505*Settings!$B$18)</x:f>
      </x:c>
      <x:c r="AL505" s="24" t="str">
        <x:f>IF($A505="","",P505*Settings!$B$20+Q505*Settings!$B$21+R505*Settings!$B$22+S505*Settings!$B$23)</x:f>
      </x:c>
      <x:c r="AM505" s="24" t="str">
        <x:f>IF($A505="","",T505*Settings!$B$24)</x:f>
      </x:c>
      <x:c r="AN505" s="23" t="str">
        <x:f>IF($A505="","",SUM(AI505,N505,AK505:AM505,U505))</x:f>
      </x:c>
      <x:c r="AO505" s="23" t="str">
        <x:f>IF($A505="","",SUM(AD505:AI505,N505,AK505:AM505,U505))</x:f>
      </x:c>
      <x:c r="AP505" s="24" t="str">
        <x:f>IF($A505="","",G505*F505*AB505*((13-Settings!$B$9)*(1+H505*I505)+J505)*(1+SUM(Settings!$B$11:$B$12)))</x:f>
      </x:c>
      <x:c r="AQ505" s="23" t="str">
        <x:f>IF($A505="","",SUM(AO505:AP505))</x:f>
      </x:c>
      <x:c r="AR505" s="23" t="str">
        <x:f>IF($A505="","",AQ505-X505)</x:f>
      </x:c>
      <x:c r="AS505" s="22" t="str">
        <x:f>IF($A505="","",IF(W505=0,"n.a.",V505/W505))</x:f>
      </x:c>
      <x:c r="AT505" s="26" t="str">
        <x:f>IF($A505="",IF(COUNTA(B505:Y505)&gt;0,"Missing ID",""),IF(COUNTIFS($A$9:$A$508,A505)&gt;1,"Duplicate ID",IF(OR(B505="",C505="",D505="",E505="",COUNT(F505:X505)&lt;&gt;19),"Missing / text input",IF(OR(COUNTIFS(Settings!$A$59:$A$64,B505)&lt;&gt;1,COUNTIFS(Settings!$A$29:$A$33,E505)&lt;&gt;1),"Unknown department / grade",IF(OR(F505&lt;=0,F505&gt;1,G505&lt;=0,L505&lt;=0,H505&lt;0,I505&lt;0,J505&lt;0,K505&lt;0,K505&gt;1,MIN(M505:X505)&lt;0,W505=0,V505&gt;W505,M505&gt;W505-V505,P505&gt;8,Q505&gt;4,R505&gt;12,S505&gt;12,T505&gt;1,AB505&lt;0),"Review quantity / rate",IF(OR(N505&gt;Settings!$C$17,AK505&gt;Settings!$C$19),"Review benefit ceiling","OK"))))))</x:f>
      </x:c>
    </x:row>
    <x:row r="506" ht="23" customHeight="1">
      <x:c r="A506" s="8"/>
      <x:c r="B506" s="8"/>
      <x:c r="C506" s="8"/>
      <x:c r="D506" s="8"/>
      <x:c r="E506" s="8"/>
      <x:c r="F506" s="20"/>
      <x:c r="G506" s="12"/>
      <x:c r="H506" s="21"/>
      <x:c r="I506" s="20"/>
      <x:c r="J506" s="20"/>
      <x:c r="K506" s="20"/>
      <x:c r="L506" s="12"/>
      <x:c r="M506" s="8"/>
      <x:c r="N506" s="12"/>
      <x:c r="O506" s="8"/>
      <x:c r="P506" s="8"/>
      <x:c r="Q506" s="8"/>
      <x:c r="R506" s="8"/>
      <x:c r="S506" s="8"/>
      <x:c r="T506" s="8"/>
      <x:c r="U506" s="12"/>
      <x:c r="V506" s="8"/>
      <x:c r="W506" s="8"/>
      <x:c r="X506" s="12"/>
      <x:c r="Y506" s="21"/>
      <x:c r="Z506" s="24" t="str">
        <x:f>IF($A506="","",INDEX(Settings!$C$29:$C$33,MATCH(E506,Settings!$A$29:$A$33,0)))</x:f>
      </x:c>
      <x:c r="AA506" s="22" t="str">
        <x:f>IF($A506="","",G506/Z506)</x:f>
      </x:c>
      <x:c r="AB506" s="25" t="str">
        <x:f>IF($A506="","",IF(ISNUMBER(Y506),Y506,Settings!$B$10))</x:f>
      </x:c>
      <x:c r="AC506" s="23" t="str">
        <x:f>IF($A506="","",G506*(1+AB506))</x:f>
      </x:c>
      <x:c r="AD506" s="23" t="str">
        <x:f>IF($A506="","",G506*F506*12)</x:f>
      </x:c>
      <x:c r="AE506" s="23" t="str">
        <x:f>IF($A506="","",G506*F506*J506)</x:f>
      </x:c>
      <x:c r="AF506" s="24" t="str">
        <x:f>IF($A506="","",L506*F506*K506*Settings!$B$13)</x:f>
      </x:c>
      <x:c r="AG506" s="23" t="str">
        <x:f>IF($A506="","",AD506*H506*I506)</x:f>
      </x:c>
      <x:c r="AH506" s="24" t="str">
        <x:f>IF($A506="","",SUM(AD506:AE506,AG506)*SUM(Settings!$B$11:$B$12))</x:f>
      </x:c>
      <x:c r="AI506" s="24" t="str">
        <x:f>IF($A506="","",M506*Settings!$B$16)</x:f>
      </x:c>
      <x:c r="AJ506" s="24" t="str">
        <x:f>IF($A506="","",M506*Settings!$B$15)</x:f>
      </x:c>
      <x:c r="AK506" s="24" t="str">
        <x:f>IF($A506="","",O506*Settings!$B$18)</x:f>
      </x:c>
      <x:c r="AL506" s="24" t="str">
        <x:f>IF($A506="","",P506*Settings!$B$20+Q506*Settings!$B$21+R506*Settings!$B$22+S506*Settings!$B$23)</x:f>
      </x:c>
      <x:c r="AM506" s="24" t="str">
        <x:f>IF($A506="","",T506*Settings!$B$24)</x:f>
      </x:c>
      <x:c r="AN506" s="23" t="str">
        <x:f>IF($A506="","",SUM(AI506,N506,AK506:AM506,U506))</x:f>
      </x:c>
      <x:c r="AO506" s="23" t="str">
        <x:f>IF($A506="","",SUM(AD506:AI506,N506,AK506:AM506,U506))</x:f>
      </x:c>
      <x:c r="AP506" s="24" t="str">
        <x:f>IF($A506="","",G506*F506*AB506*((13-Settings!$B$9)*(1+H506*I506)+J506)*(1+SUM(Settings!$B$11:$B$12)))</x:f>
      </x:c>
      <x:c r="AQ506" s="23" t="str">
        <x:f>IF($A506="","",SUM(AO506:AP506))</x:f>
      </x:c>
      <x:c r="AR506" s="23" t="str">
        <x:f>IF($A506="","",AQ506-X506)</x:f>
      </x:c>
      <x:c r="AS506" s="22" t="str">
        <x:f>IF($A506="","",IF(W506=0,"n.a.",V506/W506))</x:f>
      </x:c>
      <x:c r="AT506" s="26" t="str">
        <x:f>IF($A506="",IF(COUNTA(B506:Y506)&gt;0,"Missing ID",""),IF(COUNTIFS($A$9:$A$508,A506)&gt;1,"Duplicate ID",IF(OR(B506="",C506="",D506="",E506="",COUNT(F506:X506)&lt;&gt;19),"Missing / text input",IF(OR(COUNTIFS(Settings!$A$59:$A$64,B506)&lt;&gt;1,COUNTIFS(Settings!$A$29:$A$33,E506)&lt;&gt;1),"Unknown department / grade",IF(OR(F506&lt;=0,F506&gt;1,G506&lt;=0,L506&lt;=0,H506&lt;0,I506&lt;0,J506&lt;0,K506&lt;0,K506&gt;1,MIN(M506:X506)&lt;0,W506=0,V506&gt;W506,M506&gt;W506-V506,P506&gt;8,Q506&gt;4,R506&gt;12,S506&gt;12,T506&gt;1,AB506&lt;0),"Review quantity / rate",IF(OR(N506&gt;Settings!$C$17,AK506&gt;Settings!$C$19),"Review benefit ceiling","OK"))))))</x:f>
      </x:c>
    </x:row>
    <x:row r="507" ht="23" customHeight="1">
      <x:c r="A507" s="8"/>
      <x:c r="B507" s="8"/>
      <x:c r="C507" s="8"/>
      <x:c r="D507" s="8"/>
      <x:c r="E507" s="8"/>
      <x:c r="F507" s="20"/>
      <x:c r="G507" s="12"/>
      <x:c r="H507" s="21"/>
      <x:c r="I507" s="20"/>
      <x:c r="J507" s="20"/>
      <x:c r="K507" s="20"/>
      <x:c r="L507" s="12"/>
      <x:c r="M507" s="8"/>
      <x:c r="N507" s="12"/>
      <x:c r="O507" s="8"/>
      <x:c r="P507" s="8"/>
      <x:c r="Q507" s="8"/>
      <x:c r="R507" s="8"/>
      <x:c r="S507" s="8"/>
      <x:c r="T507" s="8"/>
      <x:c r="U507" s="12"/>
      <x:c r="V507" s="8"/>
      <x:c r="W507" s="8"/>
      <x:c r="X507" s="12"/>
      <x:c r="Y507" s="21"/>
      <x:c r="Z507" s="24" t="str">
        <x:f>IF($A507="","",INDEX(Settings!$C$29:$C$33,MATCH(E507,Settings!$A$29:$A$33,0)))</x:f>
      </x:c>
      <x:c r="AA507" s="22" t="str">
        <x:f>IF($A507="","",G507/Z507)</x:f>
      </x:c>
      <x:c r="AB507" s="25" t="str">
        <x:f>IF($A507="","",IF(ISNUMBER(Y507),Y507,Settings!$B$10))</x:f>
      </x:c>
      <x:c r="AC507" s="23" t="str">
        <x:f>IF($A507="","",G507*(1+AB507))</x:f>
      </x:c>
      <x:c r="AD507" s="23" t="str">
        <x:f>IF($A507="","",G507*F507*12)</x:f>
      </x:c>
      <x:c r="AE507" s="23" t="str">
        <x:f>IF($A507="","",G507*F507*J507)</x:f>
      </x:c>
      <x:c r="AF507" s="24" t="str">
        <x:f>IF($A507="","",L507*F507*K507*Settings!$B$13)</x:f>
      </x:c>
      <x:c r="AG507" s="23" t="str">
        <x:f>IF($A507="","",AD507*H507*I507)</x:f>
      </x:c>
      <x:c r="AH507" s="24" t="str">
        <x:f>IF($A507="","",SUM(AD507:AE507,AG507)*SUM(Settings!$B$11:$B$12))</x:f>
      </x:c>
      <x:c r="AI507" s="24" t="str">
        <x:f>IF($A507="","",M507*Settings!$B$16)</x:f>
      </x:c>
      <x:c r="AJ507" s="24" t="str">
        <x:f>IF($A507="","",M507*Settings!$B$15)</x:f>
      </x:c>
      <x:c r="AK507" s="24" t="str">
        <x:f>IF($A507="","",O507*Settings!$B$18)</x:f>
      </x:c>
      <x:c r="AL507" s="24" t="str">
        <x:f>IF($A507="","",P507*Settings!$B$20+Q507*Settings!$B$21+R507*Settings!$B$22+S507*Settings!$B$23)</x:f>
      </x:c>
      <x:c r="AM507" s="24" t="str">
        <x:f>IF($A507="","",T507*Settings!$B$24)</x:f>
      </x:c>
      <x:c r="AN507" s="23" t="str">
        <x:f>IF($A507="","",SUM(AI507,N507,AK507:AM507,U507))</x:f>
      </x:c>
      <x:c r="AO507" s="23" t="str">
        <x:f>IF($A507="","",SUM(AD507:AI507,N507,AK507:AM507,U507))</x:f>
      </x:c>
      <x:c r="AP507" s="24" t="str">
        <x:f>IF($A507="","",G507*F507*AB507*((13-Settings!$B$9)*(1+H507*I507)+J507)*(1+SUM(Settings!$B$11:$B$12)))</x:f>
      </x:c>
      <x:c r="AQ507" s="23" t="str">
        <x:f>IF($A507="","",SUM(AO507:AP507))</x:f>
      </x:c>
      <x:c r="AR507" s="23" t="str">
        <x:f>IF($A507="","",AQ507-X507)</x:f>
      </x:c>
      <x:c r="AS507" s="22" t="str">
        <x:f>IF($A507="","",IF(W507=0,"n.a.",V507/W507))</x:f>
      </x:c>
      <x:c r="AT507" s="26" t="str">
        <x:f>IF($A507="",IF(COUNTA(B507:Y507)&gt;0,"Missing ID",""),IF(COUNTIFS($A$9:$A$508,A507)&gt;1,"Duplicate ID",IF(OR(B507="",C507="",D507="",E507="",COUNT(F507:X507)&lt;&gt;19),"Missing / text input",IF(OR(COUNTIFS(Settings!$A$59:$A$64,B507)&lt;&gt;1,COUNTIFS(Settings!$A$29:$A$33,E507)&lt;&gt;1),"Unknown department / grade",IF(OR(F507&lt;=0,F507&gt;1,G507&lt;=0,L507&lt;=0,H507&lt;0,I507&lt;0,J507&lt;0,K507&lt;0,K507&gt;1,MIN(M507:X507)&lt;0,W507=0,V507&gt;W507,M507&gt;W507-V507,P507&gt;8,Q507&gt;4,R507&gt;12,S507&gt;12,T507&gt;1,AB507&lt;0),"Review quantity / rate",IF(OR(N507&gt;Settings!$C$17,AK507&gt;Settings!$C$19),"Review benefit ceiling","OK"))))))</x:f>
      </x:c>
    </x:row>
    <x:row r="508" ht="23" customHeight="1">
      <x:c r="A508" s="8"/>
      <x:c r="B508" s="8"/>
      <x:c r="C508" s="8"/>
      <x:c r="D508" s="8"/>
      <x:c r="E508" s="8"/>
      <x:c r="F508" s="20"/>
      <x:c r="G508" s="12"/>
      <x:c r="H508" s="21"/>
      <x:c r="I508" s="20"/>
      <x:c r="J508" s="20"/>
      <x:c r="K508" s="20"/>
      <x:c r="L508" s="12"/>
      <x:c r="M508" s="8"/>
      <x:c r="N508" s="12"/>
      <x:c r="O508" s="8"/>
      <x:c r="P508" s="8"/>
      <x:c r="Q508" s="8"/>
      <x:c r="R508" s="8"/>
      <x:c r="S508" s="8"/>
      <x:c r="T508" s="8"/>
      <x:c r="U508" s="12"/>
      <x:c r="V508" s="8"/>
      <x:c r="W508" s="8"/>
      <x:c r="X508" s="12"/>
      <x:c r="Y508" s="21"/>
      <x:c r="Z508" s="24" t="str">
        <x:f>IF($A508="","",INDEX(Settings!$C$29:$C$33,MATCH(E508,Settings!$A$29:$A$33,0)))</x:f>
      </x:c>
      <x:c r="AA508" s="22" t="str">
        <x:f>IF($A508="","",G508/Z508)</x:f>
      </x:c>
      <x:c r="AB508" s="25" t="str">
        <x:f>IF($A508="","",IF(ISNUMBER(Y508),Y508,Settings!$B$10))</x:f>
      </x:c>
      <x:c r="AC508" s="23" t="str">
        <x:f>IF($A508="","",G508*(1+AB508))</x:f>
      </x:c>
      <x:c r="AD508" s="23" t="str">
        <x:f>IF($A508="","",G508*F508*12)</x:f>
      </x:c>
      <x:c r="AE508" s="23" t="str">
        <x:f>IF($A508="","",G508*F508*J508)</x:f>
      </x:c>
      <x:c r="AF508" s="24" t="str">
        <x:f>IF($A508="","",L508*F508*K508*Settings!$B$13)</x:f>
      </x:c>
      <x:c r="AG508" s="23" t="str">
        <x:f>IF($A508="","",AD508*H508*I508)</x:f>
      </x:c>
      <x:c r="AH508" s="24" t="str">
        <x:f>IF($A508="","",SUM(AD508:AE508,AG508)*SUM(Settings!$B$11:$B$12))</x:f>
      </x:c>
      <x:c r="AI508" s="24" t="str">
        <x:f>IF($A508="","",M508*Settings!$B$16)</x:f>
      </x:c>
      <x:c r="AJ508" s="24" t="str">
        <x:f>IF($A508="","",M508*Settings!$B$15)</x:f>
      </x:c>
      <x:c r="AK508" s="24" t="str">
        <x:f>IF($A508="","",O508*Settings!$B$18)</x:f>
      </x:c>
      <x:c r="AL508" s="24" t="str">
        <x:f>IF($A508="","",P508*Settings!$B$20+Q508*Settings!$B$21+R508*Settings!$B$22+S508*Settings!$B$23)</x:f>
      </x:c>
      <x:c r="AM508" s="24" t="str">
        <x:f>IF($A508="","",T508*Settings!$B$24)</x:f>
      </x:c>
      <x:c r="AN508" s="23" t="str">
        <x:f>IF($A508="","",SUM(AI508,N508,AK508:AM508,U508))</x:f>
      </x:c>
      <x:c r="AO508" s="23" t="str">
        <x:f>IF($A508="","",SUM(AD508:AI508,N508,AK508:AM508,U508))</x:f>
      </x:c>
      <x:c r="AP508" s="24" t="str">
        <x:f>IF($A508="","",G508*F508*AB508*((13-Settings!$B$9)*(1+H508*I508)+J508)*(1+SUM(Settings!$B$11:$B$12)))</x:f>
      </x:c>
      <x:c r="AQ508" s="23" t="str">
        <x:f>IF($A508="","",SUM(AO508:AP508))</x:f>
      </x:c>
      <x:c r="AR508" s="23" t="str">
        <x:f>IF($A508="","",AQ508-X508)</x:f>
      </x:c>
      <x:c r="AS508" s="22" t="str">
        <x:f>IF($A508="","",IF(W508=0,"n.a.",V508/W508))</x:f>
      </x:c>
      <x:c r="AT508" s="26" t="str">
        <x:f>IF($A508="",IF(COUNTA(B508:Y508)&gt;0,"Missing ID",""),IF(COUNTIFS($A$9:$A$508,A508)&gt;1,"Duplicate ID",IF(OR(B508="",C508="",D508="",E508="",COUNT(F508:X508)&lt;&gt;19),"Missing / text input",IF(OR(COUNTIFS(Settings!$A$59:$A$64,B508)&lt;&gt;1,COUNTIFS(Settings!$A$29:$A$33,E508)&lt;&gt;1),"Unknown department / grade",IF(OR(F508&lt;=0,F508&gt;1,G508&lt;=0,L508&lt;=0,H508&lt;0,I508&lt;0,J508&lt;0,K508&lt;0,K508&gt;1,MIN(M508:X508)&lt;0,W508=0,V508&gt;W508,M508&gt;W508-V508,P508&gt;8,Q508&gt;4,R508&gt;12,S508&gt;12,T508&gt;1,AB508&lt;0),"Review quantity / rate",IF(OR(N508&gt;Settings!$C$17,AK508&gt;Settings!$C$19),"Review benefit ceiling","OK"))))))</x:f>
      </x:c>
    </x:row>
  </x:sheetData>
  <x:mergeCells>
    <x:mergeCell ref="A2:L2"/>
    <x:mergeCell ref="A3:L3"/>
    <x:mergeCell ref="A4:L4"/>
    <x:mergeCell ref="A5:L5"/>
    <x:mergeCell ref="A7:E7"/>
    <x:mergeCell ref="F7:L7"/>
    <x:mergeCell ref="M7:U7"/>
    <x:mergeCell ref="V7:Y7"/>
    <x:mergeCell ref="Z7:AC7"/>
    <x:mergeCell ref="AD7:AH7"/>
    <x:mergeCell ref="AI7:AN7"/>
    <x:mergeCell ref="AO7:AR7"/>
    <x:mergeCell ref="AS7:AT7"/>
  </x:mergeCells>
  <x:conditionalFormatting sqref="AT9:AT508">
    <x:cfRule type="expression" dxfId="0" priority="1">
      <x:formula>AND($AT9&lt;&gt;"",$AT9&lt;&gt;"OK")</x:formula>
    </x:cfRule>
  </x:conditionalFormatting>
  <x:conditionalFormatting sqref="AA9:AA508">
    <x:cfRule type="cellIs" dxfId="1" priority="2" operator="lessThan">
      <x:formula>0.9</x:formula>
    </x:cfRule>
  </x:conditionalFormatting>
  <x:conditionalFormatting sqref="AR9:AR508">
    <x:cfRule type="cellIs" dxfId="2" priority="3" operator="greaterThan">
      <x:formula>0</x:formula>
    </x:cfRule>
  </x:conditionalFormatting>
  <x:dataValidations count="11">
    <x:dataValidation type="list" sqref="B9:B508">
      <x:formula1>Settings!$A$59:$A$64</x:formula1>
    </x:dataValidation>
    <x:dataValidation type="list" sqref="E9:E508">
      <x:formula1>Settings!$A$29:$A$33</x:formula1>
    </x:dataValidation>
    <x:dataValidation type="decimal" operator="between" sqref="F9:F508">
      <x:formula1>0</x:formula1>
      <x:formula2>1</x:formula2>
    </x:dataValidation>
    <x:dataValidation type="decimal" operator="between" sqref="H9:H508">
      <x:formula1>0</x:formula1>
      <x:formula2>1</x:formula2>
    </x:dataValidation>
    <x:dataValidation type="decimal" operator="between" sqref="K9:K508">
      <x:formula1>0</x:formula1>
      <x:formula2>1</x:formula2>
    </x:dataValidation>
    <x:dataValidation type="decimal" operator="between" sqref="Y9:Y508">
      <x:formula1>0</x:formula1>
      <x:formula2>1</x:formula2>
    </x:dataValidation>
    <x:dataValidation type="whole" operator="between" sqref="P9:P508">
      <x:formula1>0</x:formula1>
      <x:formula2>8</x:formula2>
    </x:dataValidation>
    <x:dataValidation type="whole" operator="between" sqref="Q9:Q508">
      <x:formula1>0</x:formula1>
      <x:formula2>4</x:formula2>
    </x:dataValidation>
    <x:dataValidation type="whole" operator="between" sqref="R9:R508">
      <x:formula1>0</x:formula1>
      <x:formula2>12</x:formula2>
    </x:dataValidation>
    <x:dataValidation type="whole" operator="between" sqref="S9:S508">
      <x:formula1>0</x:formula1>
      <x:formula2>12</x:formula2>
    </x:dataValidation>
    <x:dataValidation type="whole" operator="between" sqref="T9:T508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09afb5521ac4098"/>
  </x:tableParts>
</x:worksheet>
</file>